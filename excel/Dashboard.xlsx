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52dea819f73f3f51/Documents/Projects/HR Attrition Analysis/Dashboard/"/>
    </mc:Choice>
  </mc:AlternateContent>
  <xr:revisionPtr revIDLastSave="758" documentId="8_{74942653-84D2-4E5F-B519-7080360BF8A6}" xr6:coauthVersionLast="47" xr6:coauthVersionMax="47" xr10:uidLastSave="{A0AC6189-AAB1-4E3D-B1C9-8E1B202C3D40}"/>
  <bookViews>
    <workbookView xWindow="-108" yWindow="-108" windowWidth="23256" windowHeight="12456" firstSheet="3" activeTab="3" xr2:uid="{BAF4A92F-B48F-4298-9452-F4A5D59F2862}"/>
  </bookViews>
  <sheets>
    <sheet name="Pivots" sheetId="2" state="hidden" r:id="rId1"/>
    <sheet name="KPI" sheetId="5" state="hidden" r:id="rId2"/>
    <sheet name="Data" sheetId="1" state="hidden" r:id="rId3"/>
    <sheet name="Dashboard" sheetId="3" r:id="rId4"/>
  </sheets>
  <definedNames>
    <definedName name="Slicer_BusinessTravel">#N/A</definedName>
    <definedName name="Slicer_Department">#N/A</definedName>
    <definedName name="Slicer_Gender">#N/A</definedName>
  </definedNames>
  <calcPr calcId="0"/>
  <pivotCaches>
    <pivotCache cacheId="3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1" l="1" a="1"/>
  <c r="B2" i="1" s="1"/>
  <c r="B3" i="1" a="1"/>
  <c r="B3" i="1"/>
  <c r="B4" i="1" a="1"/>
  <c r="B4" i="1" s="1"/>
  <c r="B5" i="1" a="1"/>
  <c r="B5" i="1" s="1"/>
  <c r="B6" i="1" a="1"/>
  <c r="B6" i="1" s="1"/>
  <c r="B7" i="1" a="1"/>
  <c r="B7" i="1"/>
  <c r="B8" i="1" a="1"/>
  <c r="B8" i="1" s="1"/>
  <c r="B9" i="1" a="1"/>
  <c r="B9" i="1" s="1"/>
  <c r="B10" i="1" a="1"/>
  <c r="B10" i="1" s="1"/>
  <c r="B11" i="1" a="1"/>
  <c r="B11" i="1"/>
  <c r="B12" i="1" a="1"/>
  <c r="B12" i="1" s="1"/>
  <c r="B13" i="1" a="1"/>
  <c r="B13" i="1" s="1"/>
  <c r="B14" i="1" a="1"/>
  <c r="B14" i="1" s="1"/>
  <c r="B15" i="1" a="1"/>
  <c r="B15" i="1"/>
  <c r="B16" i="1" a="1"/>
  <c r="B16" i="1" s="1"/>
  <c r="B17" i="1" a="1"/>
  <c r="B17" i="1" s="1"/>
  <c r="B18" i="1" a="1"/>
  <c r="B18" i="1" s="1"/>
  <c r="B19" i="1" a="1"/>
  <c r="B19" i="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c r="B40" i="1" a="1"/>
  <c r="B40" i="1" s="1"/>
  <c r="B41" i="1" a="1"/>
  <c r="B41" i="1" s="1"/>
  <c r="B42" i="1" a="1"/>
  <c r="B42" i="1" s="1"/>
  <c r="B43" i="1" a="1"/>
  <c r="B43" i="1" s="1"/>
  <c r="B44" i="1" a="1"/>
  <c r="B44" i="1" s="1"/>
  <c r="B45" i="1" a="1"/>
  <c r="B45" i="1" s="1"/>
  <c r="B46" i="1" a="1"/>
  <c r="B46" i="1" s="1"/>
  <c r="B47" i="1" a="1"/>
  <c r="B47" i="1"/>
  <c r="B48" i="1" a="1"/>
  <c r="B48" i="1" s="1"/>
  <c r="B49" i="1" a="1"/>
  <c r="B49" i="1" s="1"/>
  <c r="B50" i="1" a="1"/>
  <c r="B50" i="1" s="1"/>
  <c r="B51" i="1" a="1"/>
  <c r="B51" i="1"/>
  <c r="B52" i="1" a="1"/>
  <c r="B52" i="1" s="1"/>
  <c r="B53" i="1" a="1"/>
  <c r="B53" i="1" s="1"/>
  <c r="B54" i="1" a="1"/>
  <c r="B54" i="1" s="1"/>
  <c r="B55" i="1" a="1"/>
  <c r="B55" i="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c r="B80" i="1" a="1"/>
  <c r="B80" i="1" s="1"/>
  <c r="B81" i="1" a="1"/>
  <c r="B81" i="1" s="1"/>
  <c r="B82" i="1" a="1"/>
  <c r="B82" i="1" s="1"/>
  <c r="B83" i="1" a="1"/>
  <c r="B83" i="1"/>
  <c r="B84" i="1" a="1"/>
  <c r="B84" i="1" s="1"/>
  <c r="B85" i="1" a="1"/>
  <c r="B85" i="1" s="1"/>
  <c r="B86" i="1" a="1"/>
  <c r="B86" i="1" s="1"/>
  <c r="B87" i="1" a="1"/>
  <c r="B87" i="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c r="B112" i="1" a="1"/>
  <c r="B112" i="1" s="1"/>
  <c r="B113" i="1" a="1"/>
  <c r="B113" i="1" s="1"/>
  <c r="B114" i="1" a="1"/>
  <c r="B114" i="1" s="1"/>
  <c r="B115" i="1" a="1"/>
  <c r="B115" i="1"/>
  <c r="B116" i="1" a="1"/>
  <c r="B116" i="1" s="1"/>
  <c r="B117" i="1" a="1"/>
  <c r="B117" i="1" s="1"/>
  <c r="B118" i="1" a="1"/>
  <c r="B118" i="1" s="1"/>
  <c r="B119" i="1" a="1"/>
  <c r="B119" i="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c r="B144" i="1" a="1"/>
  <c r="B144" i="1" s="1"/>
  <c r="B145" i="1" a="1"/>
  <c r="B145" i="1" s="1"/>
  <c r="B146" i="1" a="1"/>
  <c r="B146" i="1" s="1"/>
  <c r="B147" i="1" a="1"/>
  <c r="B147" i="1"/>
  <c r="B148" i="1" a="1"/>
  <c r="B148" i="1" s="1"/>
  <c r="B149" i="1" a="1"/>
  <c r="B149" i="1" s="1"/>
  <c r="B150" i="1" a="1"/>
  <c r="B150" i="1" s="1"/>
  <c r="B151" i="1" a="1"/>
  <c r="B151" i="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c r="B176" i="1" a="1"/>
  <c r="B176" i="1" s="1"/>
  <c r="B177" i="1" a="1"/>
  <c r="B177" i="1" s="1"/>
  <c r="B178" i="1" a="1"/>
  <c r="B178" i="1" s="1"/>
  <c r="B179" i="1" a="1"/>
  <c r="B179" i="1"/>
  <c r="B180" i="1" a="1"/>
  <c r="B180" i="1" s="1"/>
  <c r="B181" i="1" a="1"/>
  <c r="B181" i="1" s="1"/>
  <c r="B182" i="1" a="1"/>
  <c r="B182" i="1" s="1"/>
  <c r="B183" i="1" a="1"/>
  <c r="B183" i="1"/>
  <c r="B184" i="1" a="1"/>
  <c r="B184" i="1" s="1"/>
  <c r="B185" i="1" a="1"/>
  <c r="B185" i="1" s="1"/>
  <c r="B186" i="1" a="1"/>
  <c r="B186" i="1" s="1"/>
  <c r="B187" i="1" a="1"/>
  <c r="B187" i="1" s="1"/>
  <c r="B188" i="1" a="1"/>
  <c r="B188" i="1" s="1"/>
  <c r="B189" i="1" a="1"/>
  <c r="B189" i="1" s="1"/>
  <c r="B190" i="1" a="1"/>
  <c r="B190" i="1" s="1"/>
  <c r="B191" i="1" a="1"/>
  <c r="B191" i="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c r="B208" i="1" a="1"/>
  <c r="B208" i="1" s="1"/>
  <c r="B209" i="1" a="1"/>
  <c r="B209" i="1" s="1"/>
  <c r="B210" i="1" a="1"/>
  <c r="B210" i="1" s="1"/>
  <c r="B211" i="1" a="1"/>
  <c r="B211" i="1"/>
  <c r="B212" i="1" a="1"/>
  <c r="B212" i="1" s="1"/>
  <c r="B213" i="1" a="1"/>
  <c r="B213" i="1" s="1"/>
  <c r="B214" i="1" a="1"/>
  <c r="B214" i="1" s="1"/>
  <c r="B215" i="1" a="1"/>
  <c r="B215" i="1"/>
  <c r="B216" i="1" a="1"/>
  <c r="B216" i="1" s="1"/>
  <c r="B217" i="1" a="1"/>
  <c r="B217" i="1" s="1"/>
  <c r="B218" i="1" a="1"/>
  <c r="B218" i="1" s="1"/>
  <c r="B219" i="1" a="1"/>
  <c r="B219" i="1" s="1"/>
  <c r="B220" i="1" a="1"/>
  <c r="B220" i="1" s="1"/>
  <c r="B221" i="1" a="1"/>
  <c r="B221" i="1" s="1"/>
  <c r="B222" i="1" a="1"/>
  <c r="B222" i="1" s="1"/>
  <c r="B223" i="1" a="1"/>
  <c r="B223" i="1"/>
  <c r="B224" i="1" a="1"/>
  <c r="B224" i="1" s="1"/>
  <c r="B225" i="1" a="1"/>
  <c r="B225" i="1" s="1"/>
  <c r="B226" i="1" a="1"/>
  <c r="B226" i="1" s="1"/>
  <c r="B227" i="1" a="1"/>
  <c r="B227" i="1" s="1"/>
  <c r="B228" i="1" a="1"/>
  <c r="B228" i="1" s="1"/>
  <c r="B229" i="1" a="1"/>
  <c r="B229" i="1" s="1"/>
  <c r="B230" i="1" a="1"/>
  <c r="B230" i="1" s="1"/>
  <c r="B231" i="1" a="1"/>
  <c r="B231" i="1"/>
  <c r="B232" i="1" a="1"/>
  <c r="B232" i="1" s="1"/>
  <c r="B233" i="1" a="1"/>
  <c r="B233" i="1" s="1"/>
  <c r="B234" i="1" a="1"/>
  <c r="B234" i="1" s="1"/>
  <c r="B235" i="1" a="1"/>
  <c r="B235" i="1" s="1"/>
  <c r="B236" i="1" a="1"/>
  <c r="B236" i="1" s="1"/>
  <c r="B237" i="1" a="1"/>
  <c r="B237" i="1" s="1"/>
  <c r="B238" i="1" a="1"/>
  <c r="B238" i="1" s="1"/>
  <c r="B239" i="1" a="1"/>
  <c r="B239" i="1"/>
  <c r="B240" i="1" a="1"/>
  <c r="B240" i="1" s="1"/>
  <c r="B241" i="1" a="1"/>
  <c r="B241" i="1" s="1"/>
  <c r="B242" i="1" a="1"/>
  <c r="B242" i="1" s="1"/>
  <c r="B243" i="1" a="1"/>
  <c r="B243" i="1"/>
  <c r="B244" i="1" a="1"/>
  <c r="B244" i="1" s="1"/>
  <c r="B245" i="1" a="1"/>
  <c r="B245" i="1" s="1"/>
  <c r="B246" i="1" a="1"/>
  <c r="B246" i="1" s="1"/>
  <c r="B247" i="1" a="1"/>
  <c r="B247" i="1"/>
  <c r="B248" i="1" a="1"/>
  <c r="B248" i="1" s="1"/>
  <c r="B249" i="1" a="1"/>
  <c r="B249" i="1" s="1"/>
  <c r="B250" i="1" a="1"/>
  <c r="B250" i="1" s="1"/>
  <c r="B251" i="1" a="1"/>
  <c r="B251" i="1" s="1"/>
  <c r="B252" i="1" a="1"/>
  <c r="B252" i="1" s="1"/>
  <c r="B253" i="1" a="1"/>
  <c r="B253" i="1" s="1"/>
  <c r="B254" i="1" a="1"/>
  <c r="B254" i="1" s="1"/>
  <c r="B255" i="1" a="1"/>
  <c r="B255" i="1"/>
  <c r="B256" i="1" a="1"/>
  <c r="B256" i="1" s="1"/>
  <c r="B257" i="1" a="1"/>
  <c r="B257" i="1" s="1"/>
  <c r="B258" i="1" a="1"/>
  <c r="B258" i="1" s="1"/>
  <c r="B259" i="1" a="1"/>
  <c r="B259" i="1" s="1"/>
  <c r="B260" i="1" a="1"/>
  <c r="B260" i="1" s="1"/>
  <c r="B261" i="1" a="1"/>
  <c r="B261" i="1" s="1"/>
  <c r="B262" i="1" a="1"/>
  <c r="B262" i="1" s="1"/>
  <c r="B263" i="1" a="1"/>
  <c r="B263" i="1"/>
  <c r="B264" i="1" a="1"/>
  <c r="B264" i="1" s="1"/>
  <c r="B265" i="1" a="1"/>
  <c r="B265" i="1" s="1"/>
  <c r="B266" i="1" a="1"/>
  <c r="B266" i="1" s="1"/>
  <c r="B267" i="1" a="1"/>
  <c r="B267" i="1" s="1"/>
  <c r="B268" i="1" a="1"/>
  <c r="B268" i="1" s="1"/>
  <c r="B269" i="1" a="1"/>
  <c r="B269" i="1" s="1"/>
  <c r="B270" i="1" a="1"/>
  <c r="B270" i="1" s="1"/>
  <c r="B271" i="1" a="1"/>
  <c r="B271" i="1"/>
  <c r="B272" i="1" a="1"/>
  <c r="B272" i="1" s="1"/>
  <c r="B273" i="1" a="1"/>
  <c r="B273" i="1" s="1"/>
  <c r="B274" i="1" a="1"/>
  <c r="B274" i="1" s="1"/>
  <c r="B275" i="1" a="1"/>
  <c r="B275" i="1" s="1"/>
  <c r="B276" i="1" a="1"/>
  <c r="B276" i="1" s="1"/>
  <c r="B277" i="1" a="1"/>
  <c r="B277" i="1" s="1"/>
  <c r="B278" i="1" a="1"/>
  <c r="B278" i="1" s="1"/>
  <c r="B279" i="1" a="1"/>
  <c r="B279" i="1"/>
  <c r="B280" i="1" a="1"/>
  <c r="B280" i="1" s="1"/>
  <c r="B281" i="1" a="1"/>
  <c r="B281" i="1" s="1"/>
  <c r="B282" i="1" a="1"/>
  <c r="B282" i="1" s="1"/>
  <c r="B283" i="1" a="1"/>
  <c r="B283" i="1"/>
  <c r="B284" i="1" a="1"/>
  <c r="B284" i="1" s="1"/>
  <c r="B285" i="1" a="1"/>
  <c r="B285" i="1"/>
  <c r="B286" i="1" a="1"/>
  <c r="B286" i="1" s="1"/>
  <c r="B287" i="1" a="1"/>
  <c r="B287" i="1"/>
  <c r="B288" i="1" a="1"/>
  <c r="B288" i="1" s="1"/>
  <c r="B289" i="1" a="1"/>
  <c r="B289" i="1" s="1"/>
  <c r="B290" i="1" a="1"/>
  <c r="B290" i="1" s="1"/>
  <c r="B291" i="1" a="1"/>
  <c r="B291" i="1" s="1"/>
  <c r="B292" i="1" a="1"/>
  <c r="B292" i="1" s="1"/>
  <c r="B293" i="1" a="1"/>
  <c r="B293" i="1" s="1"/>
  <c r="B294" i="1" a="1"/>
  <c r="B294" i="1" s="1"/>
  <c r="B295" i="1" a="1"/>
  <c r="B295" i="1"/>
  <c r="B296" i="1" a="1"/>
  <c r="B296" i="1" s="1"/>
  <c r="B297" i="1" a="1"/>
  <c r="B297" i="1" s="1"/>
  <c r="B298" i="1" a="1"/>
  <c r="B298" i="1" s="1"/>
  <c r="B299" i="1" a="1"/>
  <c r="B299" i="1"/>
  <c r="B300" i="1" a="1"/>
  <c r="B300" i="1" s="1"/>
  <c r="B301" i="1" a="1"/>
  <c r="B301" i="1"/>
  <c r="B302" i="1" a="1"/>
  <c r="B302" i="1" s="1"/>
  <c r="B303" i="1" a="1"/>
  <c r="B303" i="1"/>
  <c r="B304" i="1" a="1"/>
  <c r="B304" i="1" s="1"/>
  <c r="B305" i="1" a="1"/>
  <c r="B305" i="1"/>
  <c r="B306" i="1" a="1"/>
  <c r="B306" i="1" s="1"/>
  <c r="B307" i="1" a="1"/>
  <c r="B307" i="1" s="1"/>
  <c r="B308" i="1" a="1"/>
  <c r="B308" i="1" s="1"/>
  <c r="B309" i="1" a="1"/>
  <c r="B309" i="1" s="1"/>
  <c r="B310" i="1" a="1"/>
  <c r="B310" i="1" s="1"/>
  <c r="B311" i="1" a="1"/>
  <c r="B311" i="1" s="1"/>
  <c r="B312" i="1" a="1"/>
  <c r="B312" i="1" s="1"/>
  <c r="B313" i="1" a="1"/>
  <c r="B313" i="1" s="1"/>
  <c r="B314" i="1" a="1"/>
  <c r="B314" i="1" s="1"/>
  <c r="B315" i="1" a="1"/>
  <c r="B315" i="1"/>
  <c r="B316" i="1" a="1"/>
  <c r="B316" i="1" s="1"/>
  <c r="B317" i="1" a="1"/>
  <c r="B317" i="1"/>
  <c r="B318" i="1" a="1"/>
  <c r="B318" i="1" s="1"/>
  <c r="B319" i="1" a="1"/>
  <c r="B319" i="1"/>
  <c r="B320" i="1" a="1"/>
  <c r="B320" i="1" s="1"/>
  <c r="B321" i="1" a="1"/>
  <c r="B321" i="1"/>
  <c r="B322" i="1" a="1"/>
  <c r="B322" i="1" s="1"/>
  <c r="B323" i="1" a="1"/>
  <c r="B323" i="1" s="1"/>
  <c r="B324" i="1" a="1"/>
  <c r="B324" i="1" s="1"/>
  <c r="B325" i="1" a="1"/>
  <c r="B325" i="1" s="1"/>
  <c r="B326" i="1" a="1"/>
  <c r="B326" i="1" s="1"/>
  <c r="B327" i="1" a="1"/>
  <c r="B327" i="1" s="1"/>
  <c r="B328" i="1" a="1"/>
  <c r="B328" i="1" s="1"/>
  <c r="B329" i="1" a="1"/>
  <c r="B329" i="1" s="1"/>
  <c r="B330" i="1" a="1"/>
  <c r="B330" i="1" s="1"/>
  <c r="B331" i="1" a="1"/>
  <c r="B331" i="1"/>
  <c r="B332" i="1" a="1"/>
  <c r="B332" i="1" s="1"/>
  <c r="B333" i="1" a="1"/>
  <c r="B333" i="1"/>
  <c r="B334" i="1" a="1"/>
  <c r="B334" i="1" s="1"/>
  <c r="B335" i="1" a="1"/>
  <c r="B335" i="1"/>
  <c r="B336" i="1" a="1"/>
  <c r="B336" i="1" s="1"/>
  <c r="B337" i="1" a="1"/>
  <c r="B337" i="1"/>
  <c r="B338" i="1" a="1"/>
  <c r="B338" i="1" s="1"/>
  <c r="B339" i="1" a="1"/>
  <c r="B339" i="1" s="1"/>
  <c r="B340" i="1" a="1"/>
  <c r="B340" i="1" s="1"/>
  <c r="B341" i="1" a="1"/>
  <c r="B341" i="1" s="1"/>
  <c r="B342" i="1" a="1"/>
  <c r="B342" i="1"/>
  <c r="B343" i="1" a="1"/>
  <c r="B343" i="1" s="1"/>
  <c r="B344" i="1" a="1"/>
  <c r="B344" i="1" s="1"/>
  <c r="B345" i="1" a="1"/>
  <c r="B345" i="1" s="1"/>
  <c r="B346" i="1" a="1"/>
  <c r="B346" i="1"/>
  <c r="B347" i="1" a="1"/>
  <c r="B347" i="1"/>
  <c r="B348" i="1" a="1"/>
  <c r="B348" i="1" s="1"/>
  <c r="B349" i="1" a="1"/>
  <c r="B349" i="1" s="1"/>
  <c r="B350" i="1" a="1"/>
  <c r="B350" i="1" s="1"/>
  <c r="B351" i="1" a="1"/>
  <c r="B351" i="1" s="1"/>
  <c r="B352" i="1" a="1"/>
  <c r="B352" i="1" s="1"/>
  <c r="B353" i="1" a="1"/>
  <c r="B353" i="1" s="1"/>
  <c r="B354" i="1" a="1"/>
  <c r="B354" i="1" s="1"/>
  <c r="B355" i="1" a="1"/>
  <c r="B355" i="1" s="1"/>
  <c r="B356" i="1" a="1"/>
  <c r="B356" i="1" s="1"/>
  <c r="B357" i="1" a="1"/>
  <c r="B357" i="1" s="1"/>
  <c r="B358" i="1" a="1"/>
  <c r="B358" i="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s="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s="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s="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s="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c r="B626" i="1" a="1"/>
  <c r="B626" i="1"/>
  <c r="B627" i="1" a="1"/>
  <c r="B627" i="1"/>
  <c r="B628" i="1" a="1"/>
  <c r="B628" i="1" s="1"/>
  <c r="B629" i="1" a="1"/>
  <c r="B629" i="1" s="1"/>
  <c r="B630" i="1" a="1"/>
  <c r="B630" i="1" s="1"/>
  <c r="B631" i="1" a="1"/>
  <c r="B631" i="1" s="1"/>
  <c r="B632" i="1" a="1"/>
  <c r="B632" i="1" s="1"/>
  <c r="B633" i="1" a="1"/>
  <c r="B633" i="1"/>
  <c r="B634" i="1" a="1"/>
  <c r="B634" i="1"/>
  <c r="B635" i="1" a="1"/>
  <c r="B635" i="1"/>
  <c r="B636" i="1" a="1"/>
  <c r="B636" i="1"/>
  <c r="B637" i="1" a="1"/>
  <c r="B637" i="1"/>
  <c r="B638" i="1" a="1"/>
  <c r="B638" i="1"/>
  <c r="B639" i="1" a="1"/>
  <c r="B639" i="1"/>
  <c r="B640" i="1" a="1"/>
  <c r="B640" i="1"/>
  <c r="B641" i="1" a="1"/>
  <c r="B641" i="1"/>
  <c r="B642" i="1" a="1"/>
  <c r="B642" i="1"/>
  <c r="B643" i="1" a="1"/>
  <c r="B643" i="1"/>
  <c r="B644" i="1" a="1"/>
  <c r="B644" i="1"/>
  <c r="B645" i="1" a="1"/>
  <c r="B645" i="1"/>
  <c r="B646" i="1" a="1"/>
  <c r="B646" i="1"/>
  <c r="B647" i="1" a="1"/>
  <c r="B647" i="1"/>
  <c r="B648" i="1" a="1"/>
  <c r="B648" i="1"/>
  <c r="B649" i="1" a="1"/>
  <c r="B649" i="1"/>
  <c r="B650" i="1" a="1"/>
  <c r="B650" i="1"/>
  <c r="B651" i="1" a="1"/>
  <c r="B651" i="1"/>
  <c r="B652" i="1" a="1"/>
  <c r="B652" i="1"/>
  <c r="B653" i="1" a="1"/>
  <c r="B653" i="1"/>
  <c r="B654" i="1" a="1"/>
  <c r="B654" i="1"/>
  <c r="B655" i="1" a="1"/>
  <c r="B655" i="1"/>
  <c r="B656" i="1" a="1"/>
  <c r="B656" i="1"/>
  <c r="B657" i="1" a="1"/>
  <c r="B657" i="1"/>
  <c r="B658" i="1" a="1"/>
  <c r="B658" i="1"/>
  <c r="B659" i="1" a="1"/>
  <c r="B659" i="1"/>
  <c r="B660" i="1" a="1"/>
  <c r="B660" i="1"/>
  <c r="B661" i="1" a="1"/>
  <c r="B661" i="1"/>
  <c r="B662" i="1" a="1"/>
  <c r="B662" i="1"/>
  <c r="B663" i="1" a="1"/>
  <c r="B663" i="1"/>
  <c r="B664" i="1" a="1"/>
  <c r="B664" i="1"/>
  <c r="B665" i="1" a="1"/>
  <c r="B665" i="1"/>
  <c r="B666" i="1" a="1"/>
  <c r="B666" i="1"/>
  <c r="B667" i="1" a="1"/>
  <c r="B667" i="1"/>
  <c r="B668" i="1" a="1"/>
  <c r="B668" i="1"/>
  <c r="B669" i="1" a="1"/>
  <c r="B669" i="1"/>
  <c r="B670" i="1" a="1"/>
  <c r="B670" i="1"/>
  <c r="B671" i="1" a="1"/>
  <c r="B671" i="1"/>
  <c r="B672" i="1" a="1"/>
  <c r="B672" i="1"/>
  <c r="B673" i="1" a="1"/>
  <c r="B673" i="1"/>
  <c r="B674" i="1" a="1"/>
  <c r="B674" i="1"/>
  <c r="B675" i="1" a="1"/>
  <c r="B675" i="1"/>
  <c r="B676" i="1" a="1"/>
  <c r="B676" i="1"/>
  <c r="B677" i="1" a="1"/>
  <c r="B677" i="1"/>
  <c r="B678" i="1" a="1"/>
  <c r="B678" i="1"/>
  <c r="B679" i="1" a="1"/>
  <c r="B679" i="1"/>
  <c r="B680" i="1" a="1"/>
  <c r="B680" i="1"/>
  <c r="B681" i="1" a="1"/>
  <c r="B681" i="1"/>
  <c r="B682" i="1" a="1"/>
  <c r="B682" i="1"/>
  <c r="B683" i="1" a="1"/>
  <c r="B683" i="1"/>
  <c r="B684" i="1" a="1"/>
  <c r="B684" i="1"/>
  <c r="B685" i="1" a="1"/>
  <c r="B685" i="1"/>
  <c r="B686" i="1" a="1"/>
  <c r="B686" i="1"/>
  <c r="B687" i="1" a="1"/>
  <c r="B687" i="1"/>
  <c r="B688" i="1" a="1"/>
  <c r="B688" i="1"/>
  <c r="B689" i="1" a="1"/>
  <c r="B689" i="1"/>
  <c r="B690" i="1" a="1"/>
  <c r="B690" i="1"/>
  <c r="B691" i="1" a="1"/>
  <c r="B691" i="1"/>
  <c r="B692" i="1" a="1"/>
  <c r="B692" i="1" s="1"/>
  <c r="B693" i="1" a="1"/>
  <c r="B693" i="1"/>
  <c r="B694" i="1" a="1"/>
  <c r="B694" i="1"/>
  <c r="B695" i="1" a="1"/>
  <c r="B695" i="1"/>
  <c r="B696" i="1" a="1"/>
  <c r="B696" i="1" s="1"/>
  <c r="B697" i="1" a="1"/>
  <c r="B697" i="1"/>
  <c r="B698" i="1" a="1"/>
  <c r="B698" i="1"/>
  <c r="B699" i="1" a="1"/>
  <c r="B699" i="1"/>
  <c r="B700" i="1" a="1"/>
  <c r="B700" i="1" s="1"/>
  <c r="B701" i="1" a="1"/>
  <c r="B701" i="1"/>
  <c r="B702" i="1" a="1"/>
  <c r="B702" i="1"/>
  <c r="B703" i="1" a="1"/>
  <c r="B703" i="1"/>
  <c r="B704" i="1" a="1"/>
  <c r="B704" i="1" s="1"/>
  <c r="B705" i="1" a="1"/>
  <c r="B705" i="1"/>
  <c r="B706" i="1" a="1"/>
  <c r="B706" i="1"/>
  <c r="B707" i="1" a="1"/>
  <c r="B707" i="1"/>
  <c r="B708" i="1" a="1"/>
  <c r="B708" i="1" s="1"/>
  <c r="B709" i="1" a="1"/>
  <c r="B709" i="1"/>
  <c r="B710" i="1" a="1"/>
  <c r="B710" i="1"/>
  <c r="B711" i="1" a="1"/>
  <c r="B711" i="1"/>
  <c r="B712" i="1" a="1"/>
  <c r="B712" i="1" s="1"/>
  <c r="B713" i="1" a="1"/>
  <c r="B713" i="1"/>
  <c r="B714" i="1" a="1"/>
  <c r="B714" i="1"/>
  <c r="B715" i="1" a="1"/>
  <c r="B715" i="1"/>
  <c r="B716" i="1" a="1"/>
  <c r="B716" i="1" s="1"/>
  <c r="B717" i="1" a="1"/>
  <c r="B717" i="1" s="1"/>
  <c r="B718" i="1" a="1"/>
  <c r="B718" i="1"/>
  <c r="B719" i="1" a="1"/>
  <c r="B719" i="1"/>
  <c r="B720" i="1" a="1"/>
  <c r="B720" i="1"/>
  <c r="B721" i="1" a="1"/>
  <c r="B721" i="1" s="1"/>
  <c r="B722" i="1" a="1"/>
  <c r="B722" i="1"/>
  <c r="B723" i="1" a="1"/>
  <c r="B723" i="1"/>
  <c r="B724" i="1" a="1"/>
  <c r="B724" i="1"/>
  <c r="B725" i="1" a="1"/>
  <c r="B725" i="1" s="1"/>
  <c r="B726" i="1" a="1"/>
  <c r="B726" i="1"/>
  <c r="B727" i="1" a="1"/>
  <c r="B727" i="1"/>
  <c r="B728" i="1" a="1"/>
  <c r="B728" i="1" s="1"/>
  <c r="B729" i="1" a="1"/>
  <c r="B729" i="1" s="1"/>
  <c r="B730" i="1" a="1"/>
  <c r="B730" i="1"/>
  <c r="B731" i="1" a="1"/>
  <c r="B731" i="1"/>
  <c r="B732" i="1" a="1"/>
  <c r="B732" i="1"/>
  <c r="B733" i="1" a="1"/>
  <c r="B733" i="1" s="1"/>
  <c r="B734" i="1" a="1"/>
  <c r="B734" i="1"/>
  <c r="B735" i="1" a="1"/>
  <c r="B735" i="1"/>
  <c r="B736" i="1" a="1"/>
  <c r="B736" i="1" s="1"/>
  <c r="B737" i="1" a="1"/>
  <c r="B737" i="1" s="1"/>
  <c r="B738" i="1" a="1"/>
  <c r="B738" i="1"/>
  <c r="B739" i="1" a="1"/>
  <c r="B739" i="1"/>
  <c r="B740" i="1" a="1"/>
  <c r="B740" i="1" s="1"/>
  <c r="B741" i="1" a="1"/>
  <c r="B741" i="1" s="1"/>
  <c r="B742" i="1" a="1"/>
  <c r="B742" i="1"/>
  <c r="B743" i="1" a="1"/>
  <c r="B743" i="1"/>
  <c r="B744" i="1" a="1"/>
  <c r="B744" i="1"/>
  <c r="B745" i="1" a="1"/>
  <c r="B745" i="1" s="1"/>
  <c r="B746" i="1" a="1"/>
  <c r="B746" i="1"/>
  <c r="B747" i="1" a="1"/>
  <c r="B747" i="1"/>
  <c r="B748" i="1" a="1"/>
  <c r="B748" i="1" s="1"/>
  <c r="B749" i="1" a="1"/>
  <c r="B749" i="1" s="1"/>
  <c r="B750" i="1" a="1"/>
  <c r="B750" i="1"/>
  <c r="B751" i="1" a="1"/>
  <c r="B751" i="1"/>
  <c r="B752" i="1" a="1"/>
  <c r="B752" i="1"/>
  <c r="B753" i="1" a="1"/>
  <c r="B753" i="1" s="1"/>
  <c r="B754" i="1" a="1"/>
  <c r="B754" i="1"/>
  <c r="B755" i="1" a="1"/>
  <c r="B755" i="1"/>
  <c r="B756" i="1" a="1"/>
  <c r="B756" i="1"/>
  <c r="B757" i="1" a="1"/>
  <c r="B757" i="1" s="1"/>
  <c r="B758" i="1" a="1"/>
  <c r="B758" i="1"/>
  <c r="B759" i="1" a="1"/>
  <c r="B759" i="1"/>
  <c r="B760" i="1" a="1"/>
  <c r="B760" i="1" s="1"/>
  <c r="B761" i="1" a="1"/>
  <c r="B761" i="1" s="1"/>
  <c r="B762" i="1" a="1"/>
  <c r="B762" i="1"/>
  <c r="B763" i="1" a="1"/>
  <c r="B763" i="1"/>
  <c r="B764" i="1" a="1"/>
  <c r="B764" i="1"/>
  <c r="B765" i="1" a="1"/>
  <c r="B765" i="1" s="1"/>
  <c r="B766" i="1" a="1"/>
  <c r="B766" i="1"/>
  <c r="B767" i="1" a="1"/>
  <c r="B767" i="1"/>
  <c r="B768" i="1" a="1"/>
  <c r="B768" i="1" s="1"/>
  <c r="B769" i="1" a="1"/>
  <c r="B769" i="1" s="1"/>
  <c r="B770" i="1" a="1"/>
  <c r="B770" i="1"/>
  <c r="B771" i="1" a="1"/>
  <c r="B771" i="1"/>
  <c r="B772" i="1" a="1"/>
  <c r="B772" i="1" s="1"/>
  <c r="B773" i="1" a="1"/>
  <c r="B773" i="1" s="1"/>
  <c r="B774" i="1" a="1"/>
  <c r="B774" i="1"/>
  <c r="B775" i="1" a="1"/>
  <c r="B775" i="1"/>
  <c r="B776" i="1" a="1"/>
  <c r="B776" i="1"/>
  <c r="B777" i="1" a="1"/>
  <c r="B777" i="1" s="1"/>
  <c r="B778" i="1" a="1"/>
  <c r="B778" i="1"/>
  <c r="B779" i="1" a="1"/>
  <c r="B779" i="1"/>
  <c r="B780" i="1" a="1"/>
  <c r="B780" i="1" s="1"/>
  <c r="B781" i="1" a="1"/>
  <c r="B781" i="1" s="1"/>
  <c r="B782" i="1" a="1"/>
  <c r="B782" i="1"/>
  <c r="B783" i="1" a="1"/>
  <c r="B783" i="1" s="1"/>
  <c r="B784" i="1" a="1"/>
  <c r="B784" i="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c r="B805" i="1" a="1"/>
  <c r="B805" i="1" s="1"/>
  <c r="B806" i="1" a="1"/>
  <c r="B806" i="1" s="1"/>
  <c r="B807" i="1" a="1"/>
  <c r="B807" i="1" s="1"/>
  <c r="B808" i="1" a="1"/>
  <c r="B808" i="1"/>
  <c r="B809" i="1" a="1"/>
  <c r="B809" i="1" s="1"/>
  <c r="B810" i="1" a="1"/>
  <c r="B810" i="1" s="1"/>
  <c r="B811" i="1" a="1"/>
  <c r="B811" i="1" s="1"/>
  <c r="B812" i="1" a="1"/>
  <c r="B812" i="1"/>
  <c r="B813" i="1" a="1"/>
  <c r="B813" i="1" s="1"/>
  <c r="B814" i="1" a="1"/>
  <c r="B814" i="1" s="1"/>
  <c r="B815" i="1" a="1"/>
  <c r="B815" i="1" s="1"/>
  <c r="B816" i="1" a="1"/>
  <c r="B816" i="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c r="B837" i="1" a="1"/>
  <c r="B837" i="1" s="1"/>
  <c r="B838" i="1" a="1"/>
  <c r="B838" i="1" s="1"/>
  <c r="B839" i="1" a="1"/>
  <c r="B839" i="1" s="1"/>
  <c r="B840" i="1" a="1"/>
  <c r="B840" i="1"/>
  <c r="B841" i="1" a="1"/>
  <c r="B841" i="1" s="1"/>
  <c r="B842" i="1" a="1"/>
  <c r="B842" i="1" s="1"/>
  <c r="B843" i="1" a="1"/>
  <c r="B843" i="1" s="1"/>
  <c r="B844" i="1" a="1"/>
  <c r="B844" i="1"/>
  <c r="B845" i="1" a="1"/>
  <c r="B845" i="1" s="1"/>
  <c r="B846" i="1" a="1"/>
  <c r="B846" i="1" s="1"/>
  <c r="B847" i="1" a="1"/>
  <c r="B847" i="1" s="1"/>
  <c r="B848" i="1" a="1"/>
  <c r="B848" i="1"/>
  <c r="B849" i="1" a="1"/>
  <c r="B849" i="1" s="1"/>
  <c r="B850" i="1" a="1"/>
  <c r="B850" i="1" s="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c r="B869" i="1" a="1"/>
  <c r="B869" i="1" s="1"/>
  <c r="B870" i="1" a="1"/>
  <c r="B870" i="1" s="1"/>
  <c r="B871" i="1" a="1"/>
  <c r="B871" i="1" s="1"/>
  <c r="B872" i="1" a="1"/>
  <c r="B872" i="1"/>
  <c r="B873" i="1" a="1"/>
  <c r="B873" i="1" s="1"/>
  <c r="B874" i="1" a="1"/>
  <c r="B874" i="1" s="1"/>
  <c r="B875" i="1" a="1"/>
  <c r="B875" i="1" s="1"/>
  <c r="B876" i="1" a="1"/>
  <c r="B876" i="1"/>
  <c r="B877" i="1" a="1"/>
  <c r="B877" i="1" s="1"/>
  <c r="B878" i="1" a="1"/>
  <c r="B878" i="1" s="1"/>
  <c r="B879" i="1" a="1"/>
  <c r="B879" i="1" s="1"/>
  <c r="B880" i="1" a="1"/>
  <c r="B880" i="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c r="B901" i="1" a="1"/>
  <c r="B901" i="1" s="1"/>
  <c r="B902" i="1" a="1"/>
  <c r="B902" i="1" s="1"/>
  <c r="B903" i="1" a="1"/>
  <c r="B903" i="1" s="1"/>
  <c r="B904" i="1" a="1"/>
  <c r="B904" i="1"/>
  <c r="B905" i="1" a="1"/>
  <c r="B905" i="1" s="1"/>
  <c r="B906" i="1" a="1"/>
  <c r="B906" i="1" s="1"/>
  <c r="B907" i="1" a="1"/>
  <c r="B907" i="1" s="1"/>
  <c r="B908" i="1" a="1"/>
  <c r="B908" i="1"/>
  <c r="B909" i="1" a="1"/>
  <c r="B909" i="1" s="1"/>
  <c r="B910" i="1" a="1"/>
  <c r="B910" i="1" s="1"/>
  <c r="B911" i="1" a="1"/>
  <c r="B911" i="1" s="1"/>
  <c r="B912" i="1" a="1"/>
  <c r="B912" i="1"/>
  <c r="B913" i="1" a="1"/>
  <c r="B913" i="1" s="1"/>
  <c r="B914" i="1" a="1"/>
  <c r="B914" i="1" s="1"/>
  <c r="B915" i="1" a="1"/>
  <c r="B915" i="1" s="1"/>
  <c r="B916" i="1" a="1"/>
  <c r="B916" i="1" s="1"/>
  <c r="B917" i="1" a="1"/>
  <c r="B917" i="1" s="1"/>
  <c r="B918" i="1" a="1"/>
  <c r="B918" i="1" s="1"/>
  <c r="B919" i="1" a="1"/>
  <c r="B919" i="1" s="1"/>
  <c r="B920" i="1" a="1"/>
  <c r="B920" i="1" s="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c r="B933" i="1" a="1"/>
  <c r="B933" i="1" s="1"/>
  <c r="B934" i="1" a="1"/>
  <c r="B934" i="1" s="1"/>
  <c r="B935" i="1" a="1"/>
  <c r="B935" i="1" s="1"/>
  <c r="B936" i="1" a="1"/>
  <c r="B936" i="1"/>
  <c r="B937" i="1" a="1"/>
  <c r="B937" i="1" s="1"/>
  <c r="B938" i="1" a="1"/>
  <c r="B938" i="1" s="1"/>
  <c r="B939" i="1" a="1"/>
  <c r="B939" i="1" s="1"/>
  <c r="B940" i="1" a="1"/>
  <c r="B940" i="1"/>
  <c r="B941" i="1" a="1"/>
  <c r="B941" i="1" s="1"/>
  <c r="B942" i="1" a="1"/>
  <c r="B942" i="1" s="1"/>
  <c r="B943" i="1" a="1"/>
  <c r="B943" i="1" s="1"/>
  <c r="B944" i="1" a="1"/>
  <c r="B944" i="1"/>
  <c r="B945" i="1" a="1"/>
  <c r="B945" i="1" s="1"/>
  <c r="B946" i="1" a="1"/>
  <c r="B946" i="1" s="1"/>
  <c r="B947" i="1" a="1"/>
  <c r="B947" i="1" s="1"/>
  <c r="B948" i="1" a="1"/>
  <c r="B948" i="1" s="1"/>
  <c r="B949" i="1" a="1"/>
  <c r="B949" i="1" s="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c r="B965" i="1" a="1"/>
  <c r="B965" i="1" s="1"/>
  <c r="B966" i="1" a="1"/>
  <c r="B966" i="1" s="1"/>
  <c r="B967" i="1" a="1"/>
  <c r="B967" i="1" s="1"/>
  <c r="B968" i="1" a="1"/>
  <c r="B968" i="1"/>
  <c r="B969" i="1" a="1"/>
  <c r="B969" i="1" s="1"/>
  <c r="B970" i="1" a="1"/>
  <c r="B970" i="1" s="1"/>
  <c r="B971" i="1" a="1"/>
  <c r="B971" i="1" s="1"/>
  <c r="B972" i="1" a="1"/>
  <c r="B972" i="1"/>
  <c r="B973" i="1" a="1"/>
  <c r="B973" i="1" s="1"/>
  <c r="B974" i="1" a="1"/>
  <c r="B974" i="1" s="1"/>
  <c r="B975" i="1" a="1"/>
  <c r="B975" i="1" s="1"/>
  <c r="B976" i="1" a="1"/>
  <c r="B976" i="1"/>
  <c r="B977" i="1" a="1"/>
  <c r="B977" i="1" s="1"/>
  <c r="B978" i="1" a="1"/>
  <c r="B978" i="1" s="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s="1"/>
  <c r="B996" i="1" a="1"/>
  <c r="B996" i="1"/>
  <c r="B997" i="1" a="1"/>
  <c r="B997" i="1" s="1"/>
  <c r="B998" i="1" a="1"/>
  <c r="B998" i="1" s="1"/>
  <c r="B999" i="1" a="1"/>
  <c r="B999" i="1" s="1"/>
  <c r="B1000" i="1" a="1"/>
  <c r="B1000" i="1"/>
  <c r="B1001" i="1" a="1"/>
  <c r="B1001" i="1" s="1"/>
  <c r="B1002" i="1" a="1"/>
  <c r="B1002" i="1" s="1"/>
  <c r="B1003" i="1" a="1"/>
  <c r="B1003" i="1" s="1"/>
  <c r="B1004" i="1" a="1"/>
  <c r="B1004" i="1"/>
  <c r="B1005" i="1" a="1"/>
  <c r="B1005" i="1" s="1"/>
  <c r="B1006" i="1" a="1"/>
  <c r="B1006" i="1" s="1"/>
  <c r="B1007" i="1" a="1"/>
  <c r="B1007" i="1" s="1"/>
  <c r="B1008" i="1" a="1"/>
  <c r="B1008" i="1"/>
  <c r="B1009" i="1" a="1"/>
  <c r="B1009" i="1" s="1"/>
  <c r="B1010" i="1" a="1"/>
  <c r="B1010" i="1" s="1"/>
  <c r="B1011" i="1" a="1"/>
  <c r="B1011" i="1" s="1"/>
  <c r="B1012" i="1" a="1"/>
  <c r="B1012" i="1" s="1"/>
  <c r="B1013" i="1" a="1"/>
  <c r="B1013" i="1" s="1"/>
  <c r="B1014" i="1" a="1"/>
  <c r="B1014" i="1" s="1"/>
  <c r="B1015" i="1" a="1"/>
  <c r="B1015" i="1" s="1"/>
  <c r="B1016" i="1" a="1"/>
  <c r="B1016" i="1" s="1"/>
  <c r="B1017" i="1" a="1"/>
  <c r="B1017" i="1" s="1"/>
  <c r="B1018" i="1" a="1"/>
  <c r="B1018" i="1" s="1"/>
  <c r="B1019" i="1" a="1"/>
  <c r="B1019" i="1" s="1"/>
  <c r="B1020" i="1" a="1"/>
  <c r="B1020" i="1" s="1"/>
  <c r="B1021" i="1" a="1"/>
  <c r="B1021" i="1" s="1"/>
  <c r="B1022" i="1" a="1"/>
  <c r="B1022" i="1" s="1"/>
  <c r="B1023" i="1" a="1"/>
  <c r="B1023" i="1" s="1"/>
  <c r="B1024" i="1" a="1"/>
  <c r="B1024" i="1" s="1"/>
  <c r="B1025" i="1" a="1"/>
  <c r="B1025" i="1" s="1"/>
  <c r="B1026" i="1" a="1"/>
  <c r="B1026" i="1" s="1"/>
  <c r="B1027" i="1" a="1"/>
  <c r="B1027" i="1" s="1"/>
  <c r="B1028" i="1" a="1"/>
  <c r="B1028" i="1"/>
  <c r="B1029" i="1" a="1"/>
  <c r="B1029" i="1" s="1"/>
  <c r="B1030" i="1" a="1"/>
  <c r="B1030" i="1" s="1"/>
  <c r="B1031" i="1" a="1"/>
  <c r="B1031" i="1" s="1"/>
  <c r="B1032" i="1" a="1"/>
  <c r="B1032" i="1"/>
  <c r="B1033" i="1" a="1"/>
  <c r="B1033" i="1" s="1"/>
  <c r="B1034" i="1" a="1"/>
  <c r="B1034" i="1" s="1"/>
  <c r="B1035" i="1" a="1"/>
  <c r="B1035" i="1" s="1"/>
  <c r="B1036" i="1" a="1"/>
  <c r="B1036" i="1"/>
  <c r="B1037" i="1" a="1"/>
  <c r="B1037" i="1" s="1"/>
  <c r="B1038" i="1" a="1"/>
  <c r="B1038" i="1" s="1"/>
  <c r="B1039" i="1" a="1"/>
  <c r="B1039" i="1" s="1"/>
  <c r="B1040" i="1" a="1"/>
  <c r="B1040" i="1"/>
  <c r="B1041" i="1" a="1"/>
  <c r="B1041" i="1" s="1"/>
  <c r="B1042" i="1" a="1"/>
  <c r="B1042" i="1" s="1"/>
  <c r="B1043" i="1" a="1"/>
  <c r="B1043" i="1" s="1"/>
  <c r="B1044" i="1" a="1"/>
  <c r="B1044" i="1" s="1"/>
  <c r="B1045" i="1" a="1"/>
  <c r="B1045" i="1" s="1"/>
  <c r="B1046" i="1" a="1"/>
  <c r="B1046" i="1" s="1"/>
  <c r="B1047" i="1" a="1"/>
  <c r="B1047" i="1"/>
  <c r="B1048" i="1" a="1"/>
  <c r="B1048" i="1"/>
  <c r="B1049" i="1" a="1"/>
  <c r="B1049" i="1" s="1"/>
  <c r="B1050" i="1" a="1"/>
  <c r="B1050" i="1" s="1"/>
  <c r="B1051" i="1" a="1"/>
  <c r="B1051" i="1" s="1"/>
  <c r="B1052" i="1" a="1"/>
  <c r="B1052" i="1"/>
  <c r="B1053" i="1" a="1"/>
  <c r="B1053" i="1" s="1"/>
  <c r="B1054" i="1" a="1"/>
  <c r="B1054" i="1" s="1"/>
  <c r="B1055" i="1" a="1"/>
  <c r="B1055" i="1" s="1"/>
  <c r="B1056" i="1" a="1"/>
  <c r="B1056" i="1" s="1"/>
  <c r="B1057" i="1" a="1"/>
  <c r="B1057" i="1" s="1"/>
  <c r="B1058" i="1" a="1"/>
  <c r="B1058" i="1" s="1"/>
  <c r="B1059" i="1" a="1"/>
  <c r="B1059" i="1"/>
  <c r="B1060" i="1" a="1"/>
  <c r="B1060" i="1" s="1"/>
  <c r="B1061" i="1" a="1"/>
  <c r="B1061" i="1" s="1"/>
  <c r="B1062" i="1" a="1"/>
  <c r="B1062" i="1" s="1"/>
  <c r="B1063" i="1" a="1"/>
  <c r="B1063" i="1"/>
  <c r="B1064" i="1" a="1"/>
  <c r="B1064" i="1"/>
  <c r="B1065" i="1" a="1"/>
  <c r="B1065" i="1" s="1"/>
  <c r="B1066" i="1" a="1"/>
  <c r="B1066" i="1" s="1"/>
  <c r="B1067" i="1" a="1"/>
  <c r="B1067" i="1" s="1"/>
  <c r="B1068" i="1" a="1"/>
  <c r="B1068" i="1"/>
  <c r="B1069" i="1" a="1"/>
  <c r="B1069" i="1" s="1"/>
  <c r="B1070" i="1" a="1"/>
  <c r="B1070" i="1" s="1"/>
  <c r="B1071" i="1" a="1"/>
  <c r="B1071" i="1" s="1"/>
  <c r="B1072" i="1" a="1"/>
  <c r="B1072" i="1" s="1"/>
  <c r="B1073" i="1" a="1"/>
  <c r="B1073" i="1" s="1"/>
  <c r="B1074" i="1" a="1"/>
  <c r="B1074" i="1" s="1"/>
  <c r="B1075" i="1" a="1"/>
  <c r="B1075" i="1"/>
  <c r="B1076" i="1" a="1"/>
  <c r="B1076" i="1" s="1"/>
  <c r="B1077" i="1" a="1"/>
  <c r="B1077" i="1" s="1"/>
  <c r="B1078" i="1" a="1"/>
  <c r="B1078" i="1" s="1"/>
  <c r="B1079" i="1" a="1"/>
  <c r="B1079" i="1"/>
  <c r="B1080" i="1" a="1"/>
  <c r="B1080" i="1"/>
  <c r="B1081" i="1" a="1"/>
  <c r="B1081" i="1" s="1"/>
  <c r="B1082" i="1" a="1"/>
  <c r="B1082" i="1" s="1"/>
  <c r="B1083" i="1" a="1"/>
  <c r="B1083" i="1" s="1"/>
  <c r="B1084" i="1" a="1"/>
  <c r="B1084" i="1"/>
  <c r="B1085" i="1" a="1"/>
  <c r="B1085" i="1" s="1"/>
  <c r="B1086" i="1" a="1"/>
  <c r="B1086" i="1" s="1"/>
  <c r="B1087" i="1" a="1"/>
  <c r="B1087" i="1" s="1"/>
  <c r="B1088" i="1" a="1"/>
  <c r="B1088" i="1" s="1"/>
  <c r="B1089" i="1" a="1"/>
  <c r="B1089" i="1" s="1"/>
  <c r="B1090" i="1" a="1"/>
  <c r="B1090" i="1" s="1"/>
  <c r="B1091" i="1" a="1"/>
  <c r="B1091" i="1"/>
  <c r="B1092" i="1" a="1"/>
  <c r="B1092" i="1" s="1"/>
  <c r="B1093" i="1" a="1"/>
  <c r="B1093" i="1" s="1"/>
  <c r="B1094" i="1" a="1"/>
  <c r="B1094" i="1" s="1"/>
  <c r="B1095" i="1" a="1"/>
  <c r="B1095" i="1"/>
  <c r="B1096" i="1" a="1"/>
  <c r="B1096" i="1"/>
  <c r="B1097" i="1" a="1"/>
  <c r="B1097" i="1" s="1"/>
  <c r="B1098" i="1" a="1"/>
  <c r="B1098" i="1" s="1"/>
  <c r="B1099" i="1" a="1"/>
  <c r="B1099" i="1" s="1"/>
  <c r="B1100" i="1" a="1"/>
  <c r="B1100" i="1"/>
  <c r="B1101" i="1" a="1"/>
  <c r="B1101" i="1" s="1"/>
  <c r="B1102" i="1" a="1"/>
  <c r="B1102" i="1" s="1"/>
  <c r="B1103" i="1" a="1"/>
  <c r="B1103" i="1" s="1"/>
  <c r="B1104" i="1" a="1"/>
  <c r="B1104" i="1" s="1"/>
  <c r="B1105" i="1" a="1"/>
  <c r="B1105" i="1" s="1"/>
  <c r="B1106" i="1" a="1"/>
  <c r="B1106" i="1" s="1"/>
  <c r="B1107" i="1" a="1"/>
  <c r="B1107" i="1"/>
  <c r="B1108" i="1" a="1"/>
  <c r="B1108" i="1" s="1"/>
  <c r="B1109" i="1" a="1"/>
  <c r="B1109" i="1" s="1"/>
  <c r="B1110" i="1" a="1"/>
  <c r="B1110" i="1" s="1"/>
  <c r="B1111" i="1" a="1"/>
  <c r="B1111" i="1"/>
  <c r="B1112" i="1" a="1"/>
  <c r="B1112" i="1"/>
  <c r="B1113" i="1" a="1"/>
  <c r="B1113" i="1" s="1"/>
  <c r="B1114" i="1" a="1"/>
  <c r="B1114" i="1" s="1"/>
  <c r="B1115" i="1" a="1"/>
  <c r="B1115" i="1" s="1"/>
  <c r="B1116" i="1" a="1"/>
  <c r="B1116" i="1"/>
  <c r="B1117" i="1" a="1"/>
  <c r="B1117" i="1" s="1"/>
  <c r="B1118" i="1" a="1"/>
  <c r="B1118" i="1" s="1"/>
  <c r="B1119" i="1" a="1"/>
  <c r="B1119" i="1" s="1"/>
  <c r="B1120" i="1" a="1"/>
  <c r="B1120" i="1" s="1"/>
  <c r="B1121" i="1" a="1"/>
  <c r="B1121" i="1" s="1"/>
  <c r="B1122" i="1" a="1"/>
  <c r="B1122" i="1" s="1"/>
  <c r="B1123" i="1" a="1"/>
  <c r="B1123" i="1"/>
  <c r="B1124" i="1" a="1"/>
  <c r="B1124" i="1" s="1"/>
  <c r="B1125" i="1" a="1"/>
  <c r="B1125" i="1" s="1"/>
  <c r="B1126" i="1" a="1"/>
  <c r="B1126" i="1"/>
  <c r="B1127" i="1" a="1"/>
  <c r="B1127" i="1" s="1"/>
  <c r="B1128" i="1" a="1"/>
  <c r="B1128" i="1" s="1"/>
  <c r="B1129" i="1" a="1"/>
  <c r="B1129" i="1" s="1"/>
  <c r="B1130" i="1" a="1"/>
  <c r="B1130" i="1" s="1"/>
  <c r="B1131" i="1" a="1"/>
  <c r="B1131" i="1"/>
  <c r="B1132" i="1" a="1"/>
  <c r="B1132" i="1"/>
  <c r="B1133" i="1" a="1"/>
  <c r="B1133" i="1" s="1"/>
  <c r="B1134" i="1" a="1"/>
  <c r="B1134" i="1"/>
  <c r="B1135" i="1" a="1"/>
  <c r="B1135" i="1"/>
  <c r="B1136" i="1" a="1"/>
  <c r="B1136" i="1" s="1"/>
  <c r="B1137" i="1" a="1"/>
  <c r="B1137" i="1" s="1"/>
  <c r="B1138" i="1" a="1"/>
  <c r="B1138" i="1" s="1"/>
  <c r="B1139" i="1" a="1"/>
  <c r="B1139" i="1" s="1"/>
  <c r="B1140" i="1" a="1"/>
  <c r="B1140" i="1"/>
  <c r="B1141" i="1" a="1"/>
  <c r="B1141" i="1" s="1"/>
  <c r="B1142" i="1" a="1"/>
  <c r="B1142" i="1" s="1"/>
  <c r="B1143" i="1" a="1"/>
  <c r="B1143" i="1"/>
  <c r="B1144" i="1" a="1"/>
  <c r="B1144" i="1"/>
  <c r="B1145" i="1" a="1"/>
  <c r="B1145" i="1" s="1"/>
  <c r="B1146" i="1" a="1"/>
  <c r="B1146" i="1"/>
  <c r="B1147" i="1" a="1"/>
  <c r="B1147" i="1" s="1"/>
  <c r="B1148" i="1" a="1"/>
  <c r="B1148" i="1" s="1"/>
  <c r="B1149" i="1" a="1"/>
  <c r="B1149" i="1" s="1"/>
  <c r="B1150" i="1" a="1"/>
  <c r="B1150" i="1" s="1"/>
  <c r="B1151" i="1" a="1"/>
  <c r="B1151" i="1" s="1"/>
  <c r="B1152" i="1" a="1"/>
  <c r="B1152" i="1"/>
  <c r="B1153" i="1" a="1"/>
  <c r="B1153" i="1" s="1"/>
  <c r="B1154" i="1" a="1"/>
  <c r="B1154" i="1"/>
  <c r="B1155" i="1" a="1"/>
  <c r="B1155" i="1"/>
  <c r="B1156" i="1" a="1"/>
  <c r="B1156" i="1" s="1"/>
  <c r="B1157" i="1" a="1"/>
  <c r="B1157" i="1" s="1"/>
  <c r="B1158" i="1" a="1"/>
  <c r="B1158" i="1"/>
  <c r="B1159" i="1" a="1"/>
  <c r="B1159" i="1" s="1"/>
  <c r="B1160" i="1" a="1"/>
  <c r="B1160" i="1" s="1"/>
  <c r="B1161" i="1" a="1"/>
  <c r="B1161" i="1" s="1"/>
  <c r="B1162" i="1" a="1"/>
  <c r="B1162" i="1" s="1"/>
  <c r="B1163" i="1" a="1"/>
  <c r="B1163" i="1"/>
  <c r="B1164" i="1" a="1"/>
  <c r="B1164" i="1"/>
  <c r="B1165" i="1" a="1"/>
  <c r="B1165" i="1" s="1"/>
  <c r="B1166" i="1" a="1"/>
  <c r="B1166" i="1"/>
  <c r="B1167" i="1" a="1"/>
  <c r="B1167" i="1"/>
  <c r="B1168" i="1" a="1"/>
  <c r="B1168" i="1" s="1"/>
  <c r="B1169" i="1" a="1"/>
  <c r="B1169" i="1" s="1"/>
  <c r="B1170" i="1" a="1"/>
  <c r="B1170" i="1" s="1"/>
  <c r="B1171" i="1" a="1"/>
  <c r="B1171" i="1" s="1"/>
  <c r="B1172" i="1" a="1"/>
  <c r="B1172" i="1"/>
  <c r="B1173" i="1" a="1"/>
  <c r="B1173" i="1" s="1"/>
  <c r="B1174" i="1" a="1"/>
  <c r="B1174" i="1" s="1"/>
  <c r="B1175" i="1" a="1"/>
  <c r="B1175" i="1"/>
  <c r="B1176" i="1" a="1"/>
  <c r="B1176" i="1"/>
  <c r="B1177" i="1" a="1"/>
  <c r="B1177" i="1" s="1"/>
  <c r="B1178" i="1" a="1"/>
  <c r="B1178" i="1"/>
  <c r="B1179" i="1" a="1"/>
  <c r="B1179" i="1" s="1"/>
  <c r="B1180" i="1" a="1"/>
  <c r="B1180" i="1" s="1"/>
  <c r="B1181" i="1" a="1"/>
  <c r="B1181" i="1" s="1"/>
  <c r="B1182" i="1" a="1"/>
  <c r="B1182" i="1" s="1"/>
  <c r="B1183" i="1" a="1"/>
  <c r="B1183" i="1" s="1"/>
  <c r="B1184" i="1" a="1"/>
  <c r="B1184" i="1"/>
  <c r="B1185" i="1" a="1"/>
  <c r="B1185" i="1" s="1"/>
  <c r="B1186" i="1" a="1"/>
  <c r="B1186" i="1"/>
  <c r="B1187" i="1" a="1"/>
  <c r="B1187" i="1"/>
  <c r="B1188" i="1" a="1"/>
  <c r="B1188" i="1" s="1"/>
  <c r="B1189" i="1" a="1"/>
  <c r="B1189" i="1" s="1"/>
  <c r="B1190" i="1" a="1"/>
  <c r="B1190" i="1"/>
  <c r="B1191" i="1" a="1"/>
  <c r="B1191" i="1" s="1"/>
  <c r="B1192" i="1" a="1"/>
  <c r="B1192" i="1" s="1"/>
  <c r="B1193" i="1" a="1"/>
  <c r="B1193" i="1" s="1"/>
  <c r="B1194" i="1" a="1"/>
  <c r="B1194" i="1" s="1"/>
  <c r="B1195" i="1" a="1"/>
  <c r="B1195" i="1"/>
  <c r="B1196" i="1" a="1"/>
  <c r="B1196" i="1"/>
  <c r="B1197" i="1" a="1"/>
  <c r="B1197" i="1" s="1"/>
  <c r="B1198" i="1" a="1"/>
  <c r="B1198" i="1"/>
  <c r="B1199" i="1" a="1"/>
  <c r="B1199" i="1"/>
  <c r="B1200" i="1" a="1"/>
  <c r="B1200" i="1" s="1"/>
  <c r="B1201" i="1" a="1"/>
  <c r="B1201" i="1" s="1"/>
  <c r="B1202" i="1" a="1"/>
  <c r="B1202" i="1" s="1"/>
  <c r="B1203" i="1" a="1"/>
  <c r="B1203" i="1" s="1"/>
  <c r="B1204" i="1" a="1"/>
  <c r="B1204" i="1"/>
  <c r="B1205" i="1" a="1"/>
  <c r="B1205" i="1" s="1"/>
  <c r="B1206" i="1" a="1"/>
  <c r="B1206" i="1" s="1"/>
  <c r="B1207" i="1" a="1"/>
  <c r="B1207" i="1"/>
  <c r="B1208" i="1" a="1"/>
  <c r="B1208" i="1"/>
  <c r="B1209" i="1" a="1"/>
  <c r="B1209" i="1" s="1"/>
  <c r="B1210" i="1" a="1"/>
  <c r="B1210" i="1"/>
  <c r="B1211" i="1" a="1"/>
  <c r="B1211" i="1" s="1"/>
  <c r="B1212" i="1" a="1"/>
  <c r="B1212" i="1" s="1"/>
  <c r="B1213" i="1" a="1"/>
  <c r="B1213" i="1" s="1"/>
  <c r="B1214" i="1" a="1"/>
  <c r="B1214" i="1" s="1"/>
  <c r="B1215" i="1" a="1"/>
  <c r="B1215" i="1" s="1"/>
  <c r="B1216" i="1" a="1"/>
  <c r="B1216" i="1"/>
  <c r="B1217" i="1" a="1"/>
  <c r="B1217" i="1" s="1"/>
  <c r="B1218" i="1" a="1"/>
  <c r="B1218" i="1"/>
  <c r="B1219" i="1" a="1"/>
  <c r="B1219" i="1"/>
  <c r="B1220" i="1" a="1"/>
  <c r="B1220" i="1" s="1"/>
  <c r="B1221" i="1" a="1"/>
  <c r="B1221" i="1" s="1"/>
  <c r="B1222" i="1" a="1"/>
  <c r="B1222" i="1"/>
  <c r="B1223" i="1" a="1"/>
  <c r="B1223" i="1" s="1"/>
  <c r="B1224" i="1" a="1"/>
  <c r="B1224" i="1" s="1"/>
  <c r="B1225" i="1" a="1"/>
  <c r="B1225" i="1" s="1"/>
  <c r="B1226" i="1" a="1"/>
  <c r="B1226" i="1" s="1"/>
  <c r="B1227" i="1" a="1"/>
  <c r="B1227" i="1"/>
  <c r="B1228" i="1" a="1"/>
  <c r="B1228" i="1"/>
  <c r="B1229" i="1" a="1"/>
  <c r="B1229" i="1" s="1"/>
  <c r="B1230" i="1" a="1"/>
  <c r="B1230" i="1"/>
  <c r="B1231" i="1" a="1"/>
  <c r="B1231" i="1"/>
  <c r="B1232" i="1" a="1"/>
  <c r="B1232" i="1" s="1"/>
  <c r="B1233" i="1" a="1"/>
  <c r="B1233" i="1" s="1"/>
  <c r="B1234" i="1" a="1"/>
  <c r="B1234" i="1" s="1"/>
  <c r="B1235" i="1" a="1"/>
  <c r="B1235" i="1" s="1"/>
  <c r="B1236" i="1" a="1"/>
  <c r="B1236" i="1"/>
  <c r="B1237" i="1" a="1"/>
  <c r="B1237" i="1" s="1"/>
  <c r="B1238" i="1" a="1"/>
  <c r="B1238" i="1" s="1"/>
  <c r="B1239" i="1" a="1"/>
  <c r="B1239" i="1"/>
  <c r="B1240" i="1" a="1"/>
  <c r="B1240" i="1"/>
  <c r="B1241" i="1" a="1"/>
  <c r="B1241" i="1" s="1"/>
  <c r="B1242" i="1" a="1"/>
  <c r="B1242" i="1"/>
  <c r="B1243" i="1" a="1"/>
  <c r="B1243" i="1" s="1"/>
  <c r="B1244" i="1" a="1"/>
  <c r="B1244" i="1" s="1"/>
  <c r="B1245" i="1" a="1"/>
  <c r="B1245" i="1" s="1"/>
  <c r="B1246" i="1" a="1"/>
  <c r="B1246" i="1" s="1"/>
  <c r="B1247" i="1" a="1"/>
  <c r="B1247" i="1" s="1"/>
  <c r="B1248" i="1" a="1"/>
  <c r="B1248" i="1"/>
  <c r="B1249" i="1" a="1"/>
  <c r="B1249" i="1" s="1"/>
  <c r="B1250" i="1" a="1"/>
  <c r="B1250" i="1"/>
  <c r="B1251" i="1" a="1"/>
  <c r="B1251" i="1"/>
  <c r="B1252" i="1" a="1"/>
  <c r="B1252" i="1" s="1"/>
  <c r="B1253" i="1" a="1"/>
  <c r="B1253" i="1" s="1"/>
  <c r="B1254" i="1" a="1"/>
  <c r="B1254" i="1"/>
  <c r="B1255" i="1" a="1"/>
  <c r="B1255" i="1" s="1"/>
  <c r="B1256" i="1" a="1"/>
  <c r="B1256" i="1" s="1"/>
  <c r="B1257" i="1" a="1"/>
  <c r="B1257" i="1" s="1"/>
  <c r="B1258" i="1" a="1"/>
  <c r="B1258" i="1" s="1"/>
  <c r="B1259" i="1" a="1"/>
  <c r="B1259" i="1"/>
  <c r="B1260" i="1" a="1"/>
  <c r="B1260" i="1"/>
  <c r="B1261" i="1" a="1"/>
  <c r="B1261" i="1" s="1"/>
  <c r="B1262" i="1" a="1"/>
  <c r="B1262" i="1"/>
  <c r="B1263" i="1" a="1"/>
  <c r="B1263" i="1"/>
  <c r="B1264" i="1" a="1"/>
  <c r="B1264" i="1" s="1"/>
  <c r="B1265" i="1" a="1"/>
  <c r="B1265" i="1" s="1"/>
  <c r="B1266" i="1" a="1"/>
  <c r="B1266" i="1" s="1"/>
  <c r="B1267" i="1" a="1"/>
  <c r="B1267" i="1" s="1"/>
  <c r="B1268" i="1" a="1"/>
  <c r="B1268" i="1"/>
  <c r="B1269" i="1" a="1"/>
  <c r="B1269" i="1" s="1"/>
  <c r="B1270" i="1" a="1"/>
  <c r="B1270" i="1" s="1"/>
  <c r="B1271" i="1" a="1"/>
  <c r="B1271" i="1"/>
  <c r="B1272" i="1" a="1"/>
  <c r="B1272" i="1"/>
  <c r="B1273" i="1" a="1"/>
  <c r="B1273" i="1" s="1"/>
  <c r="B1274" i="1" a="1"/>
  <c r="B1274" i="1"/>
  <c r="B1275" i="1" a="1"/>
  <c r="B1275" i="1" s="1"/>
  <c r="B1276" i="1" a="1"/>
  <c r="B1276" i="1" s="1"/>
  <c r="B1277" i="1" a="1"/>
  <c r="B1277" i="1" s="1"/>
  <c r="B1278" i="1" a="1"/>
  <c r="B1278" i="1" s="1"/>
  <c r="B1279" i="1" a="1"/>
  <c r="B1279" i="1" s="1"/>
  <c r="B1280" i="1" a="1"/>
  <c r="B1280" i="1"/>
  <c r="B1281" i="1" a="1"/>
  <c r="B1281" i="1" s="1"/>
  <c r="B1282" i="1" a="1"/>
  <c r="B1282" i="1"/>
  <c r="B1283" i="1" a="1"/>
  <c r="B1283" i="1"/>
  <c r="B1284" i="1" a="1"/>
  <c r="B1284" i="1" s="1"/>
  <c r="B1285" i="1" a="1"/>
  <c r="B1285" i="1" s="1"/>
  <c r="B1286" i="1" a="1"/>
  <c r="B1286" i="1"/>
  <c r="B1287" i="1" a="1"/>
  <c r="B1287" i="1" s="1"/>
  <c r="B1288" i="1" a="1"/>
  <c r="B1288" i="1" s="1"/>
  <c r="B1289" i="1" a="1"/>
  <c r="B1289" i="1" s="1"/>
  <c r="B1290" i="1" a="1"/>
  <c r="B1290" i="1" s="1"/>
  <c r="B1291" i="1" a="1"/>
  <c r="B1291" i="1"/>
  <c r="B1292" i="1" a="1"/>
  <c r="B1292" i="1"/>
  <c r="B1293" i="1" a="1"/>
  <c r="B1293" i="1" s="1"/>
  <c r="B1294" i="1" a="1"/>
  <c r="B1294" i="1"/>
  <c r="B1295" i="1" a="1"/>
  <c r="B1295" i="1"/>
  <c r="B1296" i="1" a="1"/>
  <c r="B1296" i="1" s="1"/>
  <c r="B1297" i="1" a="1"/>
  <c r="B1297" i="1" s="1"/>
  <c r="B1298" i="1" a="1"/>
  <c r="B1298" i="1" s="1"/>
  <c r="B1299" i="1" a="1"/>
  <c r="B1299" i="1" s="1"/>
  <c r="B1300" i="1" a="1"/>
  <c r="B1300" i="1"/>
  <c r="B1301" i="1" a="1"/>
  <c r="B1301" i="1" s="1"/>
  <c r="B1302" i="1" a="1"/>
  <c r="B1302" i="1" s="1"/>
  <c r="B1303" i="1" a="1"/>
  <c r="B1303" i="1"/>
  <c r="B1304" i="1" a="1"/>
  <c r="B1304" i="1"/>
  <c r="B1305" i="1" a="1"/>
  <c r="B1305" i="1" s="1"/>
  <c r="B1306" i="1" a="1"/>
  <c r="B1306" i="1"/>
  <c r="B1307" i="1" a="1"/>
  <c r="B1307" i="1" s="1"/>
  <c r="B1308" i="1" a="1"/>
  <c r="B1308" i="1" s="1"/>
  <c r="B1309" i="1" a="1"/>
  <c r="B1309" i="1" s="1"/>
  <c r="B1310" i="1" a="1"/>
  <c r="B1310" i="1" s="1"/>
  <c r="B1311" i="1" a="1"/>
  <c r="B1311" i="1" s="1"/>
  <c r="B1312" i="1" a="1"/>
  <c r="B1312" i="1"/>
  <c r="B1313" i="1" a="1"/>
  <c r="B1313" i="1" s="1"/>
  <c r="B1314" i="1" a="1"/>
  <c r="B1314" i="1"/>
  <c r="B1315" i="1" a="1"/>
  <c r="B1315" i="1"/>
  <c r="B1316" i="1" a="1"/>
  <c r="B1316" i="1" s="1"/>
  <c r="B1317" i="1" a="1"/>
  <c r="B1317" i="1" s="1"/>
  <c r="B1318" i="1" a="1"/>
  <c r="B1318" i="1"/>
  <c r="B1319" i="1" a="1"/>
  <c r="B1319" i="1" s="1"/>
  <c r="B1320" i="1" a="1"/>
  <c r="B1320" i="1" s="1"/>
  <c r="B1321" i="1" a="1"/>
  <c r="B1321" i="1" s="1"/>
  <c r="B1322" i="1" a="1"/>
  <c r="B1322" i="1" s="1"/>
  <c r="B1323" i="1" a="1"/>
  <c r="B1323" i="1"/>
  <c r="B1324" i="1" a="1"/>
  <c r="B1324" i="1"/>
  <c r="B1325" i="1" a="1"/>
  <c r="B1325" i="1" s="1"/>
  <c r="B1326" i="1" a="1"/>
  <c r="B1326" i="1"/>
  <c r="B1327" i="1" a="1"/>
  <c r="B1327" i="1"/>
  <c r="B1328" i="1" a="1"/>
  <c r="B1328" i="1" s="1"/>
  <c r="B1329" i="1" a="1"/>
  <c r="B1329" i="1" s="1"/>
  <c r="B1330" i="1" a="1"/>
  <c r="B1330" i="1" s="1"/>
  <c r="B1331" i="1" a="1"/>
  <c r="B1331" i="1" s="1"/>
  <c r="B1332" i="1" a="1"/>
  <c r="B1332" i="1"/>
  <c r="B1333" i="1" a="1"/>
  <c r="B1333" i="1" s="1"/>
  <c r="B1334" i="1" a="1"/>
  <c r="B1334" i="1" s="1"/>
  <c r="B1335" i="1" a="1"/>
  <c r="B1335" i="1"/>
  <c r="B1336" i="1" a="1"/>
  <c r="B1336" i="1"/>
  <c r="B1337" i="1" a="1"/>
  <c r="B1337" i="1" s="1"/>
  <c r="B1338" i="1" a="1"/>
  <c r="B1338" i="1" s="1"/>
  <c r="B1339" i="1" a="1"/>
  <c r="B1339" i="1"/>
  <c r="B1340" i="1" a="1"/>
  <c r="B1340" i="1"/>
  <c r="B1341" i="1" a="1"/>
  <c r="B1341" i="1" s="1"/>
  <c r="B1342" i="1" a="1"/>
  <c r="B1342" i="1" s="1"/>
  <c r="B1343" i="1" a="1"/>
  <c r="B1343" i="1"/>
  <c r="B1344" i="1" a="1"/>
  <c r="B1344" i="1"/>
  <c r="B1345" i="1" a="1"/>
  <c r="B1345" i="1" s="1"/>
  <c r="B1346" i="1" a="1"/>
  <c r="B1346" i="1" s="1"/>
  <c r="B1347" i="1" a="1"/>
  <c r="B1347" i="1"/>
  <c r="B1348" i="1" a="1"/>
  <c r="B1348" i="1"/>
  <c r="B1349" i="1" a="1"/>
  <c r="B1349" i="1" s="1"/>
  <c r="B1350" i="1" a="1"/>
  <c r="B1350" i="1" s="1"/>
  <c r="B1351" i="1" a="1"/>
  <c r="B1351" i="1"/>
  <c r="B1352" i="1" a="1"/>
  <c r="B1352" i="1"/>
  <c r="B1353" i="1" a="1"/>
  <c r="B1353" i="1" s="1"/>
  <c r="B1354" i="1" a="1"/>
  <c r="B1354" i="1" s="1"/>
  <c r="B1355" i="1" a="1"/>
  <c r="B1355" i="1"/>
  <c r="B1356" i="1" a="1"/>
  <c r="B1356" i="1"/>
  <c r="B1357" i="1" a="1"/>
  <c r="B1357" i="1" s="1"/>
  <c r="B1358" i="1" a="1"/>
  <c r="B1358" i="1" s="1"/>
  <c r="B1359" i="1" a="1"/>
  <c r="B1359" i="1"/>
  <c r="B1360" i="1" a="1"/>
  <c r="B1360" i="1"/>
  <c r="B1361" i="1" a="1"/>
  <c r="B1361" i="1" s="1"/>
  <c r="B1362" i="1" a="1"/>
  <c r="B1362" i="1" s="1"/>
  <c r="B1363" i="1" a="1"/>
  <c r="B1363" i="1"/>
  <c r="B1364" i="1" a="1"/>
  <c r="B1364" i="1"/>
  <c r="B1365" i="1" a="1"/>
  <c r="B1365" i="1" s="1"/>
  <c r="B1366" i="1" a="1"/>
  <c r="B1366" i="1" s="1"/>
  <c r="B1367" i="1" a="1"/>
  <c r="B1367" i="1"/>
  <c r="B1368" i="1" a="1"/>
  <c r="B1368" i="1"/>
  <c r="B1369" i="1" a="1"/>
  <c r="B1369" i="1" s="1"/>
  <c r="B1370" i="1" a="1"/>
  <c r="B1370" i="1" s="1"/>
  <c r="B1371" i="1" a="1"/>
  <c r="B1371" i="1"/>
  <c r="B1372" i="1" a="1"/>
  <c r="B1372" i="1"/>
  <c r="B1373" i="1" a="1"/>
  <c r="B1373" i="1" s="1"/>
  <c r="B1374" i="1" a="1"/>
  <c r="B1374" i="1" s="1"/>
  <c r="B1375" i="1" a="1"/>
  <c r="B1375" i="1"/>
  <c r="B1376" i="1" a="1"/>
  <c r="B1376" i="1"/>
  <c r="B1377" i="1" a="1"/>
  <c r="B1377" i="1" s="1"/>
  <c r="B1378" i="1" a="1"/>
  <c r="B1378" i="1" s="1"/>
  <c r="B1379" i="1" a="1"/>
  <c r="B1379" i="1"/>
  <c r="B1380" i="1" a="1"/>
  <c r="B1380" i="1"/>
  <c r="B1381" i="1" a="1"/>
  <c r="B1381" i="1" s="1"/>
  <c r="B1382" i="1" a="1"/>
  <c r="B1382" i="1" s="1"/>
  <c r="B1383" i="1" a="1"/>
  <c r="B1383" i="1"/>
  <c r="B1384" i="1" a="1"/>
  <c r="B1384" i="1"/>
  <c r="B1385" i="1" a="1"/>
  <c r="B1385" i="1" s="1"/>
  <c r="B1386" i="1" a="1"/>
  <c r="B1386" i="1" s="1"/>
  <c r="B1387" i="1" a="1"/>
  <c r="B1387" i="1"/>
  <c r="B1388" i="1" a="1"/>
  <c r="B1388" i="1"/>
  <c r="B1389" i="1" a="1"/>
  <c r="B1389" i="1" s="1"/>
  <c r="B1390" i="1" a="1"/>
  <c r="B1390" i="1" s="1"/>
  <c r="B1391" i="1" a="1"/>
  <c r="B1391" i="1"/>
  <c r="B1392" i="1" a="1"/>
  <c r="B1392" i="1" s="1"/>
  <c r="B1393" i="1" a="1"/>
  <c r="B1393" i="1" s="1"/>
  <c r="B1394" i="1" a="1"/>
  <c r="B1394" i="1" s="1"/>
  <c r="B1395" i="1" a="1"/>
  <c r="B1395" i="1"/>
  <c r="B1396" i="1" a="1"/>
  <c r="B1396" i="1" s="1"/>
  <c r="B1397" i="1" a="1"/>
  <c r="B1397" i="1" s="1"/>
  <c r="B1398" i="1" a="1"/>
  <c r="B1398" i="1" s="1"/>
  <c r="B1399" i="1" a="1"/>
  <c r="B1399" i="1"/>
  <c r="B1400" i="1" a="1"/>
  <c r="B1400" i="1" s="1"/>
  <c r="B1401" i="1" a="1"/>
  <c r="B1401" i="1" s="1"/>
  <c r="B1402" i="1" a="1"/>
  <c r="B1402" i="1" s="1"/>
  <c r="B1403" i="1" a="1"/>
  <c r="B1403" i="1"/>
  <c r="B1404" i="1" a="1"/>
  <c r="B1404" i="1" s="1"/>
  <c r="B1405" i="1" a="1"/>
  <c r="B1405" i="1" s="1"/>
  <c r="B1406" i="1" a="1"/>
  <c r="B1406" i="1" s="1"/>
  <c r="B1407" i="1" a="1"/>
  <c r="B1407" i="1"/>
  <c r="B1408" i="1" a="1"/>
  <c r="B1408" i="1" s="1"/>
  <c r="B1409" i="1" a="1"/>
  <c r="B1409" i="1" s="1"/>
  <c r="B1410" i="1" a="1"/>
  <c r="B1410" i="1" s="1"/>
  <c r="B1411" i="1" a="1"/>
  <c r="B1411" i="1"/>
  <c r="B1412" i="1" a="1"/>
  <c r="B1412" i="1" s="1"/>
  <c r="B1413" i="1" a="1"/>
  <c r="B1413" i="1" s="1"/>
  <c r="B1414" i="1" a="1"/>
  <c r="B1414" i="1" s="1"/>
  <c r="B1415" i="1" a="1"/>
  <c r="B1415" i="1"/>
  <c r="B1416" i="1" a="1"/>
  <c r="B1416" i="1" s="1"/>
  <c r="B1417" i="1" a="1"/>
  <c r="B1417" i="1" s="1"/>
  <c r="B1418" i="1" a="1"/>
  <c r="B1418" i="1" s="1"/>
  <c r="B1419" i="1" a="1"/>
  <c r="B1419" i="1"/>
  <c r="B1420" i="1" a="1"/>
  <c r="B1420" i="1" s="1"/>
  <c r="B1421" i="1" a="1"/>
  <c r="B1421" i="1" s="1"/>
  <c r="B1422" i="1" a="1"/>
  <c r="B1422" i="1" s="1"/>
  <c r="B1423" i="1" a="1"/>
  <c r="B1423" i="1"/>
  <c r="B1424" i="1" a="1"/>
  <c r="B1424" i="1" s="1"/>
  <c r="B1425" i="1" a="1"/>
  <c r="B1425" i="1" s="1"/>
  <c r="B1426" i="1" a="1"/>
  <c r="B1426" i="1" s="1"/>
  <c r="B1427" i="1" a="1"/>
  <c r="B1427" i="1"/>
  <c r="B1428" i="1" a="1"/>
  <c r="B1428" i="1" s="1"/>
  <c r="B1429" i="1" a="1"/>
  <c r="B1429" i="1" s="1"/>
  <c r="B1430" i="1" a="1"/>
  <c r="B1430" i="1" s="1"/>
  <c r="B1431" i="1" a="1"/>
  <c r="B1431" i="1"/>
  <c r="B1432" i="1" a="1"/>
  <c r="B1432" i="1" s="1"/>
  <c r="B1433" i="1" a="1"/>
  <c r="B1433" i="1" s="1"/>
  <c r="B1434" i="1" a="1"/>
  <c r="B1434" i="1" s="1"/>
  <c r="B1435" i="1" a="1"/>
  <c r="B1435" i="1"/>
  <c r="B1436" i="1" a="1"/>
  <c r="B1436" i="1" s="1"/>
  <c r="B1437" i="1" a="1"/>
  <c r="B1437" i="1" s="1"/>
  <c r="B1438" i="1" a="1"/>
  <c r="B1438" i="1" s="1"/>
  <c r="B1439" i="1" a="1"/>
  <c r="B1439" i="1"/>
  <c r="B1440" i="1" a="1"/>
  <c r="B1440" i="1" s="1"/>
  <c r="B1441" i="1" a="1"/>
  <c r="B1441" i="1" s="1"/>
  <c r="B1442" i="1" a="1"/>
  <c r="B1442" i="1" s="1"/>
  <c r="B1443" i="1" a="1"/>
  <c r="B1443" i="1"/>
  <c r="B1444" i="1" a="1"/>
  <c r="B1444" i="1" s="1"/>
  <c r="B1445" i="1" a="1"/>
  <c r="B1445" i="1" s="1"/>
  <c r="B1446" i="1" a="1"/>
  <c r="B1446" i="1" s="1"/>
  <c r="B1447" i="1" a="1"/>
  <c r="B1447" i="1"/>
  <c r="B1448" i="1" a="1"/>
  <c r="B1448" i="1" s="1"/>
  <c r="B1449" i="1" a="1"/>
  <c r="B1449" i="1" s="1"/>
  <c r="B1450" i="1" a="1"/>
  <c r="B1450" i="1" s="1"/>
  <c r="B1451" i="1" a="1"/>
  <c r="B1451" i="1" s="1"/>
  <c r="B1452" i="1" a="1"/>
  <c r="B1452" i="1" s="1"/>
  <c r="B1453" i="1" a="1"/>
  <c r="B1453" i="1" s="1"/>
  <c r="B1454" i="1" a="1"/>
  <c r="B1454" i="1" s="1"/>
  <c r="B1455" i="1" a="1"/>
  <c r="B1455" i="1" s="1"/>
  <c r="B1456" i="1" a="1"/>
  <c r="B1456" i="1" s="1"/>
  <c r="B1457" i="1" a="1"/>
  <c r="B1457" i="1" s="1"/>
  <c r="B1458" i="1" a="1"/>
  <c r="B1458" i="1" s="1"/>
  <c r="B1459" i="1" a="1"/>
  <c r="B1459" i="1" s="1"/>
  <c r="B1460" i="1" a="1"/>
  <c r="B1460" i="1" s="1"/>
  <c r="B1461" i="1" a="1"/>
  <c r="B1461" i="1" s="1"/>
  <c r="B1462" i="1" a="1"/>
  <c r="B1462" i="1" s="1"/>
  <c r="B1463" i="1" a="1"/>
  <c r="B1463" i="1" s="1"/>
  <c r="B1464" i="1" a="1"/>
  <c r="B1464" i="1" s="1"/>
  <c r="B1465" i="1" a="1"/>
  <c r="B1465" i="1" s="1"/>
  <c r="B1466" i="1" a="1"/>
  <c r="B1466" i="1" s="1"/>
  <c r="B1467" i="1" a="1"/>
  <c r="B1467" i="1" s="1"/>
  <c r="B1468" i="1" a="1"/>
  <c r="B1468" i="1" s="1"/>
  <c r="B1469" i="1" a="1"/>
  <c r="B1469" i="1" s="1"/>
  <c r="B1470" i="1" a="1"/>
  <c r="B1470" i="1" s="1"/>
  <c r="B1471" i="1" a="1"/>
  <c r="B1471" i="1" s="1"/>
  <c r="AH2" i="1" a="1"/>
  <c r="AH2" i="1" s="1"/>
  <c r="AH3" i="1" a="1"/>
  <c r="AH3" i="1" s="1"/>
  <c r="AH4" i="1" a="1"/>
  <c r="AH4" i="1" s="1"/>
  <c r="AH5" i="1" a="1"/>
  <c r="AH5" i="1" s="1"/>
  <c r="AH6" i="1" a="1"/>
  <c r="AH6" i="1" s="1"/>
  <c r="AH7" i="1" a="1"/>
  <c r="AH7" i="1" s="1"/>
  <c r="AH8" i="1" a="1"/>
  <c r="AH8" i="1" s="1"/>
  <c r="AH9" i="1" a="1"/>
  <c r="AH9" i="1" s="1"/>
  <c r="AH10" i="1" a="1"/>
  <c r="AH10" i="1" s="1"/>
  <c r="AH11" i="1" a="1"/>
  <c r="AH11" i="1" s="1"/>
  <c r="AH12" i="1" a="1"/>
  <c r="AH12" i="1" s="1"/>
  <c r="AH13" i="1" a="1"/>
  <c r="AH13" i="1" s="1"/>
  <c r="AH14" i="1" a="1"/>
  <c r="AH14" i="1" s="1"/>
  <c r="AH15" i="1" a="1"/>
  <c r="AH15" i="1" s="1"/>
  <c r="AH16" i="1" a="1"/>
  <c r="AH16" i="1" s="1"/>
  <c r="AH17" i="1" a="1"/>
  <c r="AH17" i="1" s="1"/>
  <c r="AH18" i="1" a="1"/>
  <c r="AH18" i="1" s="1"/>
  <c r="AH19" i="1" a="1"/>
  <c r="AH19" i="1" s="1"/>
  <c r="AH20" i="1" a="1"/>
  <c r="AH20" i="1" s="1"/>
  <c r="AH21" i="1" a="1"/>
  <c r="AH21" i="1" s="1"/>
  <c r="AH22" i="1" a="1"/>
  <c r="AH22" i="1" s="1"/>
  <c r="AH23" i="1" a="1"/>
  <c r="AH23" i="1" s="1"/>
  <c r="AH24" i="1" a="1"/>
  <c r="AH24" i="1" s="1"/>
  <c r="AH25" i="1" a="1"/>
  <c r="AH25" i="1" s="1"/>
  <c r="AH26" i="1" a="1"/>
  <c r="AH26" i="1" s="1"/>
  <c r="AH27" i="1" a="1"/>
  <c r="AH27" i="1" s="1"/>
  <c r="AH28" i="1" a="1"/>
  <c r="AH28" i="1" s="1"/>
  <c r="AH29" i="1" a="1"/>
  <c r="AH29" i="1" s="1"/>
  <c r="AH30" i="1" a="1"/>
  <c r="AH30" i="1" s="1"/>
  <c r="AH31" i="1" a="1"/>
  <c r="AH31" i="1" s="1"/>
  <c r="AH32" i="1" a="1"/>
  <c r="AH32" i="1" s="1"/>
  <c r="AH33" i="1" a="1"/>
  <c r="AH33" i="1" s="1"/>
  <c r="AH34" i="1" a="1"/>
  <c r="AH34" i="1" s="1"/>
  <c r="AH35" i="1" a="1"/>
  <c r="AH35" i="1" s="1"/>
  <c r="AH36" i="1" a="1"/>
  <c r="AH36" i="1" s="1"/>
  <c r="AH37" i="1" a="1"/>
  <c r="AH37" i="1" s="1"/>
  <c r="AH38" i="1" a="1"/>
  <c r="AH38" i="1" s="1"/>
  <c r="AH39" i="1" a="1"/>
  <c r="AH39" i="1" s="1"/>
  <c r="AH40" i="1" a="1"/>
  <c r="AH40" i="1" s="1"/>
  <c r="AH41" i="1" a="1"/>
  <c r="AH41" i="1" s="1"/>
  <c r="AH42" i="1" a="1"/>
  <c r="AH42" i="1" s="1"/>
  <c r="AH43" i="1" a="1"/>
  <c r="AH43" i="1" s="1"/>
  <c r="AH44" i="1" a="1"/>
  <c r="AH44" i="1" s="1"/>
  <c r="AH45" i="1" a="1"/>
  <c r="AH45" i="1" s="1"/>
  <c r="AH46" i="1" a="1"/>
  <c r="AH46" i="1" s="1"/>
  <c r="AH47" i="1" a="1"/>
  <c r="AH47" i="1" s="1"/>
  <c r="AH48" i="1" a="1"/>
  <c r="AH48" i="1" s="1"/>
  <c r="AH49" i="1" a="1"/>
  <c r="AH49" i="1" s="1"/>
  <c r="AH50" i="1" a="1"/>
  <c r="AH50" i="1" s="1"/>
  <c r="AH51" i="1" a="1"/>
  <c r="AH51" i="1" s="1"/>
  <c r="AH52" i="1" a="1"/>
  <c r="AH52" i="1" s="1"/>
  <c r="AH53" i="1" a="1"/>
  <c r="AH53" i="1" s="1"/>
  <c r="AH54" i="1" a="1"/>
  <c r="AH54" i="1" s="1"/>
  <c r="AH55" i="1" a="1"/>
  <c r="AH55" i="1" s="1"/>
  <c r="AH56" i="1" a="1"/>
  <c r="AH56" i="1" s="1"/>
  <c r="AH57" i="1" a="1"/>
  <c r="AH57" i="1" s="1"/>
  <c r="AH58" i="1" a="1"/>
  <c r="AH58" i="1" s="1"/>
  <c r="AH59" i="1" a="1"/>
  <c r="AH59" i="1" s="1"/>
  <c r="AH60" i="1" a="1"/>
  <c r="AH60" i="1" s="1"/>
  <c r="AH61" i="1" a="1"/>
  <c r="AH61" i="1" s="1"/>
  <c r="AH62" i="1" a="1"/>
  <c r="AH62" i="1" s="1"/>
  <c r="AH63" i="1" a="1"/>
  <c r="AH63" i="1" s="1"/>
  <c r="AH64" i="1" a="1"/>
  <c r="AH64" i="1" s="1"/>
  <c r="AH65" i="1" a="1"/>
  <c r="AH65" i="1" s="1"/>
  <c r="AH66" i="1" a="1"/>
  <c r="AH66" i="1" s="1"/>
  <c r="AH67" i="1" a="1"/>
  <c r="AH67" i="1" s="1"/>
  <c r="AH68" i="1" a="1"/>
  <c r="AH68" i="1" s="1"/>
  <c r="AH69" i="1" a="1"/>
  <c r="AH69" i="1" s="1"/>
  <c r="AH70" i="1" a="1"/>
  <c r="AH70" i="1" s="1"/>
  <c r="AH71" i="1" a="1"/>
  <c r="AH71" i="1" s="1"/>
  <c r="AH72" i="1" a="1"/>
  <c r="AH72" i="1" s="1"/>
  <c r="AH73" i="1" a="1"/>
  <c r="AH73" i="1" s="1"/>
  <c r="AH74" i="1" a="1"/>
  <c r="AH74" i="1" s="1"/>
  <c r="AH75" i="1" a="1"/>
  <c r="AH75" i="1" s="1"/>
  <c r="AH76" i="1" a="1"/>
  <c r="AH76" i="1" s="1"/>
  <c r="AH77" i="1" a="1"/>
  <c r="AH77" i="1" s="1"/>
  <c r="AH78" i="1" a="1"/>
  <c r="AH78" i="1" s="1"/>
  <c r="AH79" i="1" a="1"/>
  <c r="AH79" i="1" s="1"/>
  <c r="AH80" i="1" a="1"/>
  <c r="AH80" i="1" s="1"/>
  <c r="AH81" i="1" a="1"/>
  <c r="AH81" i="1" s="1"/>
  <c r="AH82" i="1" a="1"/>
  <c r="AH82" i="1" s="1"/>
  <c r="AH83" i="1" a="1"/>
  <c r="AH83" i="1" s="1"/>
  <c r="AH84" i="1" a="1"/>
  <c r="AH84" i="1" s="1"/>
  <c r="AH85" i="1" a="1"/>
  <c r="AH85" i="1" s="1"/>
  <c r="AH86" i="1" a="1"/>
  <c r="AH86" i="1" s="1"/>
  <c r="AH87" i="1" a="1"/>
  <c r="AH87" i="1" s="1"/>
  <c r="AH88" i="1" a="1"/>
  <c r="AH88" i="1" s="1"/>
  <c r="AH89" i="1" a="1"/>
  <c r="AH89" i="1" s="1"/>
  <c r="AH90" i="1" a="1"/>
  <c r="AH90" i="1" s="1"/>
  <c r="AH91" i="1" a="1"/>
  <c r="AH91" i="1" s="1"/>
  <c r="AH92" i="1" a="1"/>
  <c r="AH92" i="1" s="1"/>
  <c r="AH93" i="1" a="1"/>
  <c r="AH93" i="1" s="1"/>
  <c r="AH94" i="1" a="1"/>
  <c r="AH94" i="1" s="1"/>
  <c r="AH95" i="1" a="1"/>
  <c r="AH95" i="1" s="1"/>
  <c r="AH96" i="1" a="1"/>
  <c r="AH96" i="1" s="1"/>
  <c r="AH97" i="1" a="1"/>
  <c r="AH97" i="1" s="1"/>
  <c r="AH98" i="1" a="1"/>
  <c r="AH98" i="1" s="1"/>
  <c r="AH99" i="1" a="1"/>
  <c r="AH99" i="1" s="1"/>
  <c r="AH100" i="1" a="1"/>
  <c r="AH100" i="1" s="1"/>
  <c r="AH101" i="1" a="1"/>
  <c r="AH101" i="1" s="1"/>
  <c r="AH102" i="1" a="1"/>
  <c r="AH102" i="1" s="1"/>
  <c r="AH103" i="1" a="1"/>
  <c r="AH103" i="1" s="1"/>
  <c r="AH104" i="1" a="1"/>
  <c r="AH104" i="1" s="1"/>
  <c r="AH105" i="1" a="1"/>
  <c r="AH105" i="1" s="1"/>
  <c r="AH106" i="1" a="1"/>
  <c r="AH106" i="1" s="1"/>
  <c r="AH107" i="1" a="1"/>
  <c r="AH107" i="1" s="1"/>
  <c r="AH108" i="1" a="1"/>
  <c r="AH108" i="1" s="1"/>
  <c r="AH109" i="1" a="1"/>
  <c r="AH109" i="1" s="1"/>
  <c r="AH110" i="1" a="1"/>
  <c r="AH110" i="1" s="1"/>
  <c r="AH111" i="1" a="1"/>
  <c r="AH111" i="1" s="1"/>
  <c r="AH112" i="1" a="1"/>
  <c r="AH112" i="1" s="1"/>
  <c r="AH113" i="1" a="1"/>
  <c r="AH113" i="1" s="1"/>
  <c r="AH114" i="1" a="1"/>
  <c r="AH114" i="1" s="1"/>
  <c r="AH115" i="1" a="1"/>
  <c r="AH115" i="1" s="1"/>
  <c r="AH116" i="1" a="1"/>
  <c r="AH116" i="1" s="1"/>
  <c r="AH117" i="1" a="1"/>
  <c r="AH117" i="1" s="1"/>
  <c r="AH118" i="1" a="1"/>
  <c r="AH118" i="1" s="1"/>
  <c r="AH119" i="1" a="1"/>
  <c r="AH119" i="1" s="1"/>
  <c r="AH120" i="1" a="1"/>
  <c r="AH120" i="1" s="1"/>
  <c r="AH121" i="1" a="1"/>
  <c r="AH121" i="1" s="1"/>
  <c r="AH122" i="1" a="1"/>
  <c r="AH122" i="1" s="1"/>
  <c r="AH123" i="1" a="1"/>
  <c r="AH123" i="1" s="1"/>
  <c r="AH124" i="1" a="1"/>
  <c r="AH124" i="1" s="1"/>
  <c r="AH125" i="1" a="1"/>
  <c r="AH125" i="1" s="1"/>
  <c r="AH126" i="1" a="1"/>
  <c r="AH126" i="1" s="1"/>
  <c r="AH127" i="1" a="1"/>
  <c r="AH127" i="1" s="1"/>
  <c r="AH128" i="1" a="1"/>
  <c r="AH128" i="1" s="1"/>
  <c r="AH129" i="1" a="1"/>
  <c r="AH129" i="1" s="1"/>
  <c r="AH130" i="1" a="1"/>
  <c r="AH130" i="1" s="1"/>
  <c r="AH131" i="1" a="1"/>
  <c r="AH131" i="1" s="1"/>
  <c r="AH132" i="1" a="1"/>
  <c r="AH132" i="1" s="1"/>
  <c r="AH133" i="1" a="1"/>
  <c r="AH133" i="1" s="1"/>
  <c r="AH134" i="1" a="1"/>
  <c r="AH134" i="1" s="1"/>
  <c r="AH135" i="1" a="1"/>
  <c r="AH135" i="1" s="1"/>
  <c r="AH136" i="1" a="1"/>
  <c r="AH136" i="1" s="1"/>
  <c r="AH137" i="1" a="1"/>
  <c r="AH137" i="1" s="1"/>
  <c r="AH138" i="1" a="1"/>
  <c r="AH138" i="1" s="1"/>
  <c r="AH139" i="1" a="1"/>
  <c r="AH139" i="1" s="1"/>
  <c r="AH140" i="1" a="1"/>
  <c r="AH140" i="1" s="1"/>
  <c r="AH141" i="1" a="1"/>
  <c r="AH141" i="1" s="1"/>
  <c r="AH142" i="1" a="1"/>
  <c r="AH142" i="1" s="1"/>
  <c r="AH143" i="1" a="1"/>
  <c r="AH143" i="1" s="1"/>
  <c r="AH144" i="1" a="1"/>
  <c r="AH144" i="1" s="1"/>
  <c r="AH145" i="1" a="1"/>
  <c r="AH145" i="1" s="1"/>
  <c r="AH146" i="1" a="1"/>
  <c r="AH146" i="1" s="1"/>
  <c r="AH147" i="1" a="1"/>
  <c r="AH147" i="1" s="1"/>
  <c r="AH148" i="1" a="1"/>
  <c r="AH148" i="1" s="1"/>
  <c r="AH149" i="1" a="1"/>
  <c r="AH149" i="1" s="1"/>
  <c r="AH150" i="1" a="1"/>
  <c r="AH150" i="1" s="1"/>
  <c r="AH151" i="1" a="1"/>
  <c r="AH151" i="1" s="1"/>
  <c r="AH152" i="1" a="1"/>
  <c r="AH152" i="1" s="1"/>
  <c r="AH153" i="1" a="1"/>
  <c r="AH153" i="1" s="1"/>
  <c r="AH154" i="1" a="1"/>
  <c r="AH154" i="1" s="1"/>
  <c r="AH155" i="1" a="1"/>
  <c r="AH155" i="1" s="1"/>
  <c r="AH156" i="1" a="1"/>
  <c r="AH156" i="1" s="1"/>
  <c r="AH157" i="1" a="1"/>
  <c r="AH157" i="1" s="1"/>
  <c r="AH158" i="1" a="1"/>
  <c r="AH158" i="1" s="1"/>
  <c r="AH159" i="1" a="1"/>
  <c r="AH159" i="1" s="1"/>
  <c r="AH160" i="1" a="1"/>
  <c r="AH160" i="1" s="1"/>
  <c r="AH161" i="1" a="1"/>
  <c r="AH161" i="1" s="1"/>
  <c r="AH162" i="1" a="1"/>
  <c r="AH162" i="1" s="1"/>
  <c r="AH163" i="1" a="1"/>
  <c r="AH163" i="1" s="1"/>
  <c r="AH164" i="1" a="1"/>
  <c r="AH164" i="1" s="1"/>
  <c r="AH165" i="1" a="1"/>
  <c r="AH165" i="1" s="1"/>
  <c r="AH166" i="1" a="1"/>
  <c r="AH166" i="1" s="1"/>
  <c r="AH167" i="1" a="1"/>
  <c r="AH167" i="1" s="1"/>
  <c r="AH168" i="1" a="1"/>
  <c r="AH168" i="1" s="1"/>
  <c r="AH169" i="1" a="1"/>
  <c r="AH169" i="1" s="1"/>
  <c r="AH170" i="1" a="1"/>
  <c r="AH170" i="1" s="1"/>
  <c r="AH171" i="1" a="1"/>
  <c r="AH171" i="1" s="1"/>
  <c r="AH172" i="1" a="1"/>
  <c r="AH172" i="1" s="1"/>
  <c r="AH173" i="1" a="1"/>
  <c r="AH173" i="1" s="1"/>
  <c r="AH174" i="1" a="1"/>
  <c r="AH174" i="1" s="1"/>
  <c r="AH175" i="1" a="1"/>
  <c r="AH175" i="1" s="1"/>
  <c r="AH176" i="1" a="1"/>
  <c r="AH176" i="1" s="1"/>
  <c r="AH177" i="1" a="1"/>
  <c r="AH177" i="1" s="1"/>
  <c r="AH178" i="1" a="1"/>
  <c r="AH178" i="1" s="1"/>
  <c r="AH179" i="1" a="1"/>
  <c r="AH179" i="1" s="1"/>
  <c r="AH180" i="1" a="1"/>
  <c r="AH180" i="1" s="1"/>
  <c r="AH181" i="1" a="1"/>
  <c r="AH181" i="1" s="1"/>
  <c r="AH182" i="1" a="1"/>
  <c r="AH182" i="1" s="1"/>
  <c r="AH183" i="1" a="1"/>
  <c r="AH183" i="1" s="1"/>
  <c r="AH184" i="1" a="1"/>
  <c r="AH184" i="1" s="1"/>
  <c r="AH185" i="1" a="1"/>
  <c r="AH185" i="1" s="1"/>
  <c r="AH186" i="1" a="1"/>
  <c r="AH186" i="1" s="1"/>
  <c r="AH187" i="1" a="1"/>
  <c r="AH187" i="1" s="1"/>
  <c r="AH188" i="1" a="1"/>
  <c r="AH188" i="1" s="1"/>
  <c r="AH189" i="1" a="1"/>
  <c r="AH189" i="1" s="1"/>
  <c r="AH190" i="1" a="1"/>
  <c r="AH190" i="1" s="1"/>
  <c r="AH191" i="1" a="1"/>
  <c r="AH191" i="1" s="1"/>
  <c r="AH192" i="1" a="1"/>
  <c r="AH192" i="1" s="1"/>
  <c r="AH193" i="1" a="1"/>
  <c r="AH193" i="1" s="1"/>
  <c r="AH194" i="1" a="1"/>
  <c r="AH194" i="1" s="1"/>
  <c r="AH195" i="1" a="1"/>
  <c r="AH195" i="1" s="1"/>
  <c r="AH196" i="1" a="1"/>
  <c r="AH196" i="1" s="1"/>
  <c r="AH197" i="1" a="1"/>
  <c r="AH197" i="1" s="1"/>
  <c r="AH198" i="1" a="1"/>
  <c r="AH198" i="1" s="1"/>
  <c r="AH199" i="1" a="1"/>
  <c r="AH199" i="1" s="1"/>
  <c r="AH200" i="1" a="1"/>
  <c r="AH200" i="1" s="1"/>
  <c r="AH201" i="1" a="1"/>
  <c r="AH201" i="1" s="1"/>
  <c r="AH202" i="1" a="1"/>
  <c r="AH202" i="1" s="1"/>
  <c r="AH203" i="1" a="1"/>
  <c r="AH203" i="1" s="1"/>
  <c r="AH204" i="1" a="1"/>
  <c r="AH204" i="1" s="1"/>
  <c r="AH205" i="1" a="1"/>
  <c r="AH205" i="1" s="1"/>
  <c r="AH206" i="1" a="1"/>
  <c r="AH206" i="1" s="1"/>
  <c r="AH207" i="1" a="1"/>
  <c r="AH207" i="1" s="1"/>
  <c r="AH208" i="1" a="1"/>
  <c r="AH208" i="1" s="1"/>
  <c r="AH209" i="1" a="1"/>
  <c r="AH209" i="1" s="1"/>
  <c r="AH210" i="1" a="1"/>
  <c r="AH210" i="1" s="1"/>
  <c r="AH211" i="1" a="1"/>
  <c r="AH211" i="1" s="1"/>
  <c r="AH212" i="1" a="1"/>
  <c r="AH212" i="1" s="1"/>
  <c r="AH213" i="1" a="1"/>
  <c r="AH213" i="1" s="1"/>
  <c r="AH214" i="1" a="1"/>
  <c r="AH214" i="1" s="1"/>
  <c r="AH215" i="1" a="1"/>
  <c r="AH215" i="1" s="1"/>
  <c r="AH216" i="1" a="1"/>
  <c r="AH216" i="1" s="1"/>
  <c r="AH217" i="1" a="1"/>
  <c r="AH217" i="1" s="1"/>
  <c r="AH218" i="1" a="1"/>
  <c r="AH218" i="1" s="1"/>
  <c r="AH219" i="1" a="1"/>
  <c r="AH219" i="1" s="1"/>
  <c r="AH220" i="1" a="1"/>
  <c r="AH220" i="1" s="1"/>
  <c r="AH221" i="1" a="1"/>
  <c r="AH221" i="1" s="1"/>
  <c r="AH222" i="1" a="1"/>
  <c r="AH222" i="1" s="1"/>
  <c r="AH223" i="1" a="1"/>
  <c r="AH223" i="1" s="1"/>
  <c r="AH224" i="1" a="1"/>
  <c r="AH224" i="1" s="1"/>
  <c r="AH225" i="1" a="1"/>
  <c r="AH225" i="1" s="1"/>
  <c r="AH226" i="1" a="1"/>
  <c r="AH226" i="1" s="1"/>
  <c r="AH227" i="1" a="1"/>
  <c r="AH227" i="1" s="1"/>
  <c r="AH228" i="1" a="1"/>
  <c r="AH228" i="1" s="1"/>
  <c r="AH229" i="1" a="1"/>
  <c r="AH229" i="1" s="1"/>
  <c r="AH230" i="1" a="1"/>
  <c r="AH230" i="1" s="1"/>
  <c r="AH231" i="1" a="1"/>
  <c r="AH231" i="1" s="1"/>
  <c r="AH232" i="1" a="1"/>
  <c r="AH232" i="1" s="1"/>
  <c r="AH233" i="1" a="1"/>
  <c r="AH233" i="1" s="1"/>
  <c r="AH234" i="1" a="1"/>
  <c r="AH234" i="1" s="1"/>
  <c r="AH235" i="1" a="1"/>
  <c r="AH235" i="1" s="1"/>
  <c r="AH236" i="1" a="1"/>
  <c r="AH236" i="1" s="1"/>
  <c r="AH237" i="1" a="1"/>
  <c r="AH237" i="1" s="1"/>
  <c r="AH238" i="1" a="1"/>
  <c r="AH238" i="1" s="1"/>
  <c r="AH239" i="1" a="1"/>
  <c r="AH239" i="1" s="1"/>
  <c r="AH240" i="1" a="1"/>
  <c r="AH240" i="1" s="1"/>
  <c r="AH241" i="1" a="1"/>
  <c r="AH241" i="1" s="1"/>
  <c r="AH242" i="1" a="1"/>
  <c r="AH242" i="1" s="1"/>
  <c r="AH243" i="1" a="1"/>
  <c r="AH243" i="1" s="1"/>
  <c r="AH244" i="1" a="1"/>
  <c r="AH244" i="1" s="1"/>
  <c r="AH245" i="1" a="1"/>
  <c r="AH245" i="1" s="1"/>
  <c r="AH246" i="1" a="1"/>
  <c r="AH246" i="1" s="1"/>
  <c r="AH247" i="1" a="1"/>
  <c r="AH247" i="1" s="1"/>
  <c r="AH248" i="1" a="1"/>
  <c r="AH248" i="1" s="1"/>
  <c r="AH249" i="1" a="1"/>
  <c r="AH249" i="1" s="1"/>
  <c r="AH250" i="1" a="1"/>
  <c r="AH250" i="1" s="1"/>
  <c r="AH251" i="1" a="1"/>
  <c r="AH251" i="1" s="1"/>
  <c r="AH252" i="1" a="1"/>
  <c r="AH252" i="1" s="1"/>
  <c r="AH253" i="1" a="1"/>
  <c r="AH253" i="1" s="1"/>
  <c r="AH254" i="1" a="1"/>
  <c r="AH254" i="1" s="1"/>
  <c r="AH255" i="1" a="1"/>
  <c r="AH255" i="1" s="1"/>
  <c r="AH256" i="1" a="1"/>
  <c r="AH256" i="1" s="1"/>
  <c r="AH257" i="1" a="1"/>
  <c r="AH257" i="1" s="1"/>
  <c r="AH258" i="1" a="1"/>
  <c r="AH258" i="1" s="1"/>
  <c r="AH259" i="1" a="1"/>
  <c r="AH259" i="1" s="1"/>
  <c r="AH260" i="1" a="1"/>
  <c r="AH260" i="1" s="1"/>
  <c r="AH261" i="1" a="1"/>
  <c r="AH261" i="1" s="1"/>
  <c r="AH262" i="1" a="1"/>
  <c r="AH262" i="1" s="1"/>
  <c r="AH263" i="1" a="1"/>
  <c r="AH263" i="1" s="1"/>
  <c r="AH264" i="1" a="1"/>
  <c r="AH264" i="1" s="1"/>
  <c r="AH265" i="1" a="1"/>
  <c r="AH265" i="1" s="1"/>
  <c r="AH266" i="1" a="1"/>
  <c r="AH266" i="1" s="1"/>
  <c r="AH267" i="1" a="1"/>
  <c r="AH267" i="1" s="1"/>
  <c r="AH268" i="1" a="1"/>
  <c r="AH268" i="1" s="1"/>
  <c r="AH269" i="1" a="1"/>
  <c r="AH269" i="1" s="1"/>
  <c r="AH270" i="1" a="1"/>
  <c r="AH270" i="1" s="1"/>
  <c r="AH271" i="1" a="1"/>
  <c r="AH271" i="1" s="1"/>
  <c r="AH272" i="1" a="1"/>
  <c r="AH272" i="1" s="1"/>
  <c r="AH273" i="1" a="1"/>
  <c r="AH273" i="1" s="1"/>
  <c r="AH274" i="1" a="1"/>
  <c r="AH274" i="1" s="1"/>
  <c r="AH275" i="1" a="1"/>
  <c r="AH275" i="1" s="1"/>
  <c r="AH276" i="1" a="1"/>
  <c r="AH276" i="1" s="1"/>
  <c r="AH277" i="1" a="1"/>
  <c r="AH277" i="1" s="1"/>
  <c r="AH278" i="1" a="1"/>
  <c r="AH278" i="1" s="1"/>
  <c r="AH279" i="1" a="1"/>
  <c r="AH279" i="1" s="1"/>
  <c r="AH280" i="1" a="1"/>
  <c r="AH280" i="1" s="1"/>
  <c r="AH281" i="1" a="1"/>
  <c r="AH281" i="1" s="1"/>
  <c r="AH282" i="1" a="1"/>
  <c r="AH282" i="1" s="1"/>
  <c r="AH283" i="1" a="1"/>
  <c r="AH283" i="1" s="1"/>
  <c r="AH284" i="1" a="1"/>
  <c r="AH284" i="1" s="1"/>
  <c r="AH285" i="1" a="1"/>
  <c r="AH285" i="1" s="1"/>
  <c r="AH286" i="1" a="1"/>
  <c r="AH286" i="1" s="1"/>
  <c r="AH287" i="1" a="1"/>
  <c r="AH287" i="1" s="1"/>
  <c r="AH288" i="1" a="1"/>
  <c r="AH288" i="1" s="1"/>
  <c r="AH289" i="1" a="1"/>
  <c r="AH289" i="1" s="1"/>
  <c r="AH290" i="1" a="1"/>
  <c r="AH290" i="1" s="1"/>
  <c r="AH291" i="1" a="1"/>
  <c r="AH291" i="1" s="1"/>
  <c r="AH292" i="1" a="1"/>
  <c r="AH292" i="1" s="1"/>
  <c r="AH293" i="1" a="1"/>
  <c r="AH293" i="1" s="1"/>
  <c r="AH294" i="1" a="1"/>
  <c r="AH294" i="1" s="1"/>
  <c r="AH295" i="1" a="1"/>
  <c r="AH295" i="1" s="1"/>
  <c r="AH296" i="1" a="1"/>
  <c r="AH296" i="1" s="1"/>
  <c r="AH297" i="1" a="1"/>
  <c r="AH297" i="1"/>
  <c r="AH298" i="1" a="1"/>
  <c r="AH298" i="1" s="1"/>
  <c r="AH299" i="1" a="1"/>
  <c r="AH299" i="1" s="1"/>
  <c r="AH300" i="1" a="1"/>
  <c r="AH300" i="1" s="1"/>
  <c r="AH301" i="1" a="1"/>
  <c r="AH301" i="1" s="1"/>
  <c r="AH302" i="1" a="1"/>
  <c r="AH302" i="1" s="1"/>
  <c r="AH303" i="1" a="1"/>
  <c r="AH303" i="1" s="1"/>
  <c r="AH304" i="1" a="1"/>
  <c r="AH304" i="1" s="1"/>
  <c r="AH305" i="1" a="1"/>
  <c r="AH305" i="1" s="1"/>
  <c r="AH306" i="1" a="1"/>
  <c r="AH306" i="1" s="1"/>
  <c r="AH307" i="1" a="1"/>
  <c r="AH307" i="1" s="1"/>
  <c r="AH308" i="1" a="1"/>
  <c r="AH308" i="1" s="1"/>
  <c r="AH309" i="1" a="1"/>
  <c r="AH309" i="1" s="1"/>
  <c r="AH310" i="1" a="1"/>
  <c r="AH310" i="1" s="1"/>
  <c r="AH311" i="1" a="1"/>
  <c r="AH311" i="1" s="1"/>
  <c r="AH312" i="1" a="1"/>
  <c r="AH312" i="1" s="1"/>
  <c r="AH313" i="1" a="1"/>
  <c r="AH313" i="1" s="1"/>
  <c r="AH314" i="1" a="1"/>
  <c r="AH314" i="1" s="1"/>
  <c r="AH315" i="1" a="1"/>
  <c r="AH315" i="1" s="1"/>
  <c r="AH316" i="1" a="1"/>
  <c r="AH316" i="1" s="1"/>
  <c r="AH317" i="1" a="1"/>
  <c r="AH317" i="1" s="1"/>
  <c r="AH318" i="1" a="1"/>
  <c r="AH318" i="1" s="1"/>
  <c r="AH319" i="1" a="1"/>
  <c r="AH319" i="1" s="1"/>
  <c r="AH320" i="1" a="1"/>
  <c r="AH320" i="1" s="1"/>
  <c r="AH321" i="1" a="1"/>
  <c r="AH321" i="1" s="1"/>
  <c r="AH322" i="1" a="1"/>
  <c r="AH322" i="1" s="1"/>
  <c r="AH323" i="1" a="1"/>
  <c r="AH323" i="1" s="1"/>
  <c r="AH324" i="1" a="1"/>
  <c r="AH324" i="1" s="1"/>
  <c r="AH325" i="1" a="1"/>
  <c r="AH325" i="1" s="1"/>
  <c r="AH326" i="1" a="1"/>
  <c r="AH326" i="1" s="1"/>
  <c r="AH327" i="1" a="1"/>
  <c r="AH327" i="1" s="1"/>
  <c r="AH328" i="1" a="1"/>
  <c r="AH328" i="1" s="1"/>
  <c r="AH329" i="1" a="1"/>
  <c r="AH329" i="1" s="1"/>
  <c r="AH330" i="1" a="1"/>
  <c r="AH330" i="1" s="1"/>
  <c r="AH331" i="1" a="1"/>
  <c r="AH331" i="1" s="1"/>
  <c r="AH332" i="1" a="1"/>
  <c r="AH332" i="1" s="1"/>
  <c r="AH333" i="1" a="1"/>
  <c r="AH333" i="1" s="1"/>
  <c r="AH334" i="1" a="1"/>
  <c r="AH334" i="1" s="1"/>
  <c r="AH335" i="1" a="1"/>
  <c r="AH335" i="1" s="1"/>
  <c r="AH336" i="1" a="1"/>
  <c r="AH336" i="1" s="1"/>
  <c r="AH337" i="1" a="1"/>
  <c r="AH337" i="1" s="1"/>
  <c r="AH338" i="1" a="1"/>
  <c r="AH338" i="1" s="1"/>
  <c r="AH339" i="1" a="1"/>
  <c r="AH339" i="1" s="1"/>
  <c r="AH340" i="1" a="1"/>
  <c r="AH340" i="1" s="1"/>
  <c r="AH341" i="1" a="1"/>
  <c r="AH341" i="1" s="1"/>
  <c r="AH342" i="1" a="1"/>
  <c r="AH342" i="1" s="1"/>
  <c r="AH343" i="1" a="1"/>
  <c r="AH343" i="1" s="1"/>
  <c r="AH344" i="1" a="1"/>
  <c r="AH344" i="1" s="1"/>
  <c r="AH345" i="1" a="1"/>
  <c r="AH345" i="1" s="1"/>
  <c r="AH346" i="1" a="1"/>
  <c r="AH346" i="1" s="1"/>
  <c r="AH347" i="1" a="1"/>
  <c r="AH347" i="1" s="1"/>
  <c r="AH348" i="1" a="1"/>
  <c r="AH348" i="1" s="1"/>
  <c r="AH349" i="1" a="1"/>
  <c r="AH349" i="1" s="1"/>
  <c r="AH350" i="1" a="1"/>
  <c r="AH350" i="1" s="1"/>
  <c r="AH351" i="1" a="1"/>
  <c r="AH351" i="1"/>
  <c r="AH352" i="1" a="1"/>
  <c r="AH352" i="1" s="1"/>
  <c r="AH353" i="1" a="1"/>
  <c r="AH353" i="1" s="1"/>
  <c r="AH354" i="1" a="1"/>
  <c r="AH354" i="1" s="1"/>
  <c r="AH355" i="1" a="1"/>
  <c r="AH355" i="1"/>
  <c r="AH356" i="1" a="1"/>
  <c r="AH356" i="1" s="1"/>
  <c r="AH357" i="1" a="1"/>
  <c r="AH357" i="1" s="1"/>
  <c r="AH358" i="1" a="1"/>
  <c r="AH358" i="1" s="1"/>
  <c r="AH359" i="1" a="1"/>
  <c r="AH359" i="1" s="1"/>
  <c r="AH360" i="1" a="1"/>
  <c r="AH360" i="1" s="1"/>
  <c r="AH361" i="1" a="1"/>
  <c r="AH361" i="1" s="1"/>
  <c r="AH362" i="1" a="1"/>
  <c r="AH362" i="1" s="1"/>
  <c r="AH363" i="1" a="1"/>
  <c r="AH363" i="1" s="1"/>
  <c r="AH364" i="1" a="1"/>
  <c r="AH364" i="1" s="1"/>
  <c r="AH365" i="1" a="1"/>
  <c r="AH365" i="1" s="1"/>
  <c r="AH366" i="1" a="1"/>
  <c r="AH366" i="1" s="1"/>
  <c r="AH367" i="1" a="1"/>
  <c r="AH367" i="1"/>
  <c r="AH368" i="1" a="1"/>
  <c r="AH368" i="1" s="1"/>
  <c r="AH369" i="1" a="1"/>
  <c r="AH369" i="1" s="1"/>
  <c r="AH370" i="1" a="1"/>
  <c r="AH370" i="1" s="1"/>
  <c r="AH371" i="1" a="1"/>
  <c r="AH371" i="1" s="1"/>
  <c r="AH372" i="1" a="1"/>
  <c r="AH372" i="1" s="1"/>
  <c r="AH373" i="1" a="1"/>
  <c r="AH373" i="1" s="1"/>
  <c r="AH374" i="1" a="1"/>
  <c r="AH374" i="1" s="1"/>
  <c r="AH375" i="1" a="1"/>
  <c r="AH375" i="1" s="1"/>
  <c r="AH376" i="1" a="1"/>
  <c r="AH376" i="1" s="1"/>
  <c r="AH377" i="1" a="1"/>
  <c r="AH377" i="1" s="1"/>
  <c r="AH378" i="1" a="1"/>
  <c r="AH378" i="1" s="1"/>
  <c r="AH379" i="1" a="1"/>
  <c r="AH379" i="1" s="1"/>
  <c r="AH380" i="1" a="1"/>
  <c r="AH380" i="1" s="1"/>
  <c r="AH381" i="1" a="1"/>
  <c r="AH381" i="1" s="1"/>
  <c r="AH382" i="1" a="1"/>
  <c r="AH382" i="1" s="1"/>
  <c r="AH383" i="1" a="1"/>
  <c r="AH383" i="1" s="1"/>
  <c r="AH384" i="1" a="1"/>
  <c r="AH384" i="1" s="1"/>
  <c r="AH385" i="1" a="1"/>
  <c r="AH385" i="1" s="1"/>
  <c r="AH386" i="1" a="1"/>
  <c r="AH386" i="1" s="1"/>
  <c r="AH387" i="1" a="1"/>
  <c r="AH387" i="1" s="1"/>
  <c r="AH388" i="1" a="1"/>
  <c r="AH388" i="1" s="1"/>
  <c r="AH389" i="1" a="1"/>
  <c r="AH389" i="1" s="1"/>
  <c r="AH390" i="1" a="1"/>
  <c r="AH390" i="1" s="1"/>
  <c r="AH391" i="1" a="1"/>
  <c r="AH391" i="1" s="1"/>
  <c r="AH392" i="1" a="1"/>
  <c r="AH392" i="1" s="1"/>
  <c r="AH393" i="1" a="1"/>
  <c r="AH393" i="1" s="1"/>
  <c r="AH394" i="1" a="1"/>
  <c r="AH394" i="1" s="1"/>
  <c r="AH395" i="1" a="1"/>
  <c r="AH395" i="1"/>
  <c r="AH396" i="1" a="1"/>
  <c r="AH396" i="1" s="1"/>
  <c r="AH397" i="1" a="1"/>
  <c r="AH397" i="1" s="1"/>
  <c r="AH398" i="1" a="1"/>
  <c r="AH398" i="1" s="1"/>
  <c r="AH399" i="1" a="1"/>
  <c r="AH399" i="1" s="1"/>
  <c r="AH400" i="1" a="1"/>
  <c r="AH400" i="1" s="1"/>
  <c r="AH401" i="1" a="1"/>
  <c r="AH401" i="1" s="1"/>
  <c r="AH402" i="1" a="1"/>
  <c r="AH402" i="1" s="1"/>
  <c r="AH403" i="1" a="1"/>
  <c r="AH403" i="1" s="1"/>
  <c r="AH404" i="1" a="1"/>
  <c r="AH404" i="1" s="1"/>
  <c r="AH405" i="1" a="1"/>
  <c r="AH405" i="1" s="1"/>
  <c r="AH406" i="1" a="1"/>
  <c r="AH406" i="1" s="1"/>
  <c r="AH407" i="1" a="1"/>
  <c r="AH407" i="1" s="1"/>
  <c r="AH408" i="1" a="1"/>
  <c r="AH408" i="1" s="1"/>
  <c r="AH409" i="1" a="1"/>
  <c r="AH409" i="1" s="1"/>
  <c r="AH410" i="1" a="1"/>
  <c r="AH410" i="1" s="1"/>
  <c r="AH411" i="1" a="1"/>
  <c r="AH411" i="1" s="1"/>
  <c r="AH412" i="1" a="1"/>
  <c r="AH412" i="1" s="1"/>
  <c r="AH413" i="1" a="1"/>
  <c r="AH413" i="1" s="1"/>
  <c r="AH414" i="1" a="1"/>
  <c r="AH414" i="1" s="1"/>
  <c r="AH415" i="1" a="1"/>
  <c r="AH415" i="1"/>
  <c r="AH416" i="1" a="1"/>
  <c r="AH416" i="1" s="1"/>
  <c r="AH417" i="1" a="1"/>
  <c r="AH417" i="1" s="1"/>
  <c r="AH418" i="1" a="1"/>
  <c r="AH418" i="1" s="1"/>
  <c r="AH419" i="1" a="1"/>
  <c r="AH419" i="1" s="1"/>
  <c r="AH420" i="1" a="1"/>
  <c r="AH420" i="1" s="1"/>
  <c r="AH421" i="1" a="1"/>
  <c r="AH421" i="1" s="1"/>
  <c r="AH422" i="1" a="1"/>
  <c r="AH422" i="1" s="1"/>
  <c r="AH423" i="1" a="1"/>
  <c r="AH423" i="1" s="1"/>
  <c r="AH424" i="1" a="1"/>
  <c r="AH424" i="1" s="1"/>
  <c r="AH425" i="1" a="1"/>
  <c r="AH425" i="1" s="1"/>
  <c r="AH426" i="1" a="1"/>
  <c r="AH426" i="1" s="1"/>
  <c r="AH427" i="1" a="1"/>
  <c r="AH427" i="1" s="1"/>
  <c r="AH428" i="1" a="1"/>
  <c r="AH428" i="1" s="1"/>
  <c r="AH429" i="1" a="1"/>
  <c r="AH429" i="1" s="1"/>
  <c r="AH430" i="1" a="1"/>
  <c r="AH430" i="1" s="1"/>
  <c r="AH431" i="1" a="1"/>
  <c r="AH431" i="1" s="1"/>
  <c r="AH432" i="1" a="1"/>
  <c r="AH432" i="1" s="1"/>
  <c r="AH433" i="1" a="1"/>
  <c r="AH433" i="1" s="1"/>
  <c r="AH434" i="1" a="1"/>
  <c r="AH434" i="1" s="1"/>
  <c r="AH435" i="1" a="1"/>
  <c r="AH435" i="1"/>
  <c r="AH436" i="1" a="1"/>
  <c r="AH436" i="1" s="1"/>
  <c r="AH437" i="1" a="1"/>
  <c r="AH437" i="1" s="1"/>
  <c r="AH438" i="1" a="1"/>
  <c r="AH438" i="1" s="1"/>
  <c r="AH439" i="1" a="1"/>
  <c r="AH439" i="1" s="1"/>
  <c r="AH440" i="1" a="1"/>
  <c r="AH440" i="1" s="1"/>
  <c r="AH441" i="1" a="1"/>
  <c r="AH441" i="1" s="1"/>
  <c r="AH442" i="1" a="1"/>
  <c r="AH442" i="1" s="1"/>
  <c r="AH443" i="1" a="1"/>
  <c r="AH443" i="1" s="1"/>
  <c r="AH444" i="1" a="1"/>
  <c r="AH444" i="1" s="1"/>
  <c r="AH445" i="1" a="1"/>
  <c r="AH445" i="1" s="1"/>
  <c r="AH446" i="1" a="1"/>
  <c r="AH446" i="1" s="1"/>
  <c r="AH447" i="1" a="1"/>
  <c r="AH447" i="1" s="1"/>
  <c r="AH448" i="1" a="1"/>
  <c r="AH448" i="1" s="1"/>
  <c r="AH449" i="1" a="1"/>
  <c r="AH449" i="1" s="1"/>
  <c r="AH450" i="1" a="1"/>
  <c r="AH450" i="1" s="1"/>
  <c r="AH451" i="1" a="1"/>
  <c r="AH451" i="1" s="1"/>
  <c r="AH452" i="1" a="1"/>
  <c r="AH452" i="1" s="1"/>
  <c r="AH453" i="1" a="1"/>
  <c r="AH453" i="1" s="1"/>
  <c r="AH454" i="1" a="1"/>
  <c r="AH454" i="1" s="1"/>
  <c r="AH455" i="1" a="1"/>
  <c r="AH455" i="1" s="1"/>
  <c r="AH456" i="1" a="1"/>
  <c r="AH456" i="1" s="1"/>
  <c r="AH457" i="1" a="1"/>
  <c r="AH457" i="1" s="1"/>
  <c r="AH458" i="1" a="1"/>
  <c r="AH458" i="1" s="1"/>
  <c r="AH459" i="1" a="1"/>
  <c r="AH459" i="1" s="1"/>
  <c r="AH460" i="1" a="1"/>
  <c r="AH460" i="1" s="1"/>
  <c r="AH461" i="1" a="1"/>
  <c r="AH461" i="1" s="1"/>
  <c r="AH462" i="1" a="1"/>
  <c r="AH462" i="1" s="1"/>
  <c r="AH463" i="1" a="1"/>
  <c r="AH463" i="1" s="1"/>
  <c r="AH464" i="1" a="1"/>
  <c r="AH464" i="1" s="1"/>
  <c r="AH465" i="1" a="1"/>
  <c r="AH465" i="1" s="1"/>
  <c r="AH466" i="1" a="1"/>
  <c r="AH466" i="1" s="1"/>
  <c r="AH467" i="1" a="1"/>
  <c r="AH467" i="1"/>
  <c r="AH468" i="1" a="1"/>
  <c r="AH468" i="1" s="1"/>
  <c r="AH469" i="1" a="1"/>
  <c r="AH469" i="1" s="1"/>
  <c r="AH470" i="1" a="1"/>
  <c r="AH470" i="1" s="1"/>
  <c r="AH471" i="1" a="1"/>
  <c r="AH471" i="1"/>
  <c r="AH472" i="1" a="1"/>
  <c r="AH472" i="1" s="1"/>
  <c r="AH473" i="1" a="1"/>
  <c r="AH473" i="1" s="1"/>
  <c r="AH474" i="1" a="1"/>
  <c r="AH474" i="1" s="1"/>
  <c r="AH475" i="1" a="1"/>
  <c r="AH475" i="1" s="1"/>
  <c r="AH476" i="1" a="1"/>
  <c r="AH476" i="1" s="1"/>
  <c r="AH477" i="1" a="1"/>
  <c r="AH477" i="1" s="1"/>
  <c r="AH478" i="1" a="1"/>
  <c r="AH478" i="1" s="1"/>
  <c r="AH479" i="1" a="1"/>
  <c r="AH479" i="1" s="1"/>
  <c r="AH480" i="1" a="1"/>
  <c r="AH480" i="1" s="1"/>
  <c r="AH481" i="1" a="1"/>
  <c r="AH481" i="1" s="1"/>
  <c r="AH482" i="1" a="1"/>
  <c r="AH482" i="1" s="1"/>
  <c r="AH483" i="1" a="1"/>
  <c r="AH483" i="1" s="1"/>
  <c r="AH484" i="1" a="1"/>
  <c r="AH484" i="1" s="1"/>
  <c r="AH485" i="1" a="1"/>
  <c r="AH485" i="1" s="1"/>
  <c r="AH486" i="1" a="1"/>
  <c r="AH486" i="1" s="1"/>
  <c r="AH487" i="1" a="1"/>
  <c r="AH487" i="1" s="1"/>
  <c r="AH488" i="1" a="1"/>
  <c r="AH488" i="1" s="1"/>
  <c r="AH489" i="1" a="1"/>
  <c r="AH489" i="1" s="1"/>
  <c r="AH490" i="1" a="1"/>
  <c r="AH490" i="1" s="1"/>
  <c r="AH491" i="1" a="1"/>
  <c r="AH491" i="1" s="1"/>
  <c r="AH492" i="1" a="1"/>
  <c r="AH492" i="1" s="1"/>
  <c r="AH493" i="1" a="1"/>
  <c r="AH493" i="1" s="1"/>
  <c r="AH494" i="1" a="1"/>
  <c r="AH494" i="1" s="1"/>
  <c r="AH495" i="1" a="1"/>
  <c r="AH495" i="1" s="1"/>
  <c r="AH496" i="1" a="1"/>
  <c r="AH496" i="1" s="1"/>
  <c r="AH497" i="1" a="1"/>
  <c r="AH497" i="1" s="1"/>
  <c r="AH498" i="1" a="1"/>
  <c r="AH498" i="1" s="1"/>
  <c r="AH499" i="1" a="1"/>
  <c r="AH499" i="1"/>
  <c r="AH500" i="1" a="1"/>
  <c r="AH500" i="1" s="1"/>
  <c r="AH501" i="1" a="1"/>
  <c r="AH501" i="1" s="1"/>
  <c r="AH502" i="1" a="1"/>
  <c r="AH502" i="1" s="1"/>
  <c r="AH503" i="1" a="1"/>
  <c r="AH503" i="1" s="1"/>
  <c r="AH504" i="1" a="1"/>
  <c r="AH504" i="1" s="1"/>
  <c r="AH505" i="1" a="1"/>
  <c r="AH505" i="1" s="1"/>
  <c r="AH506" i="1" a="1"/>
  <c r="AH506" i="1" s="1"/>
  <c r="AH507" i="1" a="1"/>
  <c r="AH507" i="1" s="1"/>
  <c r="AH508" i="1" a="1"/>
  <c r="AH508" i="1" s="1"/>
  <c r="AH509" i="1" a="1"/>
  <c r="AH509" i="1" s="1"/>
  <c r="AH510" i="1" a="1"/>
  <c r="AH510" i="1" s="1"/>
  <c r="AH511" i="1" a="1"/>
  <c r="AH511" i="1" s="1"/>
  <c r="AH512" i="1" a="1"/>
  <c r="AH512" i="1" s="1"/>
  <c r="AH513" i="1" a="1"/>
  <c r="AH513" i="1" s="1"/>
  <c r="AH514" i="1" a="1"/>
  <c r="AH514" i="1" s="1"/>
  <c r="AH515" i="1" a="1"/>
  <c r="AH515" i="1" s="1"/>
  <c r="AH516" i="1" a="1"/>
  <c r="AH516" i="1" s="1"/>
  <c r="AH517" i="1" a="1"/>
  <c r="AH517" i="1" s="1"/>
  <c r="AH518" i="1" a="1"/>
  <c r="AH518" i="1" s="1"/>
  <c r="AH519" i="1" a="1"/>
  <c r="AH519" i="1" s="1"/>
  <c r="AH520" i="1" a="1"/>
  <c r="AH520" i="1" s="1"/>
  <c r="AH521" i="1" a="1"/>
  <c r="AH521" i="1" s="1"/>
  <c r="AH522" i="1" a="1"/>
  <c r="AH522" i="1" s="1"/>
  <c r="AH523" i="1" a="1"/>
  <c r="AH523" i="1" s="1"/>
  <c r="AH524" i="1" a="1"/>
  <c r="AH524" i="1" s="1"/>
  <c r="AH525" i="1" a="1"/>
  <c r="AH525" i="1" s="1"/>
  <c r="AH526" i="1" a="1"/>
  <c r="AH526" i="1" s="1"/>
  <c r="AH527" i="1" a="1"/>
  <c r="AH527" i="1" s="1"/>
  <c r="AH528" i="1" a="1"/>
  <c r="AH528" i="1" s="1"/>
  <c r="AH529" i="1" a="1"/>
  <c r="AH529" i="1" s="1"/>
  <c r="AH530" i="1" a="1"/>
  <c r="AH530" i="1" s="1"/>
  <c r="AH531" i="1" a="1"/>
  <c r="AH531" i="1"/>
  <c r="AH532" i="1" a="1"/>
  <c r="AH532" i="1" s="1"/>
  <c r="AH533" i="1" a="1"/>
  <c r="AH533" i="1" s="1"/>
  <c r="AH534" i="1" a="1"/>
  <c r="AH534" i="1" s="1"/>
  <c r="AH535" i="1" a="1"/>
  <c r="AH535" i="1"/>
  <c r="AH536" i="1" a="1"/>
  <c r="AH536" i="1" s="1"/>
  <c r="AH537" i="1" a="1"/>
  <c r="AH537" i="1" s="1"/>
  <c r="AH538" i="1" a="1"/>
  <c r="AH538" i="1" s="1"/>
  <c r="AH539" i="1" a="1"/>
  <c r="AH539" i="1" s="1"/>
  <c r="AH540" i="1" a="1"/>
  <c r="AH540" i="1" s="1"/>
  <c r="AH541" i="1" a="1"/>
  <c r="AH541" i="1" s="1"/>
  <c r="AH542" i="1" a="1"/>
  <c r="AH542" i="1" s="1"/>
  <c r="AH543" i="1" a="1"/>
  <c r="AH543" i="1" s="1"/>
  <c r="AH544" i="1" a="1"/>
  <c r="AH544" i="1" s="1"/>
  <c r="AH545" i="1" a="1"/>
  <c r="AH545" i="1" s="1"/>
  <c r="AH546" i="1" a="1"/>
  <c r="AH546" i="1" s="1"/>
  <c r="AH547" i="1" a="1"/>
  <c r="AH547" i="1" s="1"/>
  <c r="AH548" i="1" a="1"/>
  <c r="AH548" i="1" s="1"/>
  <c r="AH549" i="1" a="1"/>
  <c r="AH549" i="1" s="1"/>
  <c r="AH550" i="1" a="1"/>
  <c r="AH550" i="1" s="1"/>
  <c r="AH551" i="1" a="1"/>
  <c r="AH551" i="1" s="1"/>
  <c r="AH552" i="1" a="1"/>
  <c r="AH552" i="1" s="1"/>
  <c r="AH553" i="1" a="1"/>
  <c r="AH553" i="1" s="1"/>
  <c r="AH554" i="1" a="1"/>
  <c r="AH554" i="1" s="1"/>
  <c r="AH555" i="1" a="1"/>
  <c r="AH555" i="1" s="1"/>
  <c r="AH556" i="1" a="1"/>
  <c r="AH556" i="1" s="1"/>
  <c r="AH557" i="1" a="1"/>
  <c r="AH557" i="1" s="1"/>
  <c r="AH558" i="1" a="1"/>
  <c r="AH558" i="1" s="1"/>
  <c r="AH559" i="1" a="1"/>
  <c r="AH559" i="1" s="1"/>
  <c r="AH560" i="1" a="1"/>
  <c r="AH560" i="1" s="1"/>
  <c r="AH561" i="1" a="1"/>
  <c r="AH561" i="1" s="1"/>
  <c r="AH562" i="1" a="1"/>
  <c r="AH562" i="1" s="1"/>
  <c r="AH563" i="1" a="1"/>
  <c r="AH563" i="1"/>
  <c r="AH564" i="1" a="1"/>
  <c r="AH564" i="1" s="1"/>
  <c r="AH565" i="1" a="1"/>
  <c r="AH565" i="1" s="1"/>
  <c r="AH566" i="1" a="1"/>
  <c r="AH566" i="1" s="1"/>
  <c r="AH567" i="1" a="1"/>
  <c r="AH567" i="1" s="1"/>
  <c r="AH568" i="1" a="1"/>
  <c r="AH568" i="1" s="1"/>
  <c r="AH569" i="1" a="1"/>
  <c r="AH569" i="1" s="1"/>
  <c r="AH570" i="1" a="1"/>
  <c r="AH570" i="1" s="1"/>
  <c r="AH571" i="1" a="1"/>
  <c r="AH571" i="1" s="1"/>
  <c r="AH572" i="1" a="1"/>
  <c r="AH572" i="1" s="1"/>
  <c r="AH573" i="1" a="1"/>
  <c r="AH573" i="1" s="1"/>
  <c r="AH574" i="1" a="1"/>
  <c r="AH574" i="1" s="1"/>
  <c r="AH575" i="1" a="1"/>
  <c r="AH575" i="1" s="1"/>
  <c r="AH576" i="1" a="1"/>
  <c r="AH576" i="1" s="1"/>
  <c r="AH577" i="1" a="1"/>
  <c r="AH577" i="1" s="1"/>
  <c r="AH578" i="1" a="1"/>
  <c r="AH578" i="1" s="1"/>
  <c r="AH579" i="1" a="1"/>
  <c r="AH579" i="1" s="1"/>
  <c r="AH580" i="1" a="1"/>
  <c r="AH580" i="1" s="1"/>
  <c r="AH581" i="1" a="1"/>
  <c r="AH581" i="1" s="1"/>
  <c r="AH582" i="1" a="1"/>
  <c r="AH582" i="1" s="1"/>
  <c r="AH583" i="1" a="1"/>
  <c r="AH583" i="1" s="1"/>
  <c r="AH584" i="1" a="1"/>
  <c r="AH584" i="1" s="1"/>
  <c r="AH585" i="1" a="1"/>
  <c r="AH585" i="1" s="1"/>
  <c r="AH586" i="1" a="1"/>
  <c r="AH586" i="1" s="1"/>
  <c r="AH587" i="1" a="1"/>
  <c r="AH587" i="1" s="1"/>
  <c r="AH588" i="1" a="1"/>
  <c r="AH588" i="1" s="1"/>
  <c r="AH589" i="1" a="1"/>
  <c r="AH589" i="1" s="1"/>
  <c r="AH590" i="1" a="1"/>
  <c r="AH590" i="1" s="1"/>
  <c r="AH591" i="1" a="1"/>
  <c r="AH591" i="1" s="1"/>
  <c r="AH592" i="1" a="1"/>
  <c r="AH592" i="1" s="1"/>
  <c r="AH593" i="1" a="1"/>
  <c r="AH593" i="1" s="1"/>
  <c r="AH594" i="1" a="1"/>
  <c r="AH594" i="1" s="1"/>
  <c r="AH595" i="1" a="1"/>
  <c r="AH595" i="1"/>
  <c r="AH596" i="1" a="1"/>
  <c r="AH596" i="1" s="1"/>
  <c r="AH597" i="1" a="1"/>
  <c r="AH597" i="1" s="1"/>
  <c r="AH598" i="1" a="1"/>
  <c r="AH598" i="1" s="1"/>
  <c r="AH599" i="1" a="1"/>
  <c r="AH599" i="1"/>
  <c r="AH600" i="1" a="1"/>
  <c r="AH600" i="1" s="1"/>
  <c r="AH601" i="1" a="1"/>
  <c r="AH601" i="1" s="1"/>
  <c r="AH602" i="1" a="1"/>
  <c r="AH602" i="1" s="1"/>
  <c r="AH603" i="1" a="1"/>
  <c r="AH603" i="1" s="1"/>
  <c r="AH604" i="1" a="1"/>
  <c r="AH604" i="1" s="1"/>
  <c r="AH605" i="1" a="1"/>
  <c r="AH605" i="1" s="1"/>
  <c r="AH606" i="1" a="1"/>
  <c r="AH606" i="1" s="1"/>
  <c r="AH607" i="1" a="1"/>
  <c r="AH607" i="1" s="1"/>
  <c r="AH608" i="1" a="1"/>
  <c r="AH608" i="1" s="1"/>
  <c r="AH609" i="1" a="1"/>
  <c r="AH609" i="1" s="1"/>
  <c r="AH610" i="1" a="1"/>
  <c r="AH610" i="1" s="1"/>
  <c r="AH611" i="1" a="1"/>
  <c r="AH611" i="1" s="1"/>
  <c r="AH612" i="1" a="1"/>
  <c r="AH612" i="1" s="1"/>
  <c r="AH613" i="1" a="1"/>
  <c r="AH613" i="1" s="1"/>
  <c r="AH614" i="1" a="1"/>
  <c r="AH614" i="1" s="1"/>
  <c r="AH615" i="1" a="1"/>
  <c r="AH615" i="1" s="1"/>
  <c r="AH616" i="1" a="1"/>
  <c r="AH616" i="1" s="1"/>
  <c r="AH617" i="1" a="1"/>
  <c r="AH617" i="1" s="1"/>
  <c r="AH618" i="1" a="1"/>
  <c r="AH618" i="1" s="1"/>
  <c r="AH619" i="1" a="1"/>
  <c r="AH619" i="1" s="1"/>
  <c r="AH620" i="1" a="1"/>
  <c r="AH620" i="1" s="1"/>
  <c r="AH621" i="1" a="1"/>
  <c r="AH621" i="1" s="1"/>
  <c r="AH622" i="1" a="1"/>
  <c r="AH622" i="1" s="1"/>
  <c r="AH623" i="1" a="1"/>
  <c r="AH623" i="1" s="1"/>
  <c r="AH624" i="1" a="1"/>
  <c r="AH624" i="1" s="1"/>
  <c r="AH625" i="1" a="1"/>
  <c r="AH625" i="1" s="1"/>
  <c r="AH626" i="1" a="1"/>
  <c r="AH626" i="1" s="1"/>
  <c r="AH627" i="1" a="1"/>
  <c r="AH627" i="1" s="1"/>
  <c r="AH628" i="1" a="1"/>
  <c r="AH628" i="1" s="1"/>
  <c r="AH629" i="1" a="1"/>
  <c r="AH629" i="1" s="1"/>
  <c r="AH630" i="1" a="1"/>
  <c r="AH630" i="1" s="1"/>
  <c r="AH631" i="1" a="1"/>
  <c r="AH631" i="1"/>
  <c r="AH632" i="1" a="1"/>
  <c r="AH632" i="1" s="1"/>
  <c r="AH633" i="1" a="1"/>
  <c r="AH633" i="1" s="1"/>
  <c r="AH634" i="1" a="1"/>
  <c r="AH634" i="1" s="1"/>
  <c r="AH635" i="1" a="1"/>
  <c r="AH635" i="1" s="1"/>
  <c r="AH636" i="1" a="1"/>
  <c r="AH636" i="1" s="1"/>
  <c r="AH637" i="1" a="1"/>
  <c r="AH637" i="1" s="1"/>
  <c r="AH638" i="1" a="1"/>
  <c r="AH638" i="1" s="1"/>
  <c r="AH639" i="1" a="1"/>
  <c r="AH639" i="1" s="1"/>
  <c r="AH640" i="1" a="1"/>
  <c r="AH640" i="1" s="1"/>
  <c r="AH641" i="1" a="1"/>
  <c r="AH641" i="1" s="1"/>
  <c r="AH642" i="1" a="1"/>
  <c r="AH642" i="1" s="1"/>
  <c r="AH643" i="1" a="1"/>
  <c r="AH643" i="1" s="1"/>
  <c r="AH644" i="1" a="1"/>
  <c r="AH644" i="1" s="1"/>
  <c r="AH645" i="1" a="1"/>
  <c r="AH645" i="1" s="1"/>
  <c r="AH646" i="1" a="1"/>
  <c r="AH646" i="1" s="1"/>
  <c r="AH647" i="1" a="1"/>
  <c r="AH647" i="1" s="1"/>
  <c r="AH648" i="1" a="1"/>
  <c r="AH648" i="1" s="1"/>
  <c r="AH649" i="1" a="1"/>
  <c r="AH649" i="1" s="1"/>
  <c r="AH650" i="1" a="1"/>
  <c r="AH650" i="1" s="1"/>
  <c r="AH651" i="1" a="1"/>
  <c r="AH651" i="1" s="1"/>
  <c r="AH652" i="1" a="1"/>
  <c r="AH652" i="1" s="1"/>
  <c r="AH653" i="1" a="1"/>
  <c r="AH653" i="1" s="1"/>
  <c r="AH654" i="1" a="1"/>
  <c r="AH654" i="1" s="1"/>
  <c r="AH655" i="1" a="1"/>
  <c r="AH655" i="1" s="1"/>
  <c r="AH656" i="1" a="1"/>
  <c r="AH656" i="1" s="1"/>
  <c r="AH657" i="1" a="1"/>
  <c r="AH657" i="1" s="1"/>
  <c r="AH658" i="1" a="1"/>
  <c r="AH658" i="1" s="1"/>
  <c r="AH659" i="1" a="1"/>
  <c r="AH659" i="1" s="1"/>
  <c r="AH660" i="1" a="1"/>
  <c r="AH660" i="1" s="1"/>
  <c r="AH661" i="1" a="1"/>
  <c r="AH661" i="1" s="1"/>
  <c r="AH662" i="1" a="1"/>
  <c r="AH662" i="1" s="1"/>
  <c r="AH663" i="1" a="1"/>
  <c r="AH663" i="1"/>
  <c r="AH664" i="1" a="1"/>
  <c r="AH664" i="1" s="1"/>
  <c r="AH665" i="1" a="1"/>
  <c r="AH665" i="1" s="1"/>
  <c r="AH666" i="1" a="1"/>
  <c r="AH666" i="1" s="1"/>
  <c r="AH667" i="1" a="1"/>
  <c r="AH667" i="1" s="1"/>
  <c r="AH668" i="1" a="1"/>
  <c r="AH668" i="1" s="1"/>
  <c r="AH669" i="1" a="1"/>
  <c r="AH669" i="1" s="1"/>
  <c r="AH670" i="1" a="1"/>
  <c r="AH670" i="1" s="1"/>
  <c r="AH671" i="1" a="1"/>
  <c r="AH671" i="1"/>
  <c r="AH672" i="1" a="1"/>
  <c r="AH672" i="1" s="1"/>
  <c r="AH673" i="1" a="1"/>
  <c r="AH673" i="1" s="1"/>
  <c r="AH674" i="1" a="1"/>
  <c r="AH674" i="1" s="1"/>
  <c r="AH675" i="1" a="1"/>
  <c r="AH675" i="1" s="1"/>
  <c r="AH676" i="1" a="1"/>
  <c r="AH676" i="1" s="1"/>
  <c r="AH677" i="1" a="1"/>
  <c r="AH677" i="1" s="1"/>
  <c r="AH678" i="1" a="1"/>
  <c r="AH678" i="1" s="1"/>
  <c r="AH679" i="1" a="1"/>
  <c r="AH679" i="1" s="1"/>
  <c r="AH680" i="1" a="1"/>
  <c r="AH680" i="1" s="1"/>
  <c r="AH681" i="1" a="1"/>
  <c r="AH681" i="1" s="1"/>
  <c r="AH682" i="1" a="1"/>
  <c r="AH682" i="1" s="1"/>
  <c r="AH683" i="1" a="1"/>
  <c r="AH683" i="1" s="1"/>
  <c r="AH684" i="1" a="1"/>
  <c r="AH684" i="1" s="1"/>
  <c r="AH685" i="1" a="1"/>
  <c r="AH685" i="1" s="1"/>
  <c r="AH686" i="1" a="1"/>
  <c r="AH686" i="1" s="1"/>
  <c r="AH687" i="1" a="1"/>
  <c r="AH687" i="1" s="1"/>
  <c r="AH688" i="1" a="1"/>
  <c r="AH688" i="1" s="1"/>
  <c r="AH689" i="1" a="1"/>
  <c r="AH689" i="1" s="1"/>
  <c r="AH690" i="1" a="1"/>
  <c r="AH690" i="1" s="1"/>
  <c r="AH691" i="1" a="1"/>
  <c r="AH691" i="1" s="1"/>
  <c r="AH692" i="1" a="1"/>
  <c r="AH692" i="1" s="1"/>
  <c r="AH693" i="1" a="1"/>
  <c r="AH693" i="1" s="1"/>
  <c r="AH694" i="1" a="1"/>
  <c r="AH694" i="1" s="1"/>
  <c r="AH695" i="1" a="1"/>
  <c r="AH695" i="1" s="1"/>
  <c r="AH696" i="1" a="1"/>
  <c r="AH696" i="1" s="1"/>
  <c r="AH697" i="1" a="1"/>
  <c r="AH697" i="1" s="1"/>
  <c r="AH698" i="1" a="1"/>
  <c r="AH698" i="1" s="1"/>
  <c r="AH699" i="1" a="1"/>
  <c r="AH699" i="1" s="1"/>
  <c r="AH700" i="1" a="1"/>
  <c r="AH700" i="1" s="1"/>
  <c r="AH701" i="1" a="1"/>
  <c r="AH701" i="1" s="1"/>
  <c r="AH702" i="1" a="1"/>
  <c r="AH702" i="1" s="1"/>
  <c r="AH703" i="1" a="1"/>
  <c r="AH703" i="1" s="1"/>
  <c r="AH704" i="1" a="1"/>
  <c r="AH704" i="1" s="1"/>
  <c r="AH705" i="1" a="1"/>
  <c r="AH705" i="1" s="1"/>
  <c r="AH706" i="1" a="1"/>
  <c r="AH706" i="1" s="1"/>
  <c r="AH707" i="1" a="1"/>
  <c r="AH707" i="1" s="1"/>
  <c r="AH708" i="1" a="1"/>
  <c r="AH708" i="1" s="1"/>
  <c r="AH709" i="1" a="1"/>
  <c r="AH709" i="1" s="1"/>
  <c r="AH710" i="1" a="1"/>
  <c r="AH710" i="1" s="1"/>
  <c r="AH711" i="1" a="1"/>
  <c r="AH711" i="1" s="1"/>
  <c r="AH712" i="1" a="1"/>
  <c r="AH712" i="1" s="1"/>
  <c r="AH713" i="1" a="1"/>
  <c r="AH713" i="1" s="1"/>
  <c r="AH714" i="1" a="1"/>
  <c r="AH714" i="1" s="1"/>
  <c r="AH715" i="1" a="1"/>
  <c r="AH715" i="1" s="1"/>
  <c r="AH716" i="1" a="1"/>
  <c r="AH716" i="1" s="1"/>
  <c r="AH717" i="1" a="1"/>
  <c r="AH717" i="1" s="1"/>
  <c r="AH718" i="1" a="1"/>
  <c r="AH718" i="1" s="1"/>
  <c r="AH719" i="1" a="1"/>
  <c r="AH719" i="1" s="1"/>
  <c r="AH720" i="1" a="1"/>
  <c r="AH720" i="1" s="1"/>
  <c r="AH721" i="1" a="1"/>
  <c r="AH721" i="1" s="1"/>
  <c r="AH722" i="1" a="1"/>
  <c r="AH722" i="1" s="1"/>
  <c r="AH723" i="1" a="1"/>
  <c r="AH723" i="1" s="1"/>
  <c r="AH724" i="1" a="1"/>
  <c r="AH724" i="1" s="1"/>
  <c r="AH725" i="1" a="1"/>
  <c r="AH725" i="1" s="1"/>
  <c r="AH726" i="1" a="1"/>
  <c r="AH726" i="1" s="1"/>
  <c r="AH727" i="1" a="1"/>
  <c r="AH727" i="1" s="1"/>
  <c r="AH728" i="1" a="1"/>
  <c r="AH728" i="1" s="1"/>
  <c r="AH729" i="1" a="1"/>
  <c r="AH729" i="1" s="1"/>
  <c r="AH730" i="1" a="1"/>
  <c r="AH730" i="1" s="1"/>
  <c r="AH731" i="1" a="1"/>
  <c r="AH731" i="1" s="1"/>
  <c r="AH732" i="1" a="1"/>
  <c r="AH732" i="1" s="1"/>
  <c r="AH733" i="1" a="1"/>
  <c r="AH733" i="1" s="1"/>
  <c r="AH734" i="1" a="1"/>
  <c r="AH734" i="1" s="1"/>
  <c r="AH735" i="1" a="1"/>
  <c r="AH735" i="1" s="1"/>
  <c r="AH736" i="1" a="1"/>
  <c r="AH736" i="1" s="1"/>
  <c r="AH737" i="1" a="1"/>
  <c r="AH737" i="1" s="1"/>
  <c r="AH738" i="1" a="1"/>
  <c r="AH738" i="1" s="1"/>
  <c r="AH739" i="1" a="1"/>
  <c r="AH739" i="1" s="1"/>
  <c r="AH740" i="1" a="1"/>
  <c r="AH740" i="1" s="1"/>
  <c r="AH741" i="1" a="1"/>
  <c r="AH741" i="1" s="1"/>
  <c r="AH742" i="1" a="1"/>
  <c r="AH742" i="1" s="1"/>
  <c r="AH743" i="1" a="1"/>
  <c r="AH743" i="1" s="1"/>
  <c r="AH744" i="1" a="1"/>
  <c r="AH744" i="1" s="1"/>
  <c r="AH745" i="1" a="1"/>
  <c r="AH745" i="1" s="1"/>
  <c r="AH746" i="1" a="1"/>
  <c r="AH746" i="1" s="1"/>
  <c r="AH747" i="1" a="1"/>
  <c r="AH747" i="1" s="1"/>
  <c r="AH748" i="1" a="1"/>
  <c r="AH748" i="1" s="1"/>
  <c r="AH749" i="1" a="1"/>
  <c r="AH749" i="1" s="1"/>
  <c r="AH750" i="1" a="1"/>
  <c r="AH750" i="1" s="1"/>
  <c r="AH751" i="1" a="1"/>
  <c r="AH751" i="1" s="1"/>
  <c r="AH752" i="1" a="1"/>
  <c r="AH752" i="1" s="1"/>
  <c r="AH753" i="1" a="1"/>
  <c r="AH753" i="1" s="1"/>
  <c r="AH754" i="1" a="1"/>
  <c r="AH754" i="1" s="1"/>
  <c r="AH755" i="1" a="1"/>
  <c r="AH755" i="1" s="1"/>
  <c r="AH756" i="1" a="1"/>
  <c r="AH756" i="1" s="1"/>
  <c r="AH757" i="1" a="1"/>
  <c r="AH757" i="1" s="1"/>
  <c r="AH758" i="1" a="1"/>
  <c r="AH758" i="1" s="1"/>
  <c r="AH759" i="1" a="1"/>
  <c r="AH759" i="1" s="1"/>
  <c r="AH760" i="1" a="1"/>
  <c r="AH760" i="1" s="1"/>
  <c r="AH761" i="1" a="1"/>
  <c r="AH761" i="1" s="1"/>
  <c r="AH762" i="1" a="1"/>
  <c r="AH762" i="1" s="1"/>
  <c r="AH763" i="1" a="1"/>
  <c r="AH763" i="1" s="1"/>
  <c r="AH764" i="1" a="1"/>
  <c r="AH764" i="1" s="1"/>
  <c r="AH765" i="1" a="1"/>
  <c r="AH765" i="1" s="1"/>
  <c r="AH766" i="1" a="1"/>
  <c r="AH766" i="1" s="1"/>
  <c r="AH767" i="1" a="1"/>
  <c r="AH767" i="1" s="1"/>
  <c r="AH768" i="1" a="1"/>
  <c r="AH768" i="1" s="1"/>
  <c r="AH769" i="1" a="1"/>
  <c r="AH769" i="1" s="1"/>
  <c r="AH770" i="1" a="1"/>
  <c r="AH770" i="1" s="1"/>
  <c r="AH771" i="1" a="1"/>
  <c r="AH771" i="1" s="1"/>
  <c r="AH772" i="1" a="1"/>
  <c r="AH772" i="1" s="1"/>
  <c r="AH773" i="1" a="1"/>
  <c r="AH773" i="1" s="1"/>
  <c r="AH774" i="1" a="1"/>
  <c r="AH774" i="1" s="1"/>
  <c r="AH775" i="1" a="1"/>
  <c r="AH775" i="1" s="1"/>
  <c r="AH776" i="1" a="1"/>
  <c r="AH776" i="1" s="1"/>
  <c r="AH777" i="1" a="1"/>
  <c r="AH777" i="1" s="1"/>
  <c r="AH778" i="1" a="1"/>
  <c r="AH778" i="1" s="1"/>
  <c r="AH779" i="1" a="1"/>
  <c r="AH779" i="1" s="1"/>
  <c r="AH780" i="1" a="1"/>
  <c r="AH780" i="1" s="1"/>
  <c r="AH781" i="1" a="1"/>
  <c r="AH781" i="1" s="1"/>
  <c r="AH782" i="1" a="1"/>
  <c r="AH782" i="1" s="1"/>
  <c r="AH783" i="1" a="1"/>
  <c r="AH783" i="1" s="1"/>
  <c r="AH784" i="1" a="1"/>
  <c r="AH784" i="1" s="1"/>
  <c r="AH785" i="1" a="1"/>
  <c r="AH785" i="1" s="1"/>
  <c r="AH786" i="1" a="1"/>
  <c r="AH786" i="1" s="1"/>
  <c r="AH787" i="1" a="1"/>
  <c r="AH787" i="1" s="1"/>
  <c r="AH788" i="1" a="1"/>
  <c r="AH788" i="1" s="1"/>
  <c r="AH789" i="1" a="1"/>
  <c r="AH789" i="1" s="1"/>
  <c r="AH790" i="1" a="1"/>
  <c r="AH790" i="1" s="1"/>
  <c r="AH791" i="1" a="1"/>
  <c r="AH791" i="1" s="1"/>
  <c r="AH792" i="1" a="1"/>
  <c r="AH792" i="1" s="1"/>
  <c r="AH793" i="1" a="1"/>
  <c r="AH793" i="1" s="1"/>
  <c r="AH794" i="1" a="1"/>
  <c r="AH794" i="1" s="1"/>
  <c r="AH795" i="1" a="1"/>
  <c r="AH795" i="1" s="1"/>
  <c r="AH796" i="1" a="1"/>
  <c r="AH796" i="1" s="1"/>
  <c r="AH797" i="1" a="1"/>
  <c r="AH797" i="1" s="1"/>
  <c r="AH798" i="1" a="1"/>
  <c r="AH798" i="1" s="1"/>
  <c r="AH799" i="1" a="1"/>
  <c r="AH799" i="1" s="1"/>
  <c r="AH800" i="1" a="1"/>
  <c r="AH800" i="1" s="1"/>
  <c r="AH801" i="1" a="1"/>
  <c r="AH801" i="1" s="1"/>
  <c r="AH802" i="1" a="1"/>
  <c r="AH802" i="1" s="1"/>
  <c r="AH803" i="1" a="1"/>
  <c r="AH803" i="1" s="1"/>
  <c r="AH804" i="1" a="1"/>
  <c r="AH804" i="1" s="1"/>
  <c r="AH805" i="1" a="1"/>
  <c r="AH805" i="1" s="1"/>
  <c r="AH806" i="1" a="1"/>
  <c r="AH806" i="1" s="1"/>
  <c r="AH807" i="1" a="1"/>
  <c r="AH807" i="1" s="1"/>
  <c r="AH808" i="1" a="1"/>
  <c r="AH808" i="1" s="1"/>
  <c r="AH809" i="1" a="1"/>
  <c r="AH809" i="1" s="1"/>
  <c r="AH810" i="1" a="1"/>
  <c r="AH810" i="1" s="1"/>
  <c r="AH811" i="1" a="1"/>
  <c r="AH811" i="1" s="1"/>
  <c r="AH812" i="1" a="1"/>
  <c r="AH812" i="1" s="1"/>
  <c r="AH813" i="1" a="1"/>
  <c r="AH813" i="1" s="1"/>
  <c r="AH814" i="1" a="1"/>
  <c r="AH814" i="1" s="1"/>
  <c r="AH815" i="1" a="1"/>
  <c r="AH815" i="1" s="1"/>
  <c r="AH816" i="1" a="1"/>
  <c r="AH816" i="1" s="1"/>
  <c r="AH817" i="1" a="1"/>
  <c r="AH817" i="1" s="1"/>
  <c r="AH818" i="1" a="1"/>
  <c r="AH818" i="1" s="1"/>
  <c r="AH819" i="1" a="1"/>
  <c r="AH819" i="1" s="1"/>
  <c r="AH820" i="1" a="1"/>
  <c r="AH820" i="1" s="1"/>
  <c r="AH821" i="1" a="1"/>
  <c r="AH821" i="1" s="1"/>
  <c r="AH822" i="1" a="1"/>
  <c r="AH822" i="1" s="1"/>
  <c r="AH823" i="1" a="1"/>
  <c r="AH823" i="1" s="1"/>
  <c r="AH824" i="1" a="1"/>
  <c r="AH824" i="1" s="1"/>
  <c r="AH825" i="1" a="1"/>
  <c r="AH825" i="1" s="1"/>
  <c r="AH826" i="1" a="1"/>
  <c r="AH826" i="1" s="1"/>
  <c r="AH827" i="1" a="1"/>
  <c r="AH827" i="1" s="1"/>
  <c r="AH828" i="1" a="1"/>
  <c r="AH828" i="1" s="1"/>
  <c r="AH829" i="1" a="1"/>
  <c r="AH829" i="1" s="1"/>
  <c r="AH830" i="1" a="1"/>
  <c r="AH830" i="1" s="1"/>
  <c r="AH831" i="1" a="1"/>
  <c r="AH831" i="1" s="1"/>
  <c r="AH832" i="1" a="1"/>
  <c r="AH832" i="1" s="1"/>
  <c r="AH833" i="1" a="1"/>
  <c r="AH833" i="1" s="1"/>
  <c r="AH834" i="1" a="1"/>
  <c r="AH834" i="1" s="1"/>
  <c r="AH835" i="1" a="1"/>
  <c r="AH835" i="1" s="1"/>
  <c r="AH836" i="1" a="1"/>
  <c r="AH836" i="1" s="1"/>
  <c r="AH837" i="1" a="1"/>
  <c r="AH837" i="1" s="1"/>
  <c r="AH838" i="1" a="1"/>
  <c r="AH838" i="1" s="1"/>
  <c r="AH839" i="1" a="1"/>
  <c r="AH839" i="1" s="1"/>
  <c r="AH840" i="1" a="1"/>
  <c r="AH840" i="1" s="1"/>
  <c r="AH841" i="1" a="1"/>
  <c r="AH841" i="1" s="1"/>
  <c r="AH842" i="1" a="1"/>
  <c r="AH842" i="1" s="1"/>
  <c r="AH843" i="1" a="1"/>
  <c r="AH843" i="1" s="1"/>
  <c r="AH844" i="1" a="1"/>
  <c r="AH844" i="1" s="1"/>
  <c r="AH845" i="1" a="1"/>
  <c r="AH845" i="1" s="1"/>
  <c r="AH846" i="1" a="1"/>
  <c r="AH846" i="1" s="1"/>
  <c r="AH847" i="1" a="1"/>
  <c r="AH847" i="1" s="1"/>
  <c r="AH848" i="1" a="1"/>
  <c r="AH848" i="1" s="1"/>
  <c r="AH849" i="1" a="1"/>
  <c r="AH849" i="1" s="1"/>
  <c r="AH850" i="1" a="1"/>
  <c r="AH850" i="1" s="1"/>
  <c r="AH851" i="1" a="1"/>
  <c r="AH851" i="1" s="1"/>
  <c r="AH852" i="1" a="1"/>
  <c r="AH852" i="1" s="1"/>
  <c r="AH853" i="1" a="1"/>
  <c r="AH853" i="1" s="1"/>
  <c r="AH854" i="1" a="1"/>
  <c r="AH854" i="1" s="1"/>
  <c r="AH855" i="1" a="1"/>
  <c r="AH855" i="1" s="1"/>
  <c r="AH856" i="1" a="1"/>
  <c r="AH856" i="1" s="1"/>
  <c r="AH857" i="1" a="1"/>
  <c r="AH857" i="1" s="1"/>
  <c r="AH858" i="1" a="1"/>
  <c r="AH858" i="1" s="1"/>
  <c r="AH859" i="1" a="1"/>
  <c r="AH859" i="1" s="1"/>
  <c r="AH860" i="1" a="1"/>
  <c r="AH860" i="1" s="1"/>
  <c r="AH861" i="1" a="1"/>
  <c r="AH861" i="1" s="1"/>
  <c r="AH862" i="1" a="1"/>
  <c r="AH862" i="1" s="1"/>
  <c r="AH863" i="1" a="1"/>
  <c r="AH863" i="1" s="1"/>
  <c r="AH864" i="1" a="1"/>
  <c r="AH864" i="1" s="1"/>
  <c r="AH865" i="1" a="1"/>
  <c r="AH865" i="1" s="1"/>
  <c r="AH866" i="1" a="1"/>
  <c r="AH866" i="1" s="1"/>
  <c r="AH867" i="1" a="1"/>
  <c r="AH867" i="1" s="1"/>
  <c r="AH868" i="1" a="1"/>
  <c r="AH868" i="1" s="1"/>
  <c r="AH869" i="1" a="1"/>
  <c r="AH869" i="1" s="1"/>
  <c r="AH870" i="1" a="1"/>
  <c r="AH870" i="1" s="1"/>
  <c r="AH871" i="1" a="1"/>
  <c r="AH871" i="1" s="1"/>
  <c r="AH872" i="1" a="1"/>
  <c r="AH872" i="1" s="1"/>
  <c r="AH873" i="1" a="1"/>
  <c r="AH873" i="1" s="1"/>
  <c r="AH874" i="1" a="1"/>
  <c r="AH874" i="1" s="1"/>
  <c r="AH875" i="1" a="1"/>
  <c r="AH875" i="1" s="1"/>
  <c r="AH876" i="1" a="1"/>
  <c r="AH876" i="1" s="1"/>
  <c r="AH877" i="1" a="1"/>
  <c r="AH877" i="1" s="1"/>
  <c r="AH878" i="1" a="1"/>
  <c r="AH878" i="1" s="1"/>
  <c r="AH879" i="1" a="1"/>
  <c r="AH879" i="1" s="1"/>
  <c r="AH880" i="1" a="1"/>
  <c r="AH880" i="1" s="1"/>
  <c r="AH881" i="1" a="1"/>
  <c r="AH881" i="1" s="1"/>
  <c r="AH882" i="1" a="1"/>
  <c r="AH882" i="1" s="1"/>
  <c r="AH883" i="1" a="1"/>
  <c r="AH883" i="1" s="1"/>
  <c r="AH884" i="1" a="1"/>
  <c r="AH884" i="1" s="1"/>
  <c r="AH885" i="1" a="1"/>
  <c r="AH885" i="1" s="1"/>
  <c r="AH886" i="1" a="1"/>
  <c r="AH886" i="1" s="1"/>
  <c r="AH887" i="1" a="1"/>
  <c r="AH887" i="1" s="1"/>
  <c r="AH888" i="1" a="1"/>
  <c r="AH888" i="1" s="1"/>
  <c r="AH889" i="1" a="1"/>
  <c r="AH889" i="1" s="1"/>
  <c r="AH890" i="1" a="1"/>
  <c r="AH890" i="1" s="1"/>
  <c r="AH891" i="1" a="1"/>
  <c r="AH891" i="1" s="1"/>
  <c r="AH892" i="1" a="1"/>
  <c r="AH892" i="1" s="1"/>
  <c r="AH893" i="1" a="1"/>
  <c r="AH893" i="1" s="1"/>
  <c r="AH894" i="1" a="1"/>
  <c r="AH894" i="1" s="1"/>
  <c r="AH895" i="1" a="1"/>
  <c r="AH895" i="1" s="1"/>
  <c r="AH896" i="1" a="1"/>
  <c r="AH896" i="1" s="1"/>
  <c r="AH897" i="1" a="1"/>
  <c r="AH897" i="1" s="1"/>
  <c r="AH898" i="1" a="1"/>
  <c r="AH898" i="1" s="1"/>
  <c r="AH899" i="1" a="1"/>
  <c r="AH899" i="1" s="1"/>
  <c r="AH900" i="1" a="1"/>
  <c r="AH900" i="1" s="1"/>
  <c r="AH901" i="1" a="1"/>
  <c r="AH901" i="1" s="1"/>
  <c r="AH902" i="1" a="1"/>
  <c r="AH902" i="1" s="1"/>
  <c r="AH903" i="1" a="1"/>
  <c r="AH903" i="1" s="1"/>
  <c r="AH904" i="1" a="1"/>
  <c r="AH904" i="1" s="1"/>
  <c r="AH905" i="1" a="1"/>
  <c r="AH905" i="1" s="1"/>
  <c r="AH906" i="1" a="1"/>
  <c r="AH906" i="1" s="1"/>
  <c r="AH907" i="1" a="1"/>
  <c r="AH907" i="1" s="1"/>
  <c r="AH908" i="1" a="1"/>
  <c r="AH908" i="1" s="1"/>
  <c r="AH909" i="1" a="1"/>
  <c r="AH909" i="1" s="1"/>
  <c r="AH910" i="1" a="1"/>
  <c r="AH910" i="1" s="1"/>
  <c r="AH911" i="1" a="1"/>
  <c r="AH911" i="1" s="1"/>
  <c r="AH912" i="1" a="1"/>
  <c r="AH912" i="1" s="1"/>
  <c r="AH913" i="1" a="1"/>
  <c r="AH913" i="1" s="1"/>
  <c r="AH914" i="1" a="1"/>
  <c r="AH914" i="1" s="1"/>
  <c r="AH915" i="1" a="1"/>
  <c r="AH915" i="1" s="1"/>
  <c r="AH916" i="1" a="1"/>
  <c r="AH916" i="1" s="1"/>
  <c r="AH917" i="1" a="1"/>
  <c r="AH917" i="1" s="1"/>
  <c r="AH918" i="1" a="1"/>
  <c r="AH918" i="1" s="1"/>
  <c r="AH919" i="1" a="1"/>
  <c r="AH919" i="1" s="1"/>
  <c r="AH920" i="1" a="1"/>
  <c r="AH920" i="1" s="1"/>
  <c r="AH921" i="1" a="1"/>
  <c r="AH921" i="1" s="1"/>
  <c r="AH922" i="1" a="1"/>
  <c r="AH922" i="1" s="1"/>
  <c r="AH923" i="1" a="1"/>
  <c r="AH923" i="1" s="1"/>
  <c r="AH924" i="1" a="1"/>
  <c r="AH924" i="1" s="1"/>
  <c r="AH925" i="1" a="1"/>
  <c r="AH925" i="1" s="1"/>
  <c r="AH926" i="1" a="1"/>
  <c r="AH926" i="1" s="1"/>
  <c r="AH927" i="1" a="1"/>
  <c r="AH927" i="1" s="1"/>
  <c r="AH928" i="1" a="1"/>
  <c r="AH928" i="1" s="1"/>
  <c r="AH929" i="1" a="1"/>
  <c r="AH929" i="1" s="1"/>
  <c r="AH930" i="1" a="1"/>
  <c r="AH930" i="1" s="1"/>
  <c r="AH931" i="1" a="1"/>
  <c r="AH931" i="1" s="1"/>
  <c r="AH932" i="1" a="1"/>
  <c r="AH932" i="1" s="1"/>
  <c r="AH933" i="1" a="1"/>
  <c r="AH933" i="1" s="1"/>
  <c r="AH934" i="1" a="1"/>
  <c r="AH934" i="1" s="1"/>
  <c r="AH935" i="1" a="1"/>
  <c r="AH935" i="1" s="1"/>
  <c r="AH936" i="1" a="1"/>
  <c r="AH936" i="1" s="1"/>
  <c r="AH937" i="1" a="1"/>
  <c r="AH937" i="1" s="1"/>
  <c r="AH938" i="1" a="1"/>
  <c r="AH938" i="1" s="1"/>
  <c r="AH939" i="1" a="1"/>
  <c r="AH939" i="1" s="1"/>
  <c r="AH940" i="1" a="1"/>
  <c r="AH940" i="1" s="1"/>
  <c r="AH941" i="1" a="1"/>
  <c r="AH941" i="1" s="1"/>
  <c r="AH942" i="1" a="1"/>
  <c r="AH942" i="1" s="1"/>
  <c r="AH943" i="1" a="1"/>
  <c r="AH943" i="1" s="1"/>
  <c r="AH944" i="1" a="1"/>
  <c r="AH944" i="1" s="1"/>
  <c r="AH945" i="1" a="1"/>
  <c r="AH945" i="1" s="1"/>
  <c r="AH946" i="1" a="1"/>
  <c r="AH946" i="1" s="1"/>
  <c r="AH947" i="1" a="1"/>
  <c r="AH947" i="1" s="1"/>
  <c r="AH948" i="1" a="1"/>
  <c r="AH948" i="1" s="1"/>
  <c r="AH949" i="1" a="1"/>
  <c r="AH949" i="1" s="1"/>
  <c r="AH950" i="1" a="1"/>
  <c r="AH950" i="1" s="1"/>
  <c r="AH951" i="1" a="1"/>
  <c r="AH951" i="1" s="1"/>
  <c r="AH952" i="1" a="1"/>
  <c r="AH952" i="1" s="1"/>
  <c r="AH953" i="1" a="1"/>
  <c r="AH953" i="1" s="1"/>
  <c r="AH954" i="1" a="1"/>
  <c r="AH954" i="1" s="1"/>
  <c r="AH955" i="1" a="1"/>
  <c r="AH955" i="1" s="1"/>
  <c r="AH956" i="1" a="1"/>
  <c r="AH956" i="1" s="1"/>
  <c r="AH957" i="1" a="1"/>
  <c r="AH957" i="1" s="1"/>
  <c r="AH958" i="1" a="1"/>
  <c r="AH958" i="1" s="1"/>
  <c r="AH959" i="1" a="1"/>
  <c r="AH959" i="1" s="1"/>
  <c r="AH960" i="1" a="1"/>
  <c r="AH960" i="1" s="1"/>
  <c r="AH961" i="1" a="1"/>
  <c r="AH961" i="1" s="1"/>
  <c r="AH962" i="1" a="1"/>
  <c r="AH962" i="1" s="1"/>
  <c r="AH963" i="1" a="1"/>
  <c r="AH963" i="1" s="1"/>
  <c r="AH964" i="1" a="1"/>
  <c r="AH964" i="1" s="1"/>
  <c r="AH965" i="1" a="1"/>
  <c r="AH965" i="1" s="1"/>
  <c r="AH966" i="1" a="1"/>
  <c r="AH966" i="1" s="1"/>
  <c r="AH967" i="1" a="1"/>
  <c r="AH967" i="1" s="1"/>
  <c r="AH968" i="1" a="1"/>
  <c r="AH968" i="1" s="1"/>
  <c r="AH969" i="1" a="1"/>
  <c r="AH969" i="1" s="1"/>
  <c r="AH970" i="1" a="1"/>
  <c r="AH970" i="1" s="1"/>
  <c r="AH971" i="1" a="1"/>
  <c r="AH971" i="1" s="1"/>
  <c r="AH972" i="1" a="1"/>
  <c r="AH972" i="1" s="1"/>
  <c r="AH973" i="1" a="1"/>
  <c r="AH973" i="1" s="1"/>
  <c r="AH974" i="1" a="1"/>
  <c r="AH974" i="1" s="1"/>
  <c r="AH975" i="1" a="1"/>
  <c r="AH975" i="1" s="1"/>
  <c r="AH976" i="1" a="1"/>
  <c r="AH976" i="1" s="1"/>
  <c r="AH977" i="1" a="1"/>
  <c r="AH977" i="1" s="1"/>
  <c r="AH978" i="1" a="1"/>
  <c r="AH978" i="1" s="1"/>
  <c r="AH979" i="1" a="1"/>
  <c r="AH979" i="1" s="1"/>
  <c r="AH980" i="1" a="1"/>
  <c r="AH980" i="1" s="1"/>
  <c r="AH981" i="1" a="1"/>
  <c r="AH981" i="1" s="1"/>
  <c r="AH982" i="1" a="1"/>
  <c r="AH982" i="1"/>
  <c r="AH983" i="1" a="1"/>
  <c r="AH983" i="1" s="1"/>
  <c r="AH984" i="1" a="1"/>
  <c r="AH984" i="1" s="1"/>
  <c r="AH985" i="1" a="1"/>
  <c r="AH985" i="1" s="1"/>
  <c r="AH986" i="1" a="1"/>
  <c r="AH986" i="1" s="1"/>
  <c r="AH987" i="1" a="1"/>
  <c r="AH987" i="1"/>
  <c r="AH988" i="1" a="1"/>
  <c r="AH988" i="1" s="1"/>
  <c r="AH989" i="1" a="1"/>
  <c r="AH989" i="1" s="1"/>
  <c r="AH990" i="1" a="1"/>
  <c r="AH990" i="1" s="1"/>
  <c r="AH991" i="1" a="1"/>
  <c r="AH991" i="1" s="1"/>
  <c r="AH992" i="1" a="1"/>
  <c r="AH992" i="1" s="1"/>
  <c r="AH993" i="1" a="1"/>
  <c r="AH993" i="1" s="1"/>
  <c r="AH994" i="1" a="1"/>
  <c r="AH994" i="1" s="1"/>
  <c r="AH995" i="1" a="1"/>
  <c r="AH995" i="1" s="1"/>
  <c r="AH996" i="1" a="1"/>
  <c r="AH996" i="1" s="1"/>
  <c r="AH997" i="1" a="1"/>
  <c r="AH997" i="1" s="1"/>
  <c r="AH998" i="1" a="1"/>
  <c r="AH998" i="1"/>
  <c r="AH999" i="1" a="1"/>
  <c r="AH999" i="1" s="1"/>
  <c r="AH1000" i="1" a="1"/>
  <c r="AH1000" i="1" s="1"/>
  <c r="AH1001" i="1" a="1"/>
  <c r="AH1001" i="1" s="1"/>
  <c r="AH1002" i="1" a="1"/>
  <c r="AH1002" i="1" s="1"/>
  <c r="AH1003" i="1" a="1"/>
  <c r="AH1003" i="1"/>
  <c r="AH1004" i="1" a="1"/>
  <c r="AH1004" i="1" s="1"/>
  <c r="AH1005" i="1" a="1"/>
  <c r="AH1005" i="1" s="1"/>
  <c r="AH1006" i="1" a="1"/>
  <c r="AH1006" i="1" s="1"/>
  <c r="AH1007" i="1" a="1"/>
  <c r="AH1007" i="1" s="1"/>
  <c r="AH1008" i="1" a="1"/>
  <c r="AH1008" i="1" s="1"/>
  <c r="AH1009" i="1" a="1"/>
  <c r="AH1009" i="1" s="1"/>
  <c r="AH1010" i="1" a="1"/>
  <c r="AH1010" i="1" s="1"/>
  <c r="AH1011" i="1" a="1"/>
  <c r="AH1011" i="1" s="1"/>
  <c r="AH1012" i="1" a="1"/>
  <c r="AH1012" i="1" s="1"/>
  <c r="AH1013" i="1" a="1"/>
  <c r="AH1013" i="1" s="1"/>
  <c r="AH1014" i="1" a="1"/>
  <c r="AH1014" i="1" s="1"/>
  <c r="AH1015" i="1" a="1"/>
  <c r="AH1015" i="1" s="1"/>
  <c r="AH1016" i="1" a="1"/>
  <c r="AH1016" i="1" s="1"/>
  <c r="AH1017" i="1" a="1"/>
  <c r="AH1017" i="1" s="1"/>
  <c r="AH1018" i="1" a="1"/>
  <c r="AH1018" i="1" s="1"/>
  <c r="AH1019" i="1" a="1"/>
  <c r="AH1019" i="1" s="1"/>
  <c r="AH1020" i="1" a="1"/>
  <c r="AH1020" i="1" s="1"/>
  <c r="AH1021" i="1" a="1"/>
  <c r="AH1021" i="1" s="1"/>
  <c r="AH1022" i="1" a="1"/>
  <c r="AH1022" i="1" s="1"/>
  <c r="AH1023" i="1" a="1"/>
  <c r="AH1023" i="1" s="1"/>
  <c r="AH1024" i="1" a="1"/>
  <c r="AH1024" i="1" s="1"/>
  <c r="AH1025" i="1" a="1"/>
  <c r="AH1025" i="1" s="1"/>
  <c r="AH1026" i="1" a="1"/>
  <c r="AH1026" i="1"/>
  <c r="AH1027" i="1" a="1"/>
  <c r="AH1027" i="1" s="1"/>
  <c r="AH1028" i="1" a="1"/>
  <c r="AH1028" i="1" s="1"/>
  <c r="AH1029" i="1" a="1"/>
  <c r="AH1029" i="1" s="1"/>
  <c r="AH1030" i="1" a="1"/>
  <c r="AH1030" i="1" s="1"/>
  <c r="AH1031" i="1" a="1"/>
  <c r="AH1031" i="1" s="1"/>
  <c r="AH1032" i="1" a="1"/>
  <c r="AH1032" i="1" s="1"/>
  <c r="AH1033" i="1" a="1"/>
  <c r="AH1033" i="1" s="1"/>
  <c r="AH1034" i="1" a="1"/>
  <c r="AH1034" i="1" s="1"/>
  <c r="AH1035" i="1" a="1"/>
  <c r="AH1035" i="1" s="1"/>
  <c r="AH1036" i="1" a="1"/>
  <c r="AH1036" i="1" s="1"/>
  <c r="AH1037" i="1" a="1"/>
  <c r="AH1037" i="1" s="1"/>
  <c r="AH1038" i="1" a="1"/>
  <c r="AH1038" i="1" s="1"/>
  <c r="AH1039" i="1" a="1"/>
  <c r="AH1039" i="1" s="1"/>
  <c r="AH1040" i="1" a="1"/>
  <c r="AH1040" i="1" s="1"/>
  <c r="AH1041" i="1" a="1"/>
  <c r="AH1041" i="1" s="1"/>
  <c r="AH1042" i="1" a="1"/>
  <c r="AH1042" i="1"/>
  <c r="AH1043" i="1" a="1"/>
  <c r="AH1043" i="1" s="1"/>
  <c r="AH1044" i="1" a="1"/>
  <c r="AH1044" i="1" s="1"/>
  <c r="AH1045" i="1" a="1"/>
  <c r="AH1045" i="1" s="1"/>
  <c r="AH1046" i="1" a="1"/>
  <c r="AH1046" i="1" s="1"/>
  <c r="AH1047" i="1" a="1"/>
  <c r="AH1047" i="1" s="1"/>
  <c r="AH1048" i="1" a="1"/>
  <c r="AH1048" i="1" s="1"/>
  <c r="AH1049" i="1" a="1"/>
  <c r="AH1049" i="1" s="1"/>
  <c r="AH1050" i="1" a="1"/>
  <c r="AH1050" i="1" s="1"/>
  <c r="AH1051" i="1" a="1"/>
  <c r="AH1051" i="1" s="1"/>
  <c r="AH1052" i="1" a="1"/>
  <c r="AH1052" i="1" s="1"/>
  <c r="AH1053" i="1" a="1"/>
  <c r="AH1053" i="1" s="1"/>
  <c r="AH1054" i="1" a="1"/>
  <c r="AH1054" i="1" s="1"/>
  <c r="AH1055" i="1" a="1"/>
  <c r="AH1055" i="1" s="1"/>
  <c r="AH1056" i="1" a="1"/>
  <c r="AH1056" i="1" s="1"/>
  <c r="AH1057" i="1" a="1"/>
  <c r="AH1057" i="1" s="1"/>
  <c r="AH1058" i="1" a="1"/>
  <c r="AH1058" i="1"/>
  <c r="AH1059" i="1" a="1"/>
  <c r="AH1059" i="1" s="1"/>
  <c r="AH1060" i="1" a="1"/>
  <c r="AH1060" i="1" s="1"/>
  <c r="AH1061" i="1" a="1"/>
  <c r="AH1061" i="1" s="1"/>
  <c r="AH1062" i="1" a="1"/>
  <c r="AH1062" i="1" s="1"/>
  <c r="AH1063" i="1" a="1"/>
  <c r="AH1063" i="1" s="1"/>
  <c r="AH1064" i="1" a="1"/>
  <c r="AH1064" i="1" s="1"/>
  <c r="AH1065" i="1" a="1"/>
  <c r="AH1065" i="1" s="1"/>
  <c r="AH1066" i="1" a="1"/>
  <c r="AH1066" i="1" s="1"/>
  <c r="AH1067" i="1" a="1"/>
  <c r="AH1067" i="1" s="1"/>
  <c r="AH1068" i="1" a="1"/>
  <c r="AH1068" i="1" s="1"/>
  <c r="AH1069" i="1" a="1"/>
  <c r="AH1069" i="1" s="1"/>
  <c r="AH1070" i="1" a="1"/>
  <c r="AH1070" i="1" s="1"/>
  <c r="AH1071" i="1" a="1"/>
  <c r="AH1071" i="1" s="1"/>
  <c r="AH1072" i="1" a="1"/>
  <c r="AH1072" i="1" s="1"/>
  <c r="AH1073" i="1" a="1"/>
  <c r="AH1073" i="1" s="1"/>
  <c r="AH1074" i="1" a="1"/>
  <c r="AH1074" i="1" s="1"/>
  <c r="AH1075" i="1" a="1"/>
  <c r="AH1075" i="1" s="1"/>
  <c r="AH1076" i="1" a="1"/>
  <c r="AH1076" i="1" s="1"/>
  <c r="AH1077" i="1" a="1"/>
  <c r="AH1077" i="1" s="1"/>
  <c r="AH1078" i="1" a="1"/>
  <c r="AH1078" i="1" s="1"/>
  <c r="AH1079" i="1" a="1"/>
  <c r="AH1079" i="1" s="1"/>
  <c r="AH1080" i="1" a="1"/>
  <c r="AH1080" i="1" s="1"/>
  <c r="AH1081" i="1" a="1"/>
  <c r="AH1081" i="1" s="1"/>
  <c r="AH1082" i="1" a="1"/>
  <c r="AH1082" i="1" s="1"/>
  <c r="AH1083" i="1" a="1"/>
  <c r="AH1083" i="1" s="1"/>
  <c r="AH1084" i="1" a="1"/>
  <c r="AH1084" i="1" s="1"/>
  <c r="AH1085" i="1" a="1"/>
  <c r="AH1085" i="1" s="1"/>
  <c r="AH1086" i="1" a="1"/>
  <c r="AH1086" i="1"/>
  <c r="AH1087" i="1" a="1"/>
  <c r="AH1087" i="1" s="1"/>
  <c r="AH1088" i="1" a="1"/>
  <c r="AH1088" i="1" s="1"/>
  <c r="AH1089" i="1" a="1"/>
  <c r="AH1089" i="1" s="1"/>
  <c r="AH1090" i="1" a="1"/>
  <c r="AH1090" i="1" s="1"/>
  <c r="AH1091" i="1" a="1"/>
  <c r="AH1091" i="1" s="1"/>
  <c r="AH1092" i="1" a="1"/>
  <c r="AH1092" i="1" s="1"/>
  <c r="AH1093" i="1" a="1"/>
  <c r="AH1093" i="1" s="1"/>
  <c r="AH1094" i="1" a="1"/>
  <c r="AH1094" i="1" s="1"/>
  <c r="AH1095" i="1" a="1"/>
  <c r="AH1095" i="1" s="1"/>
  <c r="AH1096" i="1" a="1"/>
  <c r="AH1096" i="1" s="1"/>
  <c r="AH1097" i="1" a="1"/>
  <c r="AH1097" i="1" s="1"/>
  <c r="AH1098" i="1" a="1"/>
  <c r="AH1098" i="1" s="1"/>
  <c r="AH1099" i="1" a="1"/>
  <c r="AH1099" i="1" s="1"/>
  <c r="AH1100" i="1" a="1"/>
  <c r="AH1100" i="1" s="1"/>
  <c r="AH1101" i="1" a="1"/>
  <c r="AH1101" i="1" s="1"/>
  <c r="AH1102" i="1" a="1"/>
  <c r="AH1102" i="1" s="1"/>
  <c r="AH1103" i="1" a="1"/>
  <c r="AH1103" i="1" s="1"/>
  <c r="AH1104" i="1" a="1"/>
  <c r="AH1104" i="1" s="1"/>
  <c r="AH1105" i="1" a="1"/>
  <c r="AH1105" i="1" s="1"/>
  <c r="AH1106" i="1" a="1"/>
  <c r="AH1106" i="1" s="1"/>
  <c r="AH1107" i="1" a="1"/>
  <c r="AH1107" i="1"/>
  <c r="AH1108" i="1" a="1"/>
  <c r="AH1108" i="1" s="1"/>
  <c r="AH1109" i="1" a="1"/>
  <c r="AH1109" i="1" s="1"/>
  <c r="AH1110" i="1" a="1"/>
  <c r="AH1110" i="1" s="1"/>
  <c r="AH1111" i="1" a="1"/>
  <c r="AH1111" i="1" s="1"/>
  <c r="AH1112" i="1" a="1"/>
  <c r="AH1112" i="1" s="1"/>
  <c r="AH1113" i="1" a="1"/>
  <c r="AH1113" i="1" s="1"/>
  <c r="AH1114" i="1" a="1"/>
  <c r="AH1114" i="1" s="1"/>
  <c r="AH1115" i="1" a="1"/>
  <c r="AH1115" i="1" s="1"/>
  <c r="AH1116" i="1" a="1"/>
  <c r="AH1116" i="1" s="1"/>
  <c r="AH1117" i="1" a="1"/>
  <c r="AH1117" i="1" s="1"/>
  <c r="AH1118" i="1" a="1"/>
  <c r="AH1118" i="1" s="1"/>
  <c r="AH1119" i="1" a="1"/>
  <c r="AH1119" i="1" s="1"/>
  <c r="AH1120" i="1" a="1"/>
  <c r="AH1120" i="1" s="1"/>
  <c r="AH1121" i="1" a="1"/>
  <c r="AH1121" i="1" s="1"/>
  <c r="AH1122" i="1" a="1"/>
  <c r="AH1122" i="1" s="1"/>
  <c r="AH1123" i="1" a="1"/>
  <c r="AH1123" i="1" s="1"/>
  <c r="AH1124" i="1" a="1"/>
  <c r="AH1124" i="1" s="1"/>
  <c r="AH1125" i="1" a="1"/>
  <c r="AH1125" i="1" s="1"/>
  <c r="AH1126" i="1" a="1"/>
  <c r="AH1126" i="1" s="1"/>
  <c r="AH1127" i="1" a="1"/>
  <c r="AH1127" i="1" s="1"/>
  <c r="AH1128" i="1" a="1"/>
  <c r="AH1128" i="1" s="1"/>
  <c r="AH1129" i="1" a="1"/>
  <c r="AH1129" i="1" s="1"/>
  <c r="AH1130" i="1" a="1"/>
  <c r="AH1130" i="1" s="1"/>
  <c r="AH1131" i="1" a="1"/>
  <c r="AH1131" i="1" s="1"/>
  <c r="AH1132" i="1" a="1"/>
  <c r="AH1132" i="1" s="1"/>
  <c r="AH1133" i="1" a="1"/>
  <c r="AH1133" i="1" s="1"/>
  <c r="AH1134" i="1" a="1"/>
  <c r="AH1134" i="1" s="1"/>
  <c r="AH1135" i="1" a="1"/>
  <c r="AH1135" i="1" s="1"/>
  <c r="AH1136" i="1" a="1"/>
  <c r="AH1136" i="1" s="1"/>
  <c r="AH1137" i="1" a="1"/>
  <c r="AH1137" i="1" s="1"/>
  <c r="AH1138" i="1" a="1"/>
  <c r="AH1138" i="1" s="1"/>
  <c r="AH1139" i="1" a="1"/>
  <c r="AH1139" i="1" s="1"/>
  <c r="AH1140" i="1" a="1"/>
  <c r="AH1140" i="1" s="1"/>
  <c r="AH1141" i="1" a="1"/>
  <c r="AH1141" i="1" s="1"/>
  <c r="AH1142" i="1" a="1"/>
  <c r="AH1142" i="1" s="1"/>
  <c r="AH1143" i="1" a="1"/>
  <c r="AH1143" i="1" s="1"/>
  <c r="AH1144" i="1" a="1"/>
  <c r="AH1144" i="1" s="1"/>
  <c r="AH1145" i="1" a="1"/>
  <c r="AH1145" i="1" s="1"/>
  <c r="AH1146" i="1" a="1"/>
  <c r="AH1146" i="1" s="1"/>
  <c r="AH1147" i="1" a="1"/>
  <c r="AH1147" i="1" s="1"/>
  <c r="AH1148" i="1" a="1"/>
  <c r="AH1148" i="1" s="1"/>
  <c r="AH1149" i="1" a="1"/>
  <c r="AH1149" i="1" s="1"/>
  <c r="AH1150" i="1" a="1"/>
  <c r="AH1150" i="1"/>
  <c r="AH1151" i="1" a="1"/>
  <c r="AH1151" i="1" s="1"/>
  <c r="AH1152" i="1" a="1"/>
  <c r="AH1152" i="1" s="1"/>
  <c r="AH1153" i="1" a="1"/>
  <c r="AH1153" i="1" s="1"/>
  <c r="AH1154" i="1" a="1"/>
  <c r="AH1154" i="1" s="1"/>
  <c r="AH1155" i="1" a="1"/>
  <c r="AH1155" i="1" s="1"/>
  <c r="AH1156" i="1" a="1"/>
  <c r="AH1156" i="1" s="1"/>
  <c r="AH1157" i="1" a="1"/>
  <c r="AH1157" i="1" s="1"/>
  <c r="AH1158" i="1" a="1"/>
  <c r="AH1158" i="1" s="1"/>
  <c r="AH1159" i="1" a="1"/>
  <c r="AH1159" i="1" s="1"/>
  <c r="AH1160" i="1" a="1"/>
  <c r="AH1160" i="1" s="1"/>
  <c r="AH1161" i="1" a="1"/>
  <c r="AH1161" i="1" s="1"/>
  <c r="AH1162" i="1" a="1"/>
  <c r="AH1162" i="1" s="1"/>
  <c r="AH1163" i="1" a="1"/>
  <c r="AH1163" i="1" s="1"/>
  <c r="AH1164" i="1" a="1"/>
  <c r="AH1164" i="1" s="1"/>
  <c r="AH1165" i="1" a="1"/>
  <c r="AH1165" i="1" s="1"/>
  <c r="AH1166" i="1" a="1"/>
  <c r="AH1166" i="1" s="1"/>
  <c r="AH1167" i="1" a="1"/>
  <c r="AH1167" i="1" s="1"/>
  <c r="AH1168" i="1" a="1"/>
  <c r="AH1168" i="1" s="1"/>
  <c r="AH1169" i="1" a="1"/>
  <c r="AH1169" i="1" s="1"/>
  <c r="AH1170" i="1" a="1"/>
  <c r="AH1170" i="1" s="1"/>
  <c r="AH1171" i="1" a="1"/>
  <c r="AH1171" i="1"/>
  <c r="AH1172" i="1" a="1"/>
  <c r="AH1172" i="1" s="1"/>
  <c r="AH1173" i="1" a="1"/>
  <c r="AH1173" i="1" s="1"/>
  <c r="AH1174" i="1" a="1"/>
  <c r="AH1174" i="1" s="1"/>
  <c r="AH1175" i="1" a="1"/>
  <c r="AH1175" i="1" s="1"/>
  <c r="AH1176" i="1" a="1"/>
  <c r="AH1176" i="1" s="1"/>
  <c r="AH1177" i="1" a="1"/>
  <c r="AH1177" i="1" s="1"/>
  <c r="AH1178" i="1" a="1"/>
  <c r="AH1178" i="1" s="1"/>
  <c r="AH1179" i="1" a="1"/>
  <c r="AH1179" i="1" s="1"/>
  <c r="AH1180" i="1" a="1"/>
  <c r="AH1180" i="1" s="1"/>
  <c r="AH1181" i="1" a="1"/>
  <c r="AH1181" i="1" s="1"/>
  <c r="AH1182" i="1" a="1"/>
  <c r="AH1182" i="1" s="1"/>
  <c r="AH1183" i="1" a="1"/>
  <c r="AH1183" i="1" s="1"/>
  <c r="AH1184" i="1" a="1"/>
  <c r="AH1184" i="1" s="1"/>
  <c r="AH1185" i="1" a="1"/>
  <c r="AH1185" i="1" s="1"/>
  <c r="AH1186" i="1" a="1"/>
  <c r="AH1186" i="1" s="1"/>
  <c r="AH1187" i="1" a="1"/>
  <c r="AH1187" i="1" s="1"/>
  <c r="AH1188" i="1" a="1"/>
  <c r="AH1188" i="1" s="1"/>
  <c r="AH1189" i="1" a="1"/>
  <c r="AH1189" i="1" s="1"/>
  <c r="AH1190" i="1" a="1"/>
  <c r="AH1190" i="1" s="1"/>
  <c r="AH1191" i="1" a="1"/>
  <c r="AH1191" i="1" s="1"/>
  <c r="AH1192" i="1" a="1"/>
  <c r="AH1192" i="1" s="1"/>
  <c r="AH1193" i="1" a="1"/>
  <c r="AH1193" i="1" s="1"/>
  <c r="AH1194" i="1" a="1"/>
  <c r="AH1194" i="1" s="1"/>
  <c r="AH1195" i="1" a="1"/>
  <c r="AH1195" i="1" s="1"/>
  <c r="AH1196" i="1" a="1"/>
  <c r="AH1196" i="1" s="1"/>
  <c r="AH1197" i="1" a="1"/>
  <c r="AH1197" i="1" s="1"/>
  <c r="AH1198" i="1" a="1"/>
  <c r="AH1198" i="1" s="1"/>
  <c r="AH1199" i="1" a="1"/>
  <c r="AH1199" i="1" s="1"/>
  <c r="AH1200" i="1" a="1"/>
  <c r="AH1200" i="1" s="1"/>
  <c r="AH1201" i="1" a="1"/>
  <c r="AH1201" i="1" s="1"/>
  <c r="AH1202" i="1" a="1"/>
  <c r="AH1202" i="1" s="1"/>
  <c r="AH1203" i="1" a="1"/>
  <c r="AH1203" i="1" s="1"/>
  <c r="AH1204" i="1" a="1"/>
  <c r="AH1204" i="1" s="1"/>
  <c r="AH1205" i="1" a="1"/>
  <c r="AH1205" i="1" s="1"/>
  <c r="AH1206" i="1" a="1"/>
  <c r="AH1206" i="1" s="1"/>
  <c r="AH1207" i="1" a="1"/>
  <c r="AH1207" i="1" s="1"/>
  <c r="AH1208" i="1" a="1"/>
  <c r="AH1208" i="1" s="1"/>
  <c r="AH1209" i="1" a="1"/>
  <c r="AH1209" i="1" s="1"/>
  <c r="AH1210" i="1" a="1"/>
  <c r="AH1210" i="1" s="1"/>
  <c r="AH1211" i="1" a="1"/>
  <c r="AH1211" i="1" s="1"/>
  <c r="AH1212" i="1" a="1"/>
  <c r="AH1212" i="1" s="1"/>
  <c r="AH1213" i="1" a="1"/>
  <c r="AH1213" i="1" s="1"/>
  <c r="AH1214" i="1" a="1"/>
  <c r="AH1214" i="1"/>
  <c r="AH1215" i="1" a="1"/>
  <c r="AH1215" i="1" s="1"/>
  <c r="AH1216" i="1" a="1"/>
  <c r="AH1216" i="1" s="1"/>
  <c r="AH1217" i="1" a="1"/>
  <c r="AH1217" i="1" s="1"/>
  <c r="AH1218" i="1" a="1"/>
  <c r="AH1218" i="1" s="1"/>
  <c r="AH1219" i="1" a="1"/>
  <c r="AH1219" i="1" s="1"/>
  <c r="AH1220" i="1" a="1"/>
  <c r="AH1220" i="1" s="1"/>
  <c r="AH1221" i="1" a="1"/>
  <c r="AH1221" i="1" s="1"/>
  <c r="AH1222" i="1" a="1"/>
  <c r="AH1222" i="1" s="1"/>
  <c r="AH1223" i="1" a="1"/>
  <c r="AH1223" i="1" s="1"/>
  <c r="AH1224" i="1" a="1"/>
  <c r="AH1224" i="1" s="1"/>
  <c r="AH1225" i="1" a="1"/>
  <c r="AH1225" i="1" s="1"/>
  <c r="AH1226" i="1" a="1"/>
  <c r="AH1226" i="1" s="1"/>
  <c r="AH1227" i="1" a="1"/>
  <c r="AH1227" i="1" s="1"/>
  <c r="AH1228" i="1" a="1"/>
  <c r="AH1228" i="1" s="1"/>
  <c r="AH1229" i="1" a="1"/>
  <c r="AH1229" i="1" s="1"/>
  <c r="AH1230" i="1" a="1"/>
  <c r="AH1230" i="1" s="1"/>
  <c r="AH1231" i="1" a="1"/>
  <c r="AH1231" i="1" s="1"/>
  <c r="AH1232" i="1" a="1"/>
  <c r="AH1232" i="1" s="1"/>
  <c r="AH1233" i="1" a="1"/>
  <c r="AH1233" i="1" s="1"/>
  <c r="AH1234" i="1" a="1"/>
  <c r="AH1234" i="1" s="1"/>
  <c r="AH1235" i="1" a="1"/>
  <c r="AH1235" i="1"/>
  <c r="AH1236" i="1" a="1"/>
  <c r="AH1236" i="1" s="1"/>
  <c r="AH1237" i="1" a="1"/>
  <c r="AH1237" i="1" s="1"/>
  <c r="AH1238" i="1" a="1"/>
  <c r="AH1238" i="1" s="1"/>
  <c r="AH1239" i="1" a="1"/>
  <c r="AH1239" i="1" s="1"/>
  <c r="AH1240" i="1" a="1"/>
  <c r="AH1240" i="1" s="1"/>
  <c r="AH1241" i="1" a="1"/>
  <c r="AH1241" i="1" s="1"/>
  <c r="AH1242" i="1" a="1"/>
  <c r="AH1242" i="1" s="1"/>
  <c r="AH1243" i="1" a="1"/>
  <c r="AH1243" i="1" s="1"/>
  <c r="AH1244" i="1" a="1"/>
  <c r="AH1244" i="1" s="1"/>
  <c r="AH1245" i="1" a="1"/>
  <c r="AH1245" i="1" s="1"/>
  <c r="AH1246" i="1" a="1"/>
  <c r="AH1246" i="1" s="1"/>
  <c r="AH1247" i="1" a="1"/>
  <c r="AH1247" i="1" s="1"/>
  <c r="AH1248" i="1" a="1"/>
  <c r="AH1248" i="1" s="1"/>
  <c r="AH1249" i="1" a="1"/>
  <c r="AH1249" i="1" s="1"/>
  <c r="AH1250" i="1" a="1"/>
  <c r="AH1250" i="1" s="1"/>
  <c r="AH1251" i="1" a="1"/>
  <c r="AH1251" i="1" s="1"/>
  <c r="AH1252" i="1" a="1"/>
  <c r="AH1252" i="1" s="1"/>
  <c r="AH1253" i="1" a="1"/>
  <c r="AH1253" i="1" s="1"/>
  <c r="AH1254" i="1" a="1"/>
  <c r="AH1254" i="1" s="1"/>
  <c r="AH1255" i="1" a="1"/>
  <c r="AH1255" i="1" s="1"/>
  <c r="AH1256" i="1" a="1"/>
  <c r="AH1256" i="1" s="1"/>
  <c r="AH1257" i="1" a="1"/>
  <c r="AH1257" i="1" s="1"/>
  <c r="AH1258" i="1" a="1"/>
  <c r="AH1258" i="1" s="1"/>
  <c r="AH1259" i="1" a="1"/>
  <c r="AH1259" i="1" s="1"/>
  <c r="AH1260" i="1" a="1"/>
  <c r="AH1260" i="1" s="1"/>
  <c r="AH1261" i="1" a="1"/>
  <c r="AH1261" i="1" s="1"/>
  <c r="AH1262" i="1" a="1"/>
  <c r="AH1262" i="1" s="1"/>
  <c r="AH1263" i="1" a="1"/>
  <c r="AH1263" i="1" s="1"/>
  <c r="AH1264" i="1" a="1"/>
  <c r="AH1264" i="1" s="1"/>
  <c r="AH1265" i="1" a="1"/>
  <c r="AH1265" i="1" s="1"/>
  <c r="AH1266" i="1" a="1"/>
  <c r="AH1266" i="1" s="1"/>
  <c r="AH1267" i="1" a="1"/>
  <c r="AH1267" i="1" s="1"/>
  <c r="AH1268" i="1" a="1"/>
  <c r="AH1268" i="1" s="1"/>
  <c r="AH1269" i="1" a="1"/>
  <c r="AH1269" i="1" s="1"/>
  <c r="AH1270" i="1" a="1"/>
  <c r="AH1270" i="1" s="1"/>
  <c r="AH1271" i="1" a="1"/>
  <c r="AH1271" i="1" s="1"/>
  <c r="AH1272" i="1" a="1"/>
  <c r="AH1272" i="1" s="1"/>
  <c r="AH1273" i="1" a="1"/>
  <c r="AH1273" i="1" s="1"/>
  <c r="AH1274" i="1" a="1"/>
  <c r="AH1274" i="1" s="1"/>
  <c r="AH1275" i="1" a="1"/>
  <c r="AH1275" i="1" s="1"/>
  <c r="AH1276" i="1" a="1"/>
  <c r="AH1276" i="1" s="1"/>
  <c r="AH1277" i="1" a="1"/>
  <c r="AH1277" i="1" s="1"/>
  <c r="AH1278" i="1" a="1"/>
  <c r="AH1278" i="1"/>
  <c r="AH1279" i="1" a="1"/>
  <c r="AH1279" i="1" s="1"/>
  <c r="AH1280" i="1" a="1"/>
  <c r="AH1280" i="1" s="1"/>
  <c r="AH1281" i="1" a="1"/>
  <c r="AH1281" i="1" s="1"/>
  <c r="AH1282" i="1" a="1"/>
  <c r="AH1282" i="1" s="1"/>
  <c r="AH1283" i="1" a="1"/>
  <c r="AH1283" i="1" s="1"/>
  <c r="AH1284" i="1" a="1"/>
  <c r="AH1284" i="1" s="1"/>
  <c r="AH1285" i="1" a="1"/>
  <c r="AH1285" i="1" s="1"/>
  <c r="AH1286" i="1" a="1"/>
  <c r="AH1286" i="1" s="1"/>
  <c r="AH1287" i="1" a="1"/>
  <c r="AH1287" i="1" s="1"/>
  <c r="AH1288" i="1" a="1"/>
  <c r="AH1288" i="1" s="1"/>
  <c r="AH1289" i="1" a="1"/>
  <c r="AH1289" i="1" s="1"/>
  <c r="AH1290" i="1" a="1"/>
  <c r="AH1290" i="1" s="1"/>
  <c r="AH1291" i="1" a="1"/>
  <c r="AH1291" i="1" s="1"/>
  <c r="AH1292" i="1" a="1"/>
  <c r="AH1292" i="1" s="1"/>
  <c r="AH1293" i="1" a="1"/>
  <c r="AH1293" i="1" s="1"/>
  <c r="AH1294" i="1" a="1"/>
  <c r="AH1294" i="1" s="1"/>
  <c r="AH1295" i="1" a="1"/>
  <c r="AH1295" i="1" s="1"/>
  <c r="AH1296" i="1" a="1"/>
  <c r="AH1296" i="1" s="1"/>
  <c r="AH1297" i="1" a="1"/>
  <c r="AH1297" i="1" s="1"/>
  <c r="AH1298" i="1" a="1"/>
  <c r="AH1298" i="1" s="1"/>
  <c r="AH1299" i="1" a="1"/>
  <c r="AH1299" i="1"/>
  <c r="AH1300" i="1" a="1"/>
  <c r="AH1300" i="1" s="1"/>
  <c r="AH1301" i="1" a="1"/>
  <c r="AH1301" i="1" s="1"/>
  <c r="AH1302" i="1" a="1"/>
  <c r="AH1302" i="1" s="1"/>
  <c r="AH1303" i="1" a="1"/>
  <c r="AH1303" i="1" s="1"/>
  <c r="AH1304" i="1" a="1"/>
  <c r="AH1304" i="1" s="1"/>
  <c r="AH1305" i="1" a="1"/>
  <c r="AH1305" i="1" s="1"/>
  <c r="AH1306" i="1" a="1"/>
  <c r="AH1306" i="1" s="1"/>
  <c r="AH1307" i="1" a="1"/>
  <c r="AH1307" i="1" s="1"/>
  <c r="AH1308" i="1" a="1"/>
  <c r="AH1308" i="1" s="1"/>
  <c r="AH1309" i="1" a="1"/>
  <c r="AH1309" i="1" s="1"/>
  <c r="AH1310" i="1" a="1"/>
  <c r="AH1310" i="1" s="1"/>
  <c r="AH1311" i="1" a="1"/>
  <c r="AH1311" i="1" s="1"/>
  <c r="AH1312" i="1" a="1"/>
  <c r="AH1312" i="1" s="1"/>
  <c r="AH1313" i="1" a="1"/>
  <c r="AH1313" i="1" s="1"/>
  <c r="AH1314" i="1" a="1"/>
  <c r="AH1314" i="1" s="1"/>
  <c r="AH1315" i="1" a="1"/>
  <c r="AH1315" i="1" s="1"/>
  <c r="AH1316" i="1" a="1"/>
  <c r="AH1316" i="1" s="1"/>
  <c r="AH1317" i="1" a="1"/>
  <c r="AH1317" i="1" s="1"/>
  <c r="AH1318" i="1" a="1"/>
  <c r="AH1318" i="1" s="1"/>
  <c r="AH1319" i="1" a="1"/>
  <c r="AH1319" i="1" s="1"/>
  <c r="AH1320" i="1" a="1"/>
  <c r="AH1320" i="1"/>
  <c r="AH1321" i="1" a="1"/>
  <c r="AH1321" i="1" s="1"/>
  <c r="AH1322" i="1" a="1"/>
  <c r="AH1322" i="1" s="1"/>
  <c r="AH1323" i="1" a="1"/>
  <c r="AH1323" i="1" s="1"/>
  <c r="AH1324" i="1" a="1"/>
  <c r="AH1324" i="1" s="1"/>
  <c r="AH1325" i="1" a="1"/>
  <c r="AH1325" i="1" s="1"/>
  <c r="AH1326" i="1" a="1"/>
  <c r="AH1326" i="1" s="1"/>
  <c r="AH1327" i="1" a="1"/>
  <c r="AH1327" i="1" s="1"/>
  <c r="AH1328" i="1" a="1"/>
  <c r="AH1328" i="1" s="1"/>
  <c r="AH1329" i="1" a="1"/>
  <c r="AH1329" i="1" s="1"/>
  <c r="AH1330" i="1" a="1"/>
  <c r="AH1330" i="1" s="1"/>
  <c r="AH1331" i="1" a="1"/>
  <c r="AH1331" i="1" s="1"/>
  <c r="AH1332" i="1" a="1"/>
  <c r="AH1332" i="1"/>
  <c r="AH1333" i="1" a="1"/>
  <c r="AH1333" i="1" s="1"/>
  <c r="AH1334" i="1" a="1"/>
  <c r="AH1334" i="1" s="1"/>
  <c r="AH1335" i="1" a="1"/>
  <c r="AH1335" i="1" s="1"/>
  <c r="AH1336" i="1" a="1"/>
  <c r="AH1336" i="1" s="1"/>
  <c r="AH1337" i="1" a="1"/>
  <c r="AH1337" i="1" s="1"/>
  <c r="AH1338" i="1" a="1"/>
  <c r="AH1338" i="1" s="1"/>
  <c r="AH1339" i="1" a="1"/>
  <c r="AH1339" i="1" s="1"/>
  <c r="AH1340" i="1" a="1"/>
  <c r="AH1340" i="1" s="1"/>
  <c r="AH1341" i="1" a="1"/>
  <c r="AH1341" i="1" s="1"/>
  <c r="AH1342" i="1" a="1"/>
  <c r="AH1342" i="1" s="1"/>
  <c r="AH1343" i="1" a="1"/>
  <c r="AH1343" i="1" s="1"/>
  <c r="AH1344" i="1" a="1"/>
  <c r="AH1344" i="1" s="1"/>
  <c r="AH1345" i="1" a="1"/>
  <c r="AH1345" i="1" s="1"/>
  <c r="AH1346" i="1" a="1"/>
  <c r="AH1346" i="1" s="1"/>
  <c r="AH1347" i="1" a="1"/>
  <c r="AH1347" i="1" s="1"/>
  <c r="AH1348" i="1" a="1"/>
  <c r="AH1348" i="1"/>
  <c r="AH1349" i="1" a="1"/>
  <c r="AH1349" i="1" s="1"/>
  <c r="AH1350" i="1" a="1"/>
  <c r="AH1350" i="1" s="1"/>
  <c r="AH1351" i="1" a="1"/>
  <c r="AH1351" i="1" s="1"/>
  <c r="AH1352" i="1" a="1"/>
  <c r="AH1352" i="1"/>
  <c r="AH1353" i="1" a="1"/>
  <c r="AH1353" i="1" s="1"/>
  <c r="AH1354" i="1" a="1"/>
  <c r="AH1354" i="1" s="1"/>
  <c r="AH1355" i="1" a="1"/>
  <c r="AH1355" i="1" s="1"/>
  <c r="AH1356" i="1" a="1"/>
  <c r="AH1356" i="1" s="1"/>
  <c r="AH1357" i="1" a="1"/>
  <c r="AH1357" i="1" s="1"/>
  <c r="AH1358" i="1" a="1"/>
  <c r="AH1358" i="1" s="1"/>
  <c r="AH1359" i="1" a="1"/>
  <c r="AH1359" i="1" s="1"/>
  <c r="AH1360" i="1" a="1"/>
  <c r="AH1360" i="1" s="1"/>
  <c r="AH1361" i="1" a="1"/>
  <c r="AH1361" i="1" s="1"/>
  <c r="AH1362" i="1" a="1"/>
  <c r="AH1362" i="1" s="1"/>
  <c r="AH1363" i="1" a="1"/>
  <c r="AH1363" i="1" s="1"/>
  <c r="AH1364" i="1" a="1"/>
  <c r="AH1364" i="1"/>
  <c r="AH1365" i="1" a="1"/>
  <c r="AH1365" i="1" s="1"/>
  <c r="AH1366" i="1" a="1"/>
  <c r="AH1366" i="1" s="1"/>
  <c r="AH1367" i="1" a="1"/>
  <c r="AH1367" i="1" s="1"/>
  <c r="AH1368" i="1" a="1"/>
  <c r="AH1368" i="1" s="1"/>
  <c r="AH1369" i="1" a="1"/>
  <c r="AH1369" i="1" s="1"/>
  <c r="AH1370" i="1" a="1"/>
  <c r="AH1370" i="1" s="1"/>
  <c r="AH1371" i="1" a="1"/>
  <c r="AH1371" i="1" s="1"/>
  <c r="AH1372" i="1" a="1"/>
  <c r="AH1372" i="1" s="1"/>
  <c r="AH1373" i="1" a="1"/>
  <c r="AH1373" i="1" s="1"/>
  <c r="AH1374" i="1" a="1"/>
  <c r="AH1374" i="1" s="1"/>
  <c r="AH1375" i="1" a="1"/>
  <c r="AH1375" i="1" s="1"/>
  <c r="AH1376" i="1" a="1"/>
  <c r="AH1376" i="1" s="1"/>
  <c r="AH1377" i="1" a="1"/>
  <c r="AH1377" i="1" s="1"/>
  <c r="AH1378" i="1" a="1"/>
  <c r="AH1378" i="1" s="1"/>
  <c r="AH1379" i="1" a="1"/>
  <c r="AH1379" i="1" s="1"/>
  <c r="AH1380" i="1" a="1"/>
  <c r="AH1380" i="1"/>
  <c r="AH1381" i="1" a="1"/>
  <c r="AH1381" i="1" s="1"/>
  <c r="AH1382" i="1" a="1"/>
  <c r="AH1382" i="1" s="1"/>
  <c r="AH1383" i="1" a="1"/>
  <c r="AH1383" i="1" s="1"/>
  <c r="AH1384" i="1" a="1"/>
  <c r="AH1384" i="1"/>
  <c r="AH1385" i="1" a="1"/>
  <c r="AH1385" i="1" s="1"/>
  <c r="AH1386" i="1" a="1"/>
  <c r="AH1386" i="1" s="1"/>
  <c r="AH1387" i="1" a="1"/>
  <c r="AH1387" i="1" s="1"/>
  <c r="AH1388" i="1" a="1"/>
  <c r="AH1388" i="1" s="1"/>
  <c r="AH1389" i="1" a="1"/>
  <c r="AH1389" i="1" s="1"/>
  <c r="AH1390" i="1" a="1"/>
  <c r="AH1390" i="1" s="1"/>
  <c r="AH1391" i="1" a="1"/>
  <c r="AH1391" i="1" s="1"/>
  <c r="AH1392" i="1" a="1"/>
  <c r="AH1392" i="1" s="1"/>
  <c r="AH1393" i="1" a="1"/>
  <c r="AH1393" i="1" s="1"/>
  <c r="AH1394" i="1" a="1"/>
  <c r="AH1394" i="1" s="1"/>
  <c r="AH1395" i="1" a="1"/>
  <c r="AH1395" i="1" s="1"/>
  <c r="AH1396" i="1" a="1"/>
  <c r="AH1396" i="1"/>
  <c r="AH1397" i="1" a="1"/>
  <c r="AH1397" i="1" s="1"/>
  <c r="AH1398" i="1" a="1"/>
  <c r="AH1398" i="1" s="1"/>
  <c r="AH1399" i="1" a="1"/>
  <c r="AH1399" i="1" s="1"/>
  <c r="AH1400" i="1" a="1"/>
  <c r="AH1400" i="1" s="1"/>
  <c r="AH1401" i="1" a="1"/>
  <c r="AH1401" i="1" s="1"/>
  <c r="AH1402" i="1" a="1"/>
  <c r="AH1402" i="1" s="1"/>
  <c r="AH1403" i="1" a="1"/>
  <c r="AH1403" i="1" s="1"/>
  <c r="AH1404" i="1" a="1"/>
  <c r="AH1404" i="1" s="1"/>
  <c r="AH1405" i="1" a="1"/>
  <c r="AH1405" i="1" s="1"/>
  <c r="AH1406" i="1" a="1"/>
  <c r="AH1406" i="1" s="1"/>
  <c r="AH1407" i="1" a="1"/>
  <c r="AH1407" i="1" s="1"/>
  <c r="AH1408" i="1" a="1"/>
  <c r="AH1408" i="1" s="1"/>
  <c r="AH1409" i="1" a="1"/>
  <c r="AH1409" i="1" s="1"/>
  <c r="AH1410" i="1" a="1"/>
  <c r="AH1410" i="1" s="1"/>
  <c r="AH1411" i="1" a="1"/>
  <c r="AH1411" i="1" s="1"/>
  <c r="AH1412" i="1" a="1"/>
  <c r="AH1412" i="1"/>
  <c r="AH1413" i="1" a="1"/>
  <c r="AH1413" i="1" s="1"/>
  <c r="AH1414" i="1" a="1"/>
  <c r="AH1414" i="1" s="1"/>
  <c r="AH1415" i="1" a="1"/>
  <c r="AH1415" i="1" s="1"/>
  <c r="AH1416" i="1" a="1"/>
  <c r="AH1416" i="1"/>
  <c r="AH1417" i="1" a="1"/>
  <c r="AH1417" i="1" s="1"/>
  <c r="AH1418" i="1" a="1"/>
  <c r="AH1418" i="1" s="1"/>
  <c r="AH1419" i="1" a="1"/>
  <c r="AH1419" i="1" s="1"/>
  <c r="AH1420" i="1" a="1"/>
  <c r="AH1420" i="1" s="1"/>
  <c r="AH1421" i="1" a="1"/>
  <c r="AH1421" i="1" s="1"/>
  <c r="AH1422" i="1" a="1"/>
  <c r="AH1422" i="1" s="1"/>
  <c r="AH1423" i="1" a="1"/>
  <c r="AH1423" i="1" s="1"/>
  <c r="AH1424" i="1" a="1"/>
  <c r="AH1424" i="1" s="1"/>
  <c r="AH1425" i="1" a="1"/>
  <c r="AH1425" i="1" s="1"/>
  <c r="AH1426" i="1" a="1"/>
  <c r="AH1426" i="1" s="1"/>
  <c r="AH1427" i="1" a="1"/>
  <c r="AH1427" i="1" s="1"/>
  <c r="AH1428" i="1" a="1"/>
  <c r="AH1428" i="1"/>
  <c r="AH1429" i="1" a="1"/>
  <c r="AH1429" i="1" s="1"/>
  <c r="AH1430" i="1" a="1"/>
  <c r="AH1430" i="1" s="1"/>
  <c r="AH1431" i="1" a="1"/>
  <c r="AH1431" i="1" s="1"/>
  <c r="AH1432" i="1" a="1"/>
  <c r="AH1432" i="1" s="1"/>
  <c r="AH1433" i="1" a="1"/>
  <c r="AH1433" i="1" s="1"/>
  <c r="AH1434" i="1" a="1"/>
  <c r="AH1434" i="1" s="1"/>
  <c r="AH1435" i="1" a="1"/>
  <c r="AH1435" i="1" s="1"/>
  <c r="AH1436" i="1" a="1"/>
  <c r="AH1436" i="1" s="1"/>
  <c r="AH1437" i="1" a="1"/>
  <c r="AH1437" i="1" s="1"/>
  <c r="AH1438" i="1" a="1"/>
  <c r="AH1438" i="1" s="1"/>
  <c r="AH1439" i="1" a="1"/>
  <c r="AH1439" i="1" s="1"/>
  <c r="AH1440" i="1" a="1"/>
  <c r="AH1440" i="1" s="1"/>
  <c r="AH1441" i="1" a="1"/>
  <c r="AH1441" i="1" s="1"/>
  <c r="AH1442" i="1" a="1"/>
  <c r="AH1442" i="1" s="1"/>
  <c r="AH1443" i="1" a="1"/>
  <c r="AH1443" i="1" s="1"/>
  <c r="AH1444" i="1" a="1"/>
  <c r="AH1444" i="1"/>
  <c r="AH1445" i="1" a="1"/>
  <c r="AH1445" i="1" s="1"/>
  <c r="AH1446" i="1" a="1"/>
  <c r="AH1446" i="1" s="1"/>
  <c r="AH1447" i="1" a="1"/>
  <c r="AH1447" i="1" s="1"/>
  <c r="AH1448" i="1" a="1"/>
  <c r="AH1448" i="1"/>
  <c r="AH1449" i="1" a="1"/>
  <c r="AH1449" i="1" s="1"/>
  <c r="AH1450" i="1" a="1"/>
  <c r="AH1450" i="1" s="1"/>
  <c r="AH1451" i="1" a="1"/>
  <c r="AH1451" i="1" s="1"/>
  <c r="AH1452" i="1" a="1"/>
  <c r="AH1452" i="1" s="1"/>
  <c r="AH1453" i="1" a="1"/>
  <c r="AH1453" i="1" s="1"/>
  <c r="AH1454" i="1" a="1"/>
  <c r="AH1454" i="1" s="1"/>
  <c r="AH1455" i="1" a="1"/>
  <c r="AH1455" i="1" s="1"/>
  <c r="AH1456" i="1" a="1"/>
  <c r="AH1456" i="1" s="1"/>
  <c r="AH1457" i="1" a="1"/>
  <c r="AH1457" i="1" s="1"/>
  <c r="AH1458" i="1" a="1"/>
  <c r="AH1458" i="1" s="1"/>
  <c r="AH1459" i="1" a="1"/>
  <c r="AH1459" i="1" s="1"/>
  <c r="AH1460" i="1" a="1"/>
  <c r="AH1460" i="1"/>
  <c r="AH1461" i="1" a="1"/>
  <c r="AH1461" i="1" s="1"/>
  <c r="AH1462" i="1" a="1"/>
  <c r="AH1462" i="1" s="1"/>
  <c r="AH1463" i="1" a="1"/>
  <c r="AH1463" i="1" s="1"/>
  <c r="AH1464" i="1" a="1"/>
  <c r="AH1464" i="1" s="1"/>
  <c r="AH1465" i="1" a="1"/>
  <c r="AH1465" i="1" s="1"/>
  <c r="AH1466" i="1" a="1"/>
  <c r="AH1466" i="1" s="1"/>
  <c r="AH1467" i="1" a="1"/>
  <c r="AH1467" i="1" s="1"/>
  <c r="AH1468" i="1" a="1"/>
  <c r="AH1468" i="1" s="1"/>
  <c r="AH1469" i="1" a="1"/>
  <c r="AH1469" i="1" s="1"/>
  <c r="AH1470" i="1" a="1"/>
  <c r="AH1470" i="1" s="1"/>
  <c r="AH1471" i="1" a="1"/>
  <c r="AH1471" i="1" s="1"/>
  <c r="AL2" i="1" a="1"/>
  <c r="AL2" i="1" s="1"/>
  <c r="AL3" i="1" a="1"/>
  <c r="AL3" i="1" s="1"/>
  <c r="AL4" i="1" a="1"/>
  <c r="AL4" i="1" s="1"/>
  <c r="AL5" i="1" a="1"/>
  <c r="AL5" i="1" s="1"/>
  <c r="AL6" i="1" a="1"/>
  <c r="AL6" i="1" s="1"/>
  <c r="AL7" i="1" a="1"/>
  <c r="AL7" i="1" s="1"/>
  <c r="AL8" i="1" a="1"/>
  <c r="AL8" i="1" s="1"/>
  <c r="AL9" i="1" a="1"/>
  <c r="AL9" i="1" s="1"/>
  <c r="AL10" i="1" a="1"/>
  <c r="AL10" i="1"/>
  <c r="AL11" i="1" a="1"/>
  <c r="AL11" i="1" s="1"/>
  <c r="AL12" i="1" a="1"/>
  <c r="AL12" i="1" s="1"/>
  <c r="AL13" i="1" a="1"/>
  <c r="AL13" i="1" s="1"/>
  <c r="AL14" i="1" a="1"/>
  <c r="AL14" i="1" s="1"/>
  <c r="AL15" i="1" a="1"/>
  <c r="AL15" i="1" s="1"/>
  <c r="AL16" i="1" a="1"/>
  <c r="AL16" i="1" s="1"/>
  <c r="AL17" i="1" a="1"/>
  <c r="AL17" i="1" s="1"/>
  <c r="AL18" i="1" a="1"/>
  <c r="AL18" i="1" s="1"/>
  <c r="AL19" i="1" a="1"/>
  <c r="AL19" i="1" s="1"/>
  <c r="AL20" i="1" a="1"/>
  <c r="AL20" i="1" s="1"/>
  <c r="AL21" i="1" a="1"/>
  <c r="AL21" i="1" s="1"/>
  <c r="AL22" i="1" a="1"/>
  <c r="AL22" i="1" s="1"/>
  <c r="AL23" i="1" a="1"/>
  <c r="AL23" i="1" s="1"/>
  <c r="AL24" i="1" a="1"/>
  <c r="AL24" i="1" s="1"/>
  <c r="AL25" i="1" a="1"/>
  <c r="AL25" i="1" s="1"/>
  <c r="AL26" i="1" a="1"/>
  <c r="AL26" i="1" s="1"/>
  <c r="AL27" i="1" a="1"/>
  <c r="AL27" i="1" s="1"/>
  <c r="AL28" i="1" a="1"/>
  <c r="AL28" i="1" s="1"/>
  <c r="AL29" i="1" a="1"/>
  <c r="AL29" i="1"/>
  <c r="AL30" i="1" a="1"/>
  <c r="AL30" i="1" s="1"/>
  <c r="AL31" i="1" a="1"/>
  <c r="AL31" i="1" s="1"/>
  <c r="AL32" i="1" a="1"/>
  <c r="AL32" i="1" s="1"/>
  <c r="AL33" i="1" a="1"/>
  <c r="AL33" i="1" s="1"/>
  <c r="AL34" i="1" a="1"/>
  <c r="AL34" i="1" s="1"/>
  <c r="AL35" i="1" a="1"/>
  <c r="AL35" i="1" s="1"/>
  <c r="AL36" i="1" a="1"/>
  <c r="AL36" i="1" s="1"/>
  <c r="AL37" i="1" a="1"/>
  <c r="AL37" i="1" s="1"/>
  <c r="AL38" i="1" a="1"/>
  <c r="AL38" i="1" s="1"/>
  <c r="AL39" i="1" a="1"/>
  <c r="AL39" i="1" s="1"/>
  <c r="AL40" i="1" a="1"/>
  <c r="AL40" i="1" s="1"/>
  <c r="AL41" i="1" a="1"/>
  <c r="AL41" i="1" s="1"/>
  <c r="AL42" i="1" a="1"/>
  <c r="AL42" i="1" s="1"/>
  <c r="AL43" i="1" a="1"/>
  <c r="AL43" i="1" s="1"/>
  <c r="AL44" i="1" a="1"/>
  <c r="AL44" i="1" s="1"/>
  <c r="AL45" i="1" a="1"/>
  <c r="AL45" i="1" s="1"/>
  <c r="AL46" i="1" a="1"/>
  <c r="AL46" i="1" s="1"/>
  <c r="AL47" i="1" a="1"/>
  <c r="AL47" i="1" s="1"/>
  <c r="AL48" i="1" a="1"/>
  <c r="AL48" i="1"/>
  <c r="AL49" i="1" a="1"/>
  <c r="AL49" i="1" s="1"/>
  <c r="AL50" i="1" a="1"/>
  <c r="AL50" i="1" s="1"/>
  <c r="AL51" i="1" a="1"/>
  <c r="AL51" i="1" s="1"/>
  <c r="AL52" i="1" a="1"/>
  <c r="AL52" i="1" s="1"/>
  <c r="AL53" i="1" a="1"/>
  <c r="AL53" i="1" s="1"/>
  <c r="AL54" i="1" a="1"/>
  <c r="AL54" i="1" s="1"/>
  <c r="AL55" i="1" a="1"/>
  <c r="AL55" i="1" s="1"/>
  <c r="AL56" i="1" a="1"/>
  <c r="AL56" i="1" s="1"/>
  <c r="AL57" i="1" a="1"/>
  <c r="AL57" i="1" s="1"/>
  <c r="AL58" i="1" a="1"/>
  <c r="AL58" i="1" s="1"/>
  <c r="AL59" i="1" a="1"/>
  <c r="AL59" i="1" s="1"/>
  <c r="AL60" i="1" a="1"/>
  <c r="AL60" i="1" s="1"/>
  <c r="AL61" i="1" a="1"/>
  <c r="AL61" i="1" s="1"/>
  <c r="AL62" i="1" a="1"/>
  <c r="AL62" i="1" s="1"/>
  <c r="AL63" i="1" a="1"/>
  <c r="AL63" i="1" s="1"/>
  <c r="AL64" i="1" a="1"/>
  <c r="AL64" i="1" s="1"/>
  <c r="AL65" i="1" a="1"/>
  <c r="AL65" i="1" s="1"/>
  <c r="AL66" i="1" a="1"/>
  <c r="AL66" i="1" s="1"/>
  <c r="AL67" i="1" a="1"/>
  <c r="AL67" i="1" s="1"/>
  <c r="AL68" i="1" a="1"/>
  <c r="AL68" i="1" s="1"/>
  <c r="AL69" i="1" a="1"/>
  <c r="AL69" i="1" s="1"/>
  <c r="AL70" i="1" a="1"/>
  <c r="AL70" i="1" s="1"/>
  <c r="AL71" i="1" a="1"/>
  <c r="AL71" i="1" s="1"/>
  <c r="AL72" i="1" a="1"/>
  <c r="AL72" i="1" s="1"/>
  <c r="AL73" i="1" a="1"/>
  <c r="AL73" i="1" s="1"/>
  <c r="AL74" i="1" a="1"/>
  <c r="AL74" i="1" s="1"/>
  <c r="AL75" i="1" a="1"/>
  <c r="AL75" i="1" s="1"/>
  <c r="AL76" i="1" a="1"/>
  <c r="AL76" i="1" s="1"/>
  <c r="AL77" i="1" a="1"/>
  <c r="AL77" i="1" s="1"/>
  <c r="AL78" i="1" a="1"/>
  <c r="AL78" i="1" s="1"/>
  <c r="AL79" i="1" a="1"/>
  <c r="AL79" i="1" s="1"/>
  <c r="AL80" i="1" a="1"/>
  <c r="AL80" i="1" s="1"/>
  <c r="AL81" i="1" a="1"/>
  <c r="AL81" i="1" s="1"/>
  <c r="AL82" i="1" a="1"/>
  <c r="AL82" i="1" s="1"/>
  <c r="AL83" i="1" a="1"/>
  <c r="AL83" i="1" s="1"/>
  <c r="AL84" i="1" a="1"/>
  <c r="AL84" i="1" s="1"/>
  <c r="AL85" i="1" a="1"/>
  <c r="AL85" i="1" s="1"/>
  <c r="AL86" i="1" a="1"/>
  <c r="AL86" i="1" s="1"/>
  <c r="AL87" i="1" a="1"/>
  <c r="AL87" i="1" s="1"/>
  <c r="AL88" i="1" a="1"/>
  <c r="AL88" i="1" s="1"/>
  <c r="AL89" i="1" a="1"/>
  <c r="AL89" i="1"/>
  <c r="AL90" i="1" a="1"/>
  <c r="AL90" i="1" s="1"/>
  <c r="AL91" i="1" a="1"/>
  <c r="AL91" i="1" s="1"/>
  <c r="AL92" i="1" a="1"/>
  <c r="AL92" i="1" s="1"/>
  <c r="AL93" i="1" a="1"/>
  <c r="AL93" i="1" s="1"/>
  <c r="AL94" i="1" a="1"/>
  <c r="AL94" i="1" s="1"/>
  <c r="AL95" i="1" a="1"/>
  <c r="AL95" i="1" s="1"/>
  <c r="AL96" i="1" a="1"/>
  <c r="AL96" i="1" s="1"/>
  <c r="AL97" i="1" a="1"/>
  <c r="AL97" i="1" s="1"/>
  <c r="AL98" i="1" a="1"/>
  <c r="AL98" i="1" s="1"/>
  <c r="AL99" i="1" a="1"/>
  <c r="AL99" i="1" s="1"/>
  <c r="AL100" i="1" a="1"/>
  <c r="AL100" i="1" s="1"/>
  <c r="AL101" i="1" a="1"/>
  <c r="AL101" i="1" s="1"/>
  <c r="AL102" i="1" a="1"/>
  <c r="AL102" i="1" s="1"/>
  <c r="AL103" i="1" a="1"/>
  <c r="AL103" i="1" s="1"/>
  <c r="AL104" i="1" a="1"/>
  <c r="AL104" i="1" s="1"/>
  <c r="AL105" i="1" a="1"/>
  <c r="AL105" i="1" s="1"/>
  <c r="AL106" i="1" a="1"/>
  <c r="AL106" i="1" s="1"/>
  <c r="AL107" i="1" a="1"/>
  <c r="AL107" i="1" s="1"/>
  <c r="AL108" i="1" a="1"/>
  <c r="AL108" i="1" s="1"/>
  <c r="AL109" i="1" a="1"/>
  <c r="AL109" i="1" s="1"/>
  <c r="AL110" i="1" a="1"/>
  <c r="AL110" i="1" s="1"/>
  <c r="AL111" i="1" a="1"/>
  <c r="AL111" i="1" s="1"/>
  <c r="AL112" i="1" a="1"/>
  <c r="AL112" i="1" s="1"/>
  <c r="AL113" i="1" a="1"/>
  <c r="AL113" i="1" s="1"/>
  <c r="AL114" i="1" a="1"/>
  <c r="AL114" i="1" s="1"/>
  <c r="AL115" i="1" a="1"/>
  <c r="AL115" i="1" s="1"/>
  <c r="AL116" i="1" a="1"/>
  <c r="AL116" i="1"/>
  <c r="AL117" i="1" a="1"/>
  <c r="AL117" i="1" s="1"/>
  <c r="AL118" i="1" a="1"/>
  <c r="AL118" i="1" s="1"/>
  <c r="AL119" i="1" a="1"/>
  <c r="AL119" i="1" s="1"/>
  <c r="AL120" i="1" a="1"/>
  <c r="AL120" i="1" s="1"/>
  <c r="AL121" i="1" a="1"/>
  <c r="AL121" i="1" s="1"/>
  <c r="AL122" i="1" a="1"/>
  <c r="AL122" i="1" s="1"/>
  <c r="AL123" i="1" a="1"/>
  <c r="AL123" i="1" s="1"/>
  <c r="AL124" i="1" a="1"/>
  <c r="AL124" i="1" s="1"/>
  <c r="AL125" i="1" a="1"/>
  <c r="AL125" i="1" s="1"/>
  <c r="AL126" i="1" a="1"/>
  <c r="AL126" i="1" s="1"/>
  <c r="AL127" i="1" a="1"/>
  <c r="AL127" i="1" s="1"/>
  <c r="AL128" i="1" a="1"/>
  <c r="AL128" i="1" s="1"/>
  <c r="AL129" i="1" a="1"/>
  <c r="AL129" i="1" s="1"/>
  <c r="AL130" i="1" a="1"/>
  <c r="AL130" i="1" s="1"/>
  <c r="AL131" i="1" a="1"/>
  <c r="AL131" i="1" s="1"/>
  <c r="AL132" i="1" a="1"/>
  <c r="AL132" i="1" s="1"/>
  <c r="AL133" i="1" a="1"/>
  <c r="AL133" i="1" s="1"/>
  <c r="AL134" i="1" a="1"/>
  <c r="AL134" i="1"/>
  <c r="AL135" i="1" a="1"/>
  <c r="AL135" i="1" s="1"/>
  <c r="AL136" i="1" a="1"/>
  <c r="AL136" i="1" s="1"/>
  <c r="AL137" i="1" a="1"/>
  <c r="AL137" i="1" s="1"/>
  <c r="AL138" i="1" a="1"/>
  <c r="AL138" i="1" s="1"/>
  <c r="AL139" i="1" a="1"/>
  <c r="AL139" i="1" s="1"/>
  <c r="AL140" i="1" a="1"/>
  <c r="AL140" i="1" s="1"/>
  <c r="AL141" i="1" a="1"/>
  <c r="AL141" i="1" s="1"/>
  <c r="AL142" i="1" a="1"/>
  <c r="AL142" i="1" s="1"/>
  <c r="AL143" i="1" a="1"/>
  <c r="AL143" i="1" s="1"/>
  <c r="AL144" i="1" a="1"/>
  <c r="AL144" i="1" s="1"/>
  <c r="AL145" i="1" a="1"/>
  <c r="AL145" i="1" s="1"/>
  <c r="AL146" i="1" a="1"/>
  <c r="AL146" i="1" s="1"/>
  <c r="AL147" i="1" a="1"/>
  <c r="AL147" i="1" s="1"/>
  <c r="AL148" i="1" a="1"/>
  <c r="AL148" i="1" s="1"/>
  <c r="AL149" i="1" a="1"/>
  <c r="AL149" i="1" s="1"/>
  <c r="AL150" i="1" a="1"/>
  <c r="AL150" i="1" s="1"/>
  <c r="AL151" i="1" a="1"/>
  <c r="AL151" i="1" s="1"/>
  <c r="AL152" i="1" a="1"/>
  <c r="AL152" i="1" s="1"/>
  <c r="AL153" i="1" a="1"/>
  <c r="AL153" i="1" s="1"/>
  <c r="AL154" i="1" a="1"/>
  <c r="AL154" i="1" s="1"/>
  <c r="AL155" i="1" a="1"/>
  <c r="AL155" i="1" s="1"/>
  <c r="AL156" i="1" a="1"/>
  <c r="AL156" i="1" s="1"/>
  <c r="AL157" i="1" a="1"/>
  <c r="AL157" i="1" s="1"/>
  <c r="AL158" i="1" a="1"/>
  <c r="AL158" i="1" s="1"/>
  <c r="AL159" i="1" a="1"/>
  <c r="AL159" i="1" s="1"/>
  <c r="AL160" i="1" a="1"/>
  <c r="AL160" i="1" s="1"/>
  <c r="AL161" i="1" a="1"/>
  <c r="AL161" i="1" s="1"/>
  <c r="AL162" i="1" a="1"/>
  <c r="AL162" i="1" s="1"/>
  <c r="AL163" i="1" a="1"/>
  <c r="AL163" i="1" s="1"/>
  <c r="AL164" i="1" a="1"/>
  <c r="AL164" i="1" s="1"/>
  <c r="AL165" i="1" a="1"/>
  <c r="AL165" i="1" s="1"/>
  <c r="AL166" i="1" a="1"/>
  <c r="AL166" i="1" s="1"/>
  <c r="AL167" i="1" a="1"/>
  <c r="AL167" i="1" s="1"/>
  <c r="AL168" i="1" a="1"/>
  <c r="AL168" i="1" s="1"/>
  <c r="AL169" i="1" a="1"/>
  <c r="AL169" i="1" s="1"/>
  <c r="AL170" i="1" a="1"/>
  <c r="AL170" i="1" s="1"/>
  <c r="AL171" i="1" a="1"/>
  <c r="AL171" i="1" s="1"/>
  <c r="AL172" i="1" a="1"/>
  <c r="AL172" i="1" s="1"/>
  <c r="AL173" i="1" a="1"/>
  <c r="AL173" i="1" s="1"/>
  <c r="AL174" i="1" a="1"/>
  <c r="AL174" i="1" s="1"/>
  <c r="AL175" i="1" a="1"/>
  <c r="AL175" i="1" s="1"/>
  <c r="AL176" i="1" a="1"/>
  <c r="AL176" i="1" s="1"/>
  <c r="AL177" i="1" a="1"/>
  <c r="AL177" i="1" s="1"/>
  <c r="AL178" i="1" a="1"/>
  <c r="AL178" i="1" s="1"/>
  <c r="AL179" i="1" a="1"/>
  <c r="AL179" i="1" s="1"/>
  <c r="AL180" i="1" a="1"/>
  <c r="AL180" i="1" s="1"/>
  <c r="AL181" i="1" a="1"/>
  <c r="AL181" i="1" s="1"/>
  <c r="AL182" i="1" a="1"/>
  <c r="AL182" i="1" s="1"/>
  <c r="AL183" i="1" a="1"/>
  <c r="AL183" i="1" s="1"/>
  <c r="AL184" i="1" a="1"/>
  <c r="AL184" i="1" s="1"/>
  <c r="AL185" i="1" a="1"/>
  <c r="AL185" i="1" s="1"/>
  <c r="AL186" i="1" a="1"/>
  <c r="AL186" i="1" s="1"/>
  <c r="AL187" i="1" a="1"/>
  <c r="AL187" i="1" s="1"/>
  <c r="AL188" i="1" a="1"/>
  <c r="AL188" i="1" s="1"/>
  <c r="AL189" i="1" a="1"/>
  <c r="AL189" i="1" s="1"/>
  <c r="AL190" i="1" a="1"/>
  <c r="AL190" i="1" s="1"/>
  <c r="AL191" i="1" a="1"/>
  <c r="AL191" i="1" s="1"/>
  <c r="AL192" i="1" a="1"/>
  <c r="AL192" i="1" s="1"/>
  <c r="AL193" i="1" a="1"/>
  <c r="AL193" i="1" s="1"/>
  <c r="AL194" i="1" a="1"/>
  <c r="AL194" i="1" s="1"/>
  <c r="AL195" i="1" a="1"/>
  <c r="AL195" i="1" s="1"/>
  <c r="AL196" i="1" a="1"/>
  <c r="AL196" i="1" s="1"/>
  <c r="AL197" i="1" a="1"/>
  <c r="AL197" i="1" s="1"/>
  <c r="AL198" i="1" a="1"/>
  <c r="AL198" i="1" s="1"/>
  <c r="AL199" i="1" a="1"/>
  <c r="AL199" i="1" s="1"/>
  <c r="AL200" i="1" a="1"/>
  <c r="AL200" i="1" s="1"/>
  <c r="AL201" i="1" a="1"/>
  <c r="AL201" i="1" s="1"/>
  <c r="AL202" i="1" a="1"/>
  <c r="AL202" i="1" s="1"/>
  <c r="AL203" i="1" a="1"/>
  <c r="AL203" i="1" s="1"/>
  <c r="AL204" i="1" a="1"/>
  <c r="AL204" i="1" s="1"/>
  <c r="AL205" i="1" a="1"/>
  <c r="AL205" i="1" s="1"/>
  <c r="AL206" i="1" a="1"/>
  <c r="AL206" i="1" s="1"/>
  <c r="AL207" i="1" a="1"/>
  <c r="AL207" i="1" s="1"/>
  <c r="AL208" i="1" a="1"/>
  <c r="AL208" i="1" s="1"/>
  <c r="AL209" i="1" a="1"/>
  <c r="AL209" i="1" s="1"/>
  <c r="AL210" i="1" a="1"/>
  <c r="AL210" i="1"/>
  <c r="AL211" i="1" a="1"/>
  <c r="AL211" i="1" s="1"/>
  <c r="AL212" i="1" a="1"/>
  <c r="AL212" i="1" s="1"/>
  <c r="AL213" i="1" a="1"/>
  <c r="AL213" i="1" s="1"/>
  <c r="AL214" i="1" a="1"/>
  <c r="AL214" i="1" s="1"/>
  <c r="AL215" i="1" a="1"/>
  <c r="AL215" i="1" s="1"/>
  <c r="AL216" i="1" a="1"/>
  <c r="AL216" i="1" s="1"/>
  <c r="AL217" i="1" a="1"/>
  <c r="AL217" i="1" s="1"/>
  <c r="AL218" i="1" a="1"/>
  <c r="AL218" i="1" s="1"/>
  <c r="AL219" i="1" a="1"/>
  <c r="AL219" i="1" s="1"/>
  <c r="AL220" i="1" a="1"/>
  <c r="AL220" i="1" s="1"/>
  <c r="AL221" i="1" a="1"/>
  <c r="AL221" i="1" s="1"/>
  <c r="AL222" i="1" a="1"/>
  <c r="AL222" i="1" s="1"/>
  <c r="AL223" i="1" a="1"/>
  <c r="AL223" i="1" s="1"/>
  <c r="AL224" i="1" a="1"/>
  <c r="AL224" i="1" s="1"/>
  <c r="AL225" i="1" a="1"/>
  <c r="AL225" i="1" s="1"/>
  <c r="AL226" i="1" a="1"/>
  <c r="AL226" i="1" s="1"/>
  <c r="AL227" i="1" a="1"/>
  <c r="AL227" i="1" s="1"/>
  <c r="AL228" i="1" a="1"/>
  <c r="AL228" i="1" s="1"/>
  <c r="AL229" i="1" a="1"/>
  <c r="AL229" i="1" s="1"/>
  <c r="AL230" i="1" a="1"/>
  <c r="AL230" i="1" s="1"/>
  <c r="AL231" i="1" a="1"/>
  <c r="AL231" i="1" s="1"/>
  <c r="AL232" i="1" a="1"/>
  <c r="AL232" i="1" s="1"/>
  <c r="AL233" i="1" a="1"/>
  <c r="AL233" i="1" s="1"/>
  <c r="AL234" i="1" a="1"/>
  <c r="AL234" i="1" s="1"/>
  <c r="AL235" i="1" a="1"/>
  <c r="AL235" i="1" s="1"/>
  <c r="AL236" i="1" a="1"/>
  <c r="AL236" i="1" s="1"/>
  <c r="AL237" i="1" a="1"/>
  <c r="AL237" i="1" s="1"/>
  <c r="AL238" i="1" a="1"/>
  <c r="AL238" i="1" s="1"/>
  <c r="AL239" i="1" a="1"/>
  <c r="AL239" i="1" s="1"/>
  <c r="AL240" i="1" a="1"/>
  <c r="AL240" i="1" s="1"/>
  <c r="AL241" i="1" a="1"/>
  <c r="AL241" i="1" s="1"/>
  <c r="AL242" i="1" a="1"/>
  <c r="AL242" i="1" s="1"/>
  <c r="AL243" i="1" a="1"/>
  <c r="AL243" i="1" s="1"/>
  <c r="AL244" i="1" a="1"/>
  <c r="AL244" i="1" s="1"/>
  <c r="AL245" i="1" a="1"/>
  <c r="AL245" i="1" s="1"/>
  <c r="AL246" i="1" a="1"/>
  <c r="AL246" i="1" s="1"/>
  <c r="AL247" i="1" a="1"/>
  <c r="AL247" i="1" s="1"/>
  <c r="AL248" i="1" a="1"/>
  <c r="AL248" i="1" s="1"/>
  <c r="AL249" i="1" a="1"/>
  <c r="AL249" i="1" s="1"/>
  <c r="AL250" i="1" a="1"/>
  <c r="AL250" i="1" s="1"/>
  <c r="AL251" i="1" a="1"/>
  <c r="AL251" i="1" s="1"/>
  <c r="AL252" i="1" a="1"/>
  <c r="AL252" i="1" s="1"/>
  <c r="AL253" i="1" a="1"/>
  <c r="AL253" i="1" s="1"/>
  <c r="AL254" i="1" a="1"/>
  <c r="AL254" i="1" s="1"/>
  <c r="AL255" i="1" a="1"/>
  <c r="AL255" i="1" s="1"/>
  <c r="AL256" i="1" a="1"/>
  <c r="AL256" i="1"/>
  <c r="AL257" i="1" a="1"/>
  <c r="AL257" i="1" s="1"/>
  <c r="AL258" i="1" a="1"/>
  <c r="AL258" i="1" s="1"/>
  <c r="AL259" i="1" a="1"/>
  <c r="AL259" i="1" s="1"/>
  <c r="AL260" i="1" a="1"/>
  <c r="AL260" i="1" s="1"/>
  <c r="AL261" i="1" a="1"/>
  <c r="AL261" i="1" s="1"/>
  <c r="AL262" i="1" a="1"/>
  <c r="AL262" i="1" s="1"/>
  <c r="AL263" i="1" a="1"/>
  <c r="AL263" i="1" s="1"/>
  <c r="AL264" i="1" a="1"/>
  <c r="AL264" i="1" s="1"/>
  <c r="AL265" i="1" a="1"/>
  <c r="AL265" i="1" s="1"/>
  <c r="AL266" i="1" a="1"/>
  <c r="AL266" i="1" s="1"/>
  <c r="AL267" i="1" a="1"/>
  <c r="AL267" i="1" s="1"/>
  <c r="AL268" i="1" a="1"/>
  <c r="AL268" i="1" s="1"/>
  <c r="AL269" i="1" a="1"/>
  <c r="AL269" i="1" s="1"/>
  <c r="AL270" i="1" a="1"/>
  <c r="AL270" i="1" s="1"/>
  <c r="AL271" i="1" a="1"/>
  <c r="AL271" i="1" s="1"/>
  <c r="AL272" i="1" a="1"/>
  <c r="AL272" i="1" s="1"/>
  <c r="AL273" i="1" a="1"/>
  <c r="AL273" i="1" s="1"/>
  <c r="AL274" i="1" a="1"/>
  <c r="AL274" i="1" s="1"/>
  <c r="AL275" i="1" a="1"/>
  <c r="AL275" i="1" s="1"/>
  <c r="AL276" i="1" a="1"/>
  <c r="AL276" i="1" s="1"/>
  <c r="AL277" i="1" a="1"/>
  <c r="AL277" i="1" s="1"/>
  <c r="AL278" i="1" a="1"/>
  <c r="AL278" i="1" s="1"/>
  <c r="AL279" i="1" a="1"/>
  <c r="AL279" i="1" s="1"/>
  <c r="AL280" i="1" a="1"/>
  <c r="AL280" i="1" s="1"/>
  <c r="AL281" i="1" a="1"/>
  <c r="AL281" i="1" s="1"/>
  <c r="AL282" i="1" a="1"/>
  <c r="AL282" i="1" s="1"/>
  <c r="AL283" i="1" a="1"/>
  <c r="AL283" i="1" s="1"/>
  <c r="AL284" i="1" a="1"/>
  <c r="AL284" i="1" s="1"/>
  <c r="AL285" i="1" a="1"/>
  <c r="AL285" i="1" s="1"/>
  <c r="AL286" i="1" a="1"/>
  <c r="AL286" i="1" s="1"/>
  <c r="AL287" i="1" a="1"/>
  <c r="AL287" i="1" s="1"/>
  <c r="AL288" i="1" a="1"/>
  <c r="AL288" i="1" s="1"/>
  <c r="AL289" i="1" a="1"/>
  <c r="AL289" i="1" s="1"/>
  <c r="AL290" i="1" a="1"/>
  <c r="AL290" i="1" s="1"/>
  <c r="AL291" i="1" a="1"/>
  <c r="AL291" i="1" s="1"/>
  <c r="AL292" i="1" a="1"/>
  <c r="AL292" i="1" s="1"/>
  <c r="AL293" i="1" a="1"/>
  <c r="AL293" i="1" s="1"/>
  <c r="AL294" i="1" a="1"/>
  <c r="AL294" i="1" s="1"/>
  <c r="AL295" i="1" a="1"/>
  <c r="AL295" i="1" s="1"/>
  <c r="AL296" i="1" a="1"/>
  <c r="AL296" i="1" s="1"/>
  <c r="AL297" i="1" a="1"/>
  <c r="AL297" i="1"/>
  <c r="AL298" i="1" a="1"/>
  <c r="AL298" i="1" s="1"/>
  <c r="AL299" i="1" a="1"/>
  <c r="AL299" i="1" s="1"/>
  <c r="AL300" i="1" a="1"/>
  <c r="AL300" i="1" s="1"/>
  <c r="AL301" i="1" a="1"/>
  <c r="AL301" i="1" s="1"/>
  <c r="AL302" i="1" a="1"/>
  <c r="AL302" i="1" s="1"/>
  <c r="AL303" i="1" a="1"/>
  <c r="AL303" i="1" s="1"/>
  <c r="AL304" i="1" a="1"/>
  <c r="AL304" i="1"/>
  <c r="AL305" i="1" a="1"/>
  <c r="AL305" i="1" s="1"/>
  <c r="AL306" i="1" a="1"/>
  <c r="AL306" i="1" s="1"/>
  <c r="AL307" i="1" a="1"/>
  <c r="AL307" i="1" s="1"/>
  <c r="AL308" i="1" a="1"/>
  <c r="AL308" i="1"/>
  <c r="AL309" i="1" a="1"/>
  <c r="AL309" i="1" s="1"/>
  <c r="AL310" i="1" a="1"/>
  <c r="AL310" i="1" s="1"/>
  <c r="AL311" i="1" a="1"/>
  <c r="AL311" i="1" s="1"/>
  <c r="AL312" i="1" a="1"/>
  <c r="AL312" i="1" s="1"/>
  <c r="AL313" i="1" a="1"/>
  <c r="AL313" i="1" s="1"/>
  <c r="AL314" i="1" a="1"/>
  <c r="AL314" i="1" s="1"/>
  <c r="AL315" i="1" a="1"/>
  <c r="AL315" i="1" s="1"/>
  <c r="AL316" i="1" a="1"/>
  <c r="AL316" i="1" s="1"/>
  <c r="AL317" i="1" a="1"/>
  <c r="AL317" i="1" s="1"/>
  <c r="AL318" i="1" a="1"/>
  <c r="AL318" i="1" s="1"/>
  <c r="AL319" i="1" a="1"/>
  <c r="AL319" i="1" s="1"/>
  <c r="AL320" i="1" a="1"/>
  <c r="AL320" i="1" s="1"/>
  <c r="AL321" i="1" a="1"/>
  <c r="AL321" i="1" s="1"/>
  <c r="AL322" i="1" a="1"/>
  <c r="AL322" i="1" s="1"/>
  <c r="AL323" i="1" a="1"/>
  <c r="AL323" i="1" s="1"/>
  <c r="AL324" i="1" a="1"/>
  <c r="AL324" i="1" s="1"/>
  <c r="AL325" i="1" a="1"/>
  <c r="AL325" i="1" s="1"/>
  <c r="AL326" i="1" a="1"/>
  <c r="AL326" i="1" s="1"/>
  <c r="AL327" i="1" a="1"/>
  <c r="AL327" i="1" s="1"/>
  <c r="AL328" i="1" a="1"/>
  <c r="AL328" i="1" s="1"/>
  <c r="AL329" i="1" a="1"/>
  <c r="AL329" i="1" s="1"/>
  <c r="AL330" i="1" a="1"/>
  <c r="AL330" i="1" s="1"/>
  <c r="AL331" i="1" a="1"/>
  <c r="AL331" i="1" s="1"/>
  <c r="AL332" i="1" a="1"/>
  <c r="AL332" i="1" s="1"/>
  <c r="AL333" i="1" a="1"/>
  <c r="AL333" i="1" s="1"/>
  <c r="AL334" i="1" a="1"/>
  <c r="AL334" i="1" s="1"/>
  <c r="AL335" i="1" a="1"/>
  <c r="AL335" i="1" s="1"/>
  <c r="AL336" i="1" a="1"/>
  <c r="AL336" i="1" s="1"/>
  <c r="AL337" i="1" a="1"/>
  <c r="AL337" i="1" s="1"/>
  <c r="AL338" i="1" a="1"/>
  <c r="AL338" i="1" s="1"/>
  <c r="AL339" i="1" a="1"/>
  <c r="AL339" i="1" s="1"/>
  <c r="AL340" i="1" a="1"/>
  <c r="AL340" i="1" s="1"/>
  <c r="AL341" i="1" a="1"/>
  <c r="AL341" i="1" s="1"/>
  <c r="AL342" i="1" a="1"/>
  <c r="AL342" i="1" s="1"/>
  <c r="AL343" i="1" a="1"/>
  <c r="AL343" i="1" s="1"/>
  <c r="AL344" i="1" a="1"/>
  <c r="AL344" i="1" s="1"/>
  <c r="AL345" i="1" a="1"/>
  <c r="AL345" i="1" s="1"/>
  <c r="AL346" i="1" a="1"/>
  <c r="AL346" i="1" s="1"/>
  <c r="AL347" i="1" a="1"/>
  <c r="AL347" i="1" s="1"/>
  <c r="AL348" i="1" a="1"/>
  <c r="AL348" i="1" s="1"/>
  <c r="AL349" i="1" a="1"/>
  <c r="AL349" i="1" s="1"/>
  <c r="AL350" i="1" a="1"/>
  <c r="AL350" i="1" s="1"/>
  <c r="AL351" i="1" a="1"/>
  <c r="AL351" i="1" s="1"/>
  <c r="AL352" i="1" a="1"/>
  <c r="AL352" i="1" s="1"/>
  <c r="AL353" i="1" a="1"/>
  <c r="AL353" i="1" s="1"/>
  <c r="AL354" i="1" a="1"/>
  <c r="AL354" i="1" s="1"/>
  <c r="AL355" i="1" a="1"/>
  <c r="AL355" i="1" s="1"/>
  <c r="AL356" i="1" a="1"/>
  <c r="AL356" i="1"/>
  <c r="AL357" i="1" a="1"/>
  <c r="AL357" i="1" s="1"/>
  <c r="AL358" i="1" a="1"/>
  <c r="AL358" i="1" s="1"/>
  <c r="AL359" i="1" a="1"/>
  <c r="AL359" i="1" s="1"/>
  <c r="AL360" i="1" a="1"/>
  <c r="AL360" i="1" s="1"/>
  <c r="AL361" i="1" a="1"/>
  <c r="AL361" i="1" s="1"/>
  <c r="AL362" i="1" a="1"/>
  <c r="AL362" i="1" s="1"/>
  <c r="AL363" i="1" a="1"/>
  <c r="AL363" i="1" s="1"/>
  <c r="AL364" i="1" a="1"/>
  <c r="AL364" i="1" s="1"/>
  <c r="AL365" i="1" a="1"/>
  <c r="AL365" i="1" s="1"/>
  <c r="AL366" i="1" a="1"/>
  <c r="AL366" i="1" s="1"/>
  <c r="AL367" i="1" a="1"/>
  <c r="AL367" i="1" s="1"/>
  <c r="AL368" i="1" a="1"/>
  <c r="AL368" i="1" s="1"/>
  <c r="AL369" i="1" a="1"/>
  <c r="AL369" i="1" s="1"/>
  <c r="AL370" i="1" a="1"/>
  <c r="AL370" i="1" s="1"/>
  <c r="AL371" i="1" a="1"/>
  <c r="AL371" i="1" s="1"/>
  <c r="AL372" i="1" a="1"/>
  <c r="AL372" i="1" s="1"/>
  <c r="AL373" i="1" a="1"/>
  <c r="AL373" i="1" s="1"/>
  <c r="AL374" i="1" a="1"/>
  <c r="AL374" i="1" s="1"/>
  <c r="AL375" i="1" a="1"/>
  <c r="AL375" i="1" s="1"/>
  <c r="AL376" i="1" a="1"/>
  <c r="AL376" i="1" s="1"/>
  <c r="AL377" i="1" a="1"/>
  <c r="AL377" i="1" s="1"/>
  <c r="AL378" i="1" a="1"/>
  <c r="AL378" i="1" s="1"/>
  <c r="AL379" i="1" a="1"/>
  <c r="AL379" i="1" s="1"/>
  <c r="AL380" i="1" a="1"/>
  <c r="AL380" i="1" s="1"/>
  <c r="AL381" i="1" a="1"/>
  <c r="AL381" i="1" s="1"/>
  <c r="AL382" i="1" a="1"/>
  <c r="AL382" i="1" s="1"/>
  <c r="AL383" i="1" a="1"/>
  <c r="AL383" i="1" s="1"/>
  <c r="AL384" i="1" a="1"/>
  <c r="AL384" i="1" s="1"/>
  <c r="AL385" i="1" a="1"/>
  <c r="AL385" i="1" s="1"/>
  <c r="AL386" i="1" a="1"/>
  <c r="AL386" i="1" s="1"/>
  <c r="AL387" i="1" a="1"/>
  <c r="AL387" i="1" s="1"/>
  <c r="AL388" i="1" a="1"/>
  <c r="AL388" i="1" s="1"/>
  <c r="AL389" i="1" a="1"/>
  <c r="AL389" i="1" s="1"/>
  <c r="AL390" i="1" a="1"/>
  <c r="AL390" i="1" s="1"/>
  <c r="AL391" i="1" a="1"/>
  <c r="AL391" i="1" s="1"/>
  <c r="AL392" i="1" a="1"/>
  <c r="AL392" i="1" s="1"/>
  <c r="AL393" i="1" a="1"/>
  <c r="AL393" i="1" s="1"/>
  <c r="AL394" i="1" a="1"/>
  <c r="AL394" i="1" s="1"/>
  <c r="AL395" i="1" a="1"/>
  <c r="AL395" i="1" s="1"/>
  <c r="AL396" i="1" a="1"/>
  <c r="AL396" i="1" s="1"/>
  <c r="AL397" i="1" a="1"/>
  <c r="AL397" i="1" s="1"/>
  <c r="AL398" i="1" a="1"/>
  <c r="AL398" i="1" s="1"/>
  <c r="AL399" i="1" a="1"/>
  <c r="AL399" i="1" s="1"/>
  <c r="AL400" i="1" a="1"/>
  <c r="AL400" i="1" s="1"/>
  <c r="AL401" i="1" a="1"/>
  <c r="AL401" i="1" s="1"/>
  <c r="AL402" i="1" a="1"/>
  <c r="AL402" i="1" s="1"/>
  <c r="AL403" i="1" a="1"/>
  <c r="AL403" i="1" s="1"/>
  <c r="AL404" i="1" a="1"/>
  <c r="AL404" i="1" s="1"/>
  <c r="AL405" i="1" a="1"/>
  <c r="AL405" i="1" s="1"/>
  <c r="AL406" i="1" a="1"/>
  <c r="AL406" i="1" s="1"/>
  <c r="AL407" i="1" a="1"/>
  <c r="AL407" i="1" s="1"/>
  <c r="AL408" i="1" a="1"/>
  <c r="AL408" i="1" s="1"/>
  <c r="AL409" i="1" a="1"/>
  <c r="AL409" i="1" s="1"/>
  <c r="AL410" i="1" a="1"/>
  <c r="AL410" i="1" s="1"/>
  <c r="AL411" i="1" a="1"/>
  <c r="AL411" i="1" s="1"/>
  <c r="AL412" i="1" a="1"/>
  <c r="AL412" i="1" s="1"/>
  <c r="AL413" i="1" a="1"/>
  <c r="AL413" i="1" s="1"/>
  <c r="AL414" i="1" a="1"/>
  <c r="AL414" i="1" s="1"/>
  <c r="AL415" i="1" a="1"/>
  <c r="AL415" i="1" s="1"/>
  <c r="AL416" i="1" a="1"/>
  <c r="AL416" i="1" s="1"/>
  <c r="AL417" i="1" a="1"/>
  <c r="AL417" i="1" s="1"/>
  <c r="AL418" i="1" a="1"/>
  <c r="AL418" i="1" s="1"/>
  <c r="AL419" i="1" a="1"/>
  <c r="AL419" i="1" s="1"/>
  <c r="AL420" i="1" a="1"/>
  <c r="AL420" i="1" s="1"/>
  <c r="AL421" i="1" a="1"/>
  <c r="AL421" i="1" s="1"/>
  <c r="AL422" i="1" a="1"/>
  <c r="AL422" i="1" s="1"/>
  <c r="AL423" i="1" a="1"/>
  <c r="AL423" i="1" s="1"/>
  <c r="AL424" i="1" a="1"/>
  <c r="AL424" i="1" s="1"/>
  <c r="AL425" i="1" a="1"/>
  <c r="AL425" i="1" s="1"/>
  <c r="AL426" i="1" a="1"/>
  <c r="AL426" i="1" s="1"/>
  <c r="AL427" i="1" a="1"/>
  <c r="AL427" i="1" s="1"/>
  <c r="AL428" i="1" a="1"/>
  <c r="AL428" i="1" s="1"/>
  <c r="AL429" i="1" a="1"/>
  <c r="AL429" i="1" s="1"/>
  <c r="AL430" i="1" a="1"/>
  <c r="AL430" i="1" s="1"/>
  <c r="AL431" i="1" a="1"/>
  <c r="AL431" i="1" s="1"/>
  <c r="AL432" i="1" a="1"/>
  <c r="AL432" i="1" s="1"/>
  <c r="AL433" i="1" a="1"/>
  <c r="AL433" i="1" s="1"/>
  <c r="AL434" i="1" a="1"/>
  <c r="AL434" i="1" s="1"/>
  <c r="AL435" i="1" a="1"/>
  <c r="AL435" i="1" s="1"/>
  <c r="AL436" i="1" a="1"/>
  <c r="AL436" i="1" s="1"/>
  <c r="AL437" i="1" a="1"/>
  <c r="AL437" i="1" s="1"/>
  <c r="AL438" i="1" a="1"/>
  <c r="AL438" i="1" s="1"/>
  <c r="AL439" i="1" a="1"/>
  <c r="AL439" i="1" s="1"/>
  <c r="AL440" i="1" a="1"/>
  <c r="AL440" i="1" s="1"/>
  <c r="AL441" i="1" a="1"/>
  <c r="AL441" i="1" s="1"/>
  <c r="AL442" i="1" a="1"/>
  <c r="AL442" i="1" s="1"/>
  <c r="AL443" i="1" a="1"/>
  <c r="AL443" i="1" s="1"/>
  <c r="AL444" i="1" a="1"/>
  <c r="AL444" i="1" s="1"/>
  <c r="AL445" i="1" a="1"/>
  <c r="AL445" i="1" s="1"/>
  <c r="AL446" i="1" a="1"/>
  <c r="AL446" i="1" s="1"/>
  <c r="AL447" i="1" a="1"/>
  <c r="AL447" i="1" s="1"/>
  <c r="AL448" i="1" a="1"/>
  <c r="AL448" i="1" s="1"/>
  <c r="AL449" i="1" a="1"/>
  <c r="AL449" i="1" s="1"/>
  <c r="AL450" i="1" a="1"/>
  <c r="AL450" i="1" s="1"/>
  <c r="AL451" i="1" a="1"/>
  <c r="AL451" i="1" s="1"/>
  <c r="AL452" i="1" a="1"/>
  <c r="AL452" i="1"/>
  <c r="AL453" i="1" a="1"/>
  <c r="AL453" i="1" s="1"/>
  <c r="AL454" i="1" a="1"/>
  <c r="AL454" i="1" s="1"/>
  <c r="AL455" i="1" a="1"/>
  <c r="AL455" i="1" s="1"/>
  <c r="AL456" i="1" a="1"/>
  <c r="AL456" i="1" s="1"/>
  <c r="AL457" i="1" a="1"/>
  <c r="AL457" i="1" s="1"/>
  <c r="AL458" i="1" a="1"/>
  <c r="AL458" i="1" s="1"/>
  <c r="AL459" i="1" a="1"/>
  <c r="AL459" i="1" s="1"/>
  <c r="AL460" i="1" a="1"/>
  <c r="AL460" i="1"/>
  <c r="AL461" i="1" a="1"/>
  <c r="AL461" i="1" s="1"/>
  <c r="AL462" i="1" a="1"/>
  <c r="AL462" i="1" s="1"/>
  <c r="AL463" i="1" a="1"/>
  <c r="AL463" i="1" s="1"/>
  <c r="AL464" i="1" a="1"/>
  <c r="AL464" i="1" s="1"/>
  <c r="AL465" i="1" a="1"/>
  <c r="AL465" i="1" s="1"/>
  <c r="AL466" i="1" a="1"/>
  <c r="AL466" i="1" s="1"/>
  <c r="AL467" i="1" a="1"/>
  <c r="AL467" i="1" s="1"/>
  <c r="AL468" i="1" a="1"/>
  <c r="AL468" i="1" s="1"/>
  <c r="AL469" i="1" a="1"/>
  <c r="AL469" i="1" s="1"/>
  <c r="AL470" i="1" a="1"/>
  <c r="AL470" i="1" s="1"/>
  <c r="AL471" i="1" a="1"/>
  <c r="AL471" i="1" s="1"/>
  <c r="AL472" i="1" a="1"/>
  <c r="AL472" i="1" s="1"/>
  <c r="AL473" i="1" a="1"/>
  <c r="AL473" i="1" s="1"/>
  <c r="AL474" i="1" a="1"/>
  <c r="AL474" i="1" s="1"/>
  <c r="AL475" i="1" a="1"/>
  <c r="AL475" i="1" s="1"/>
  <c r="AL476" i="1" a="1"/>
  <c r="AL476" i="1" s="1"/>
  <c r="AL477" i="1" a="1"/>
  <c r="AL477" i="1" s="1"/>
  <c r="AL478" i="1" a="1"/>
  <c r="AL478" i="1" s="1"/>
  <c r="AL479" i="1" a="1"/>
  <c r="AL479" i="1" s="1"/>
  <c r="AL480" i="1" a="1"/>
  <c r="AL480" i="1" s="1"/>
  <c r="AL481" i="1" a="1"/>
  <c r="AL481" i="1" s="1"/>
  <c r="AL482" i="1" a="1"/>
  <c r="AL482" i="1" s="1"/>
  <c r="AL483" i="1" a="1"/>
  <c r="AL483" i="1" s="1"/>
  <c r="AL484" i="1" a="1"/>
  <c r="AL484" i="1" s="1"/>
  <c r="AL485" i="1" a="1"/>
  <c r="AL485" i="1" s="1"/>
  <c r="AL486" i="1" a="1"/>
  <c r="AL486" i="1" s="1"/>
  <c r="AL487" i="1" a="1"/>
  <c r="AL487" i="1" s="1"/>
  <c r="AL488" i="1" a="1"/>
  <c r="AL488" i="1" s="1"/>
  <c r="AL489" i="1" a="1"/>
  <c r="AL489" i="1" s="1"/>
  <c r="AL490" i="1" a="1"/>
  <c r="AL490" i="1" s="1"/>
  <c r="AL491" i="1" a="1"/>
  <c r="AL491" i="1" s="1"/>
  <c r="AL492" i="1" a="1"/>
  <c r="AL492" i="1" s="1"/>
  <c r="AL493" i="1" a="1"/>
  <c r="AL493" i="1" s="1"/>
  <c r="AL494" i="1" a="1"/>
  <c r="AL494" i="1" s="1"/>
  <c r="AL495" i="1" a="1"/>
  <c r="AL495" i="1" s="1"/>
  <c r="AL496" i="1" a="1"/>
  <c r="AL496" i="1" s="1"/>
  <c r="AL497" i="1" a="1"/>
  <c r="AL497" i="1" s="1"/>
  <c r="AL498" i="1" a="1"/>
  <c r="AL498" i="1" s="1"/>
  <c r="AL499" i="1" a="1"/>
  <c r="AL499" i="1" s="1"/>
  <c r="AL500" i="1" a="1"/>
  <c r="AL500" i="1" s="1"/>
  <c r="AL501" i="1" a="1"/>
  <c r="AL501" i="1" s="1"/>
  <c r="AL502" i="1" a="1"/>
  <c r="AL502" i="1" s="1"/>
  <c r="AL503" i="1" a="1"/>
  <c r="AL503" i="1" s="1"/>
  <c r="AL504" i="1" a="1"/>
  <c r="AL504" i="1" s="1"/>
  <c r="AL505" i="1" a="1"/>
  <c r="AL505" i="1" s="1"/>
  <c r="AL506" i="1" a="1"/>
  <c r="AL506" i="1" s="1"/>
  <c r="AL507" i="1" a="1"/>
  <c r="AL507" i="1" s="1"/>
  <c r="AL508" i="1" a="1"/>
  <c r="AL508" i="1" s="1"/>
  <c r="AL509" i="1" a="1"/>
  <c r="AL509" i="1" s="1"/>
  <c r="AL510" i="1" a="1"/>
  <c r="AL510" i="1" s="1"/>
  <c r="AL511" i="1" a="1"/>
  <c r="AL511" i="1" s="1"/>
  <c r="AL512" i="1" a="1"/>
  <c r="AL512" i="1" s="1"/>
  <c r="AL513" i="1" a="1"/>
  <c r="AL513" i="1" s="1"/>
  <c r="AL514" i="1" a="1"/>
  <c r="AL514" i="1" s="1"/>
  <c r="AL515" i="1" a="1"/>
  <c r="AL515" i="1" s="1"/>
  <c r="AL516" i="1" a="1"/>
  <c r="AL516" i="1"/>
  <c r="AL517" i="1" a="1"/>
  <c r="AL517" i="1" s="1"/>
  <c r="AL518" i="1" a="1"/>
  <c r="AL518" i="1" s="1"/>
  <c r="AL519" i="1" a="1"/>
  <c r="AL519" i="1" s="1"/>
  <c r="AL520" i="1" a="1"/>
  <c r="AL520" i="1" s="1"/>
  <c r="AL521" i="1" a="1"/>
  <c r="AL521" i="1" s="1"/>
  <c r="AL522" i="1" a="1"/>
  <c r="AL522" i="1" s="1"/>
  <c r="AL523" i="1" a="1"/>
  <c r="AL523" i="1" s="1"/>
  <c r="AL524" i="1" a="1"/>
  <c r="AL524" i="1" s="1"/>
  <c r="AL525" i="1" a="1"/>
  <c r="AL525" i="1" s="1"/>
  <c r="AL526" i="1" a="1"/>
  <c r="AL526" i="1" s="1"/>
  <c r="AL527" i="1" a="1"/>
  <c r="AL527" i="1" s="1"/>
  <c r="AL528" i="1" a="1"/>
  <c r="AL528" i="1" s="1"/>
  <c r="AL529" i="1" a="1"/>
  <c r="AL529" i="1" s="1"/>
  <c r="AL530" i="1" a="1"/>
  <c r="AL530" i="1" s="1"/>
  <c r="AL531" i="1" a="1"/>
  <c r="AL531" i="1" s="1"/>
  <c r="AL532" i="1" a="1"/>
  <c r="AL532" i="1" s="1"/>
  <c r="AL533" i="1" a="1"/>
  <c r="AL533" i="1" s="1"/>
  <c r="AL534" i="1" a="1"/>
  <c r="AL534" i="1" s="1"/>
  <c r="AL535" i="1" a="1"/>
  <c r="AL535" i="1" s="1"/>
  <c r="AL536" i="1" a="1"/>
  <c r="AL536" i="1" s="1"/>
  <c r="AL537" i="1" a="1"/>
  <c r="AL537" i="1" s="1"/>
  <c r="AL538" i="1" a="1"/>
  <c r="AL538" i="1" s="1"/>
  <c r="AL539" i="1" a="1"/>
  <c r="AL539" i="1" s="1"/>
  <c r="AL540" i="1" a="1"/>
  <c r="AL540" i="1" s="1"/>
  <c r="AL541" i="1" a="1"/>
  <c r="AL541" i="1" s="1"/>
  <c r="AL542" i="1" a="1"/>
  <c r="AL542" i="1" s="1"/>
  <c r="AL543" i="1" a="1"/>
  <c r="AL543" i="1" s="1"/>
  <c r="AL544" i="1" a="1"/>
  <c r="AL544" i="1" s="1"/>
  <c r="AL545" i="1" a="1"/>
  <c r="AL545" i="1" s="1"/>
  <c r="AL546" i="1" a="1"/>
  <c r="AL546" i="1" s="1"/>
  <c r="AL547" i="1" a="1"/>
  <c r="AL547" i="1" s="1"/>
  <c r="AL548" i="1" a="1"/>
  <c r="AL548" i="1" s="1"/>
  <c r="AL549" i="1" a="1"/>
  <c r="AL549" i="1" s="1"/>
  <c r="AL550" i="1" a="1"/>
  <c r="AL550" i="1" s="1"/>
  <c r="AL551" i="1" a="1"/>
  <c r="AL551" i="1" s="1"/>
  <c r="AL552" i="1" a="1"/>
  <c r="AL552" i="1"/>
  <c r="AL553" i="1" a="1"/>
  <c r="AL553" i="1" s="1"/>
  <c r="AL554" i="1" a="1"/>
  <c r="AL554" i="1" s="1"/>
  <c r="AL555" i="1" a="1"/>
  <c r="AL555" i="1" s="1"/>
  <c r="AL556" i="1" a="1"/>
  <c r="AL556" i="1" s="1"/>
  <c r="AL557" i="1" a="1"/>
  <c r="AL557" i="1" s="1"/>
  <c r="AL558" i="1" a="1"/>
  <c r="AL558" i="1" s="1"/>
  <c r="AL559" i="1" a="1"/>
  <c r="AL559" i="1" s="1"/>
  <c r="AL560" i="1" a="1"/>
  <c r="AL560" i="1" s="1"/>
  <c r="AL561" i="1" a="1"/>
  <c r="AL561" i="1" s="1"/>
  <c r="AL562" i="1" a="1"/>
  <c r="AL562" i="1" s="1"/>
  <c r="AL563" i="1" a="1"/>
  <c r="AL563" i="1" s="1"/>
  <c r="AL564" i="1" a="1"/>
  <c r="AL564" i="1" s="1"/>
  <c r="AL565" i="1" a="1"/>
  <c r="AL565" i="1" s="1"/>
  <c r="AL566" i="1" a="1"/>
  <c r="AL566" i="1" s="1"/>
  <c r="AL567" i="1" a="1"/>
  <c r="AL567" i="1" s="1"/>
  <c r="AL568" i="1" a="1"/>
  <c r="AL568" i="1" s="1"/>
  <c r="AL569" i="1" a="1"/>
  <c r="AL569" i="1" s="1"/>
  <c r="AL570" i="1" a="1"/>
  <c r="AL570" i="1" s="1"/>
  <c r="AL571" i="1" a="1"/>
  <c r="AL571" i="1" s="1"/>
  <c r="AL572" i="1" a="1"/>
  <c r="AL572" i="1" s="1"/>
  <c r="AL573" i="1" a="1"/>
  <c r="AL573" i="1" s="1"/>
  <c r="AL574" i="1" a="1"/>
  <c r="AL574" i="1" s="1"/>
  <c r="AL575" i="1" a="1"/>
  <c r="AL575" i="1" s="1"/>
  <c r="AL576" i="1" a="1"/>
  <c r="AL576" i="1" s="1"/>
  <c r="AL577" i="1" a="1"/>
  <c r="AL577" i="1" s="1"/>
  <c r="AL578" i="1" a="1"/>
  <c r="AL578" i="1" s="1"/>
  <c r="AL579" i="1" a="1"/>
  <c r="AL579" i="1" s="1"/>
  <c r="AL580" i="1" a="1"/>
  <c r="AL580" i="1" s="1"/>
  <c r="AL581" i="1" a="1"/>
  <c r="AL581" i="1" s="1"/>
  <c r="AL582" i="1" a="1"/>
  <c r="AL582" i="1" s="1"/>
  <c r="AL583" i="1" a="1"/>
  <c r="AL583" i="1" s="1"/>
  <c r="AL584" i="1" a="1"/>
  <c r="AL584" i="1" s="1"/>
  <c r="AL585" i="1" a="1"/>
  <c r="AL585" i="1" s="1"/>
  <c r="AL586" i="1" a="1"/>
  <c r="AL586" i="1" s="1"/>
  <c r="AL587" i="1" a="1"/>
  <c r="AL587" i="1" s="1"/>
  <c r="AL588" i="1" a="1"/>
  <c r="AL588" i="1" s="1"/>
  <c r="AL589" i="1" a="1"/>
  <c r="AL589" i="1" s="1"/>
  <c r="AL590" i="1" a="1"/>
  <c r="AL590" i="1" s="1"/>
  <c r="AL591" i="1" a="1"/>
  <c r="AL591" i="1" s="1"/>
  <c r="AL592" i="1" a="1"/>
  <c r="AL592" i="1" s="1"/>
  <c r="AL593" i="1" a="1"/>
  <c r="AL593" i="1" s="1"/>
  <c r="AL594" i="1" a="1"/>
  <c r="AL594" i="1" s="1"/>
  <c r="AL595" i="1" a="1"/>
  <c r="AL595" i="1" s="1"/>
  <c r="AL596" i="1" a="1"/>
  <c r="AL596" i="1" s="1"/>
  <c r="AL597" i="1" a="1"/>
  <c r="AL597" i="1" s="1"/>
  <c r="AL598" i="1" a="1"/>
  <c r="AL598" i="1" s="1"/>
  <c r="AL599" i="1" a="1"/>
  <c r="AL599" i="1" s="1"/>
  <c r="AL600" i="1" a="1"/>
  <c r="AL600" i="1" s="1"/>
  <c r="AL601" i="1" a="1"/>
  <c r="AL601" i="1" s="1"/>
  <c r="AL602" i="1" a="1"/>
  <c r="AL602" i="1" s="1"/>
  <c r="AL603" i="1" a="1"/>
  <c r="AL603" i="1" s="1"/>
  <c r="AL604" i="1" a="1"/>
  <c r="AL604" i="1" s="1"/>
  <c r="AL605" i="1" a="1"/>
  <c r="AL605" i="1" s="1"/>
  <c r="AL606" i="1" a="1"/>
  <c r="AL606" i="1" s="1"/>
  <c r="AL607" i="1" a="1"/>
  <c r="AL607" i="1" s="1"/>
  <c r="AL608" i="1" a="1"/>
  <c r="AL608" i="1" s="1"/>
  <c r="AL609" i="1" a="1"/>
  <c r="AL609" i="1" s="1"/>
  <c r="AL610" i="1" a="1"/>
  <c r="AL610" i="1" s="1"/>
  <c r="AL611" i="1" a="1"/>
  <c r="AL611" i="1" s="1"/>
  <c r="AL612" i="1" a="1"/>
  <c r="AL612" i="1" s="1"/>
  <c r="AL613" i="1" a="1"/>
  <c r="AL613" i="1" s="1"/>
  <c r="AL614" i="1" a="1"/>
  <c r="AL614" i="1" s="1"/>
  <c r="AL615" i="1" a="1"/>
  <c r="AL615" i="1" s="1"/>
  <c r="AL616" i="1" a="1"/>
  <c r="AL616" i="1" s="1"/>
  <c r="AL617" i="1" a="1"/>
  <c r="AL617" i="1" s="1"/>
  <c r="AL618" i="1" a="1"/>
  <c r="AL618" i="1" s="1"/>
  <c r="AL619" i="1" a="1"/>
  <c r="AL619" i="1" s="1"/>
  <c r="AL620" i="1" a="1"/>
  <c r="AL620" i="1" s="1"/>
  <c r="AL621" i="1" a="1"/>
  <c r="AL621" i="1" s="1"/>
  <c r="AL622" i="1" a="1"/>
  <c r="AL622" i="1" s="1"/>
  <c r="AL623" i="1" a="1"/>
  <c r="AL623" i="1" s="1"/>
  <c r="AL624" i="1" a="1"/>
  <c r="AL624" i="1" s="1"/>
  <c r="AL625" i="1" a="1"/>
  <c r="AL625" i="1" s="1"/>
  <c r="AL626" i="1" a="1"/>
  <c r="AL626" i="1" s="1"/>
  <c r="AL627" i="1" a="1"/>
  <c r="AL627" i="1" s="1"/>
  <c r="AL628" i="1" a="1"/>
  <c r="AL628" i="1" s="1"/>
  <c r="AL629" i="1" a="1"/>
  <c r="AL629" i="1" s="1"/>
  <c r="AL630" i="1" a="1"/>
  <c r="AL630" i="1" s="1"/>
  <c r="AL631" i="1" a="1"/>
  <c r="AL631" i="1" s="1"/>
  <c r="AL632" i="1" a="1"/>
  <c r="AL632" i="1"/>
  <c r="AL633" i="1" a="1"/>
  <c r="AL633" i="1" s="1"/>
  <c r="AL634" i="1" a="1"/>
  <c r="AL634" i="1" s="1"/>
  <c r="AL635" i="1" a="1"/>
  <c r="AL635" i="1" s="1"/>
  <c r="AL636" i="1" a="1"/>
  <c r="AL636" i="1" s="1"/>
  <c r="AL637" i="1" a="1"/>
  <c r="AL637" i="1" s="1"/>
  <c r="AL638" i="1" a="1"/>
  <c r="AL638" i="1" s="1"/>
  <c r="AL639" i="1" a="1"/>
  <c r="AL639" i="1" s="1"/>
  <c r="AL640" i="1" a="1"/>
  <c r="AL640" i="1" s="1"/>
  <c r="AL641" i="1" a="1"/>
  <c r="AL641" i="1" s="1"/>
  <c r="AL642" i="1" a="1"/>
  <c r="AL642" i="1" s="1"/>
  <c r="AL643" i="1" a="1"/>
  <c r="AL643" i="1" s="1"/>
  <c r="AL644" i="1" a="1"/>
  <c r="AL644" i="1" s="1"/>
  <c r="AL645" i="1" a="1"/>
  <c r="AL645" i="1" s="1"/>
  <c r="AL646" i="1" a="1"/>
  <c r="AL646" i="1" s="1"/>
  <c r="AL647" i="1" a="1"/>
  <c r="AL647" i="1" s="1"/>
  <c r="AL648" i="1" a="1"/>
  <c r="AL648" i="1" s="1"/>
  <c r="AL649" i="1" a="1"/>
  <c r="AL649" i="1" s="1"/>
  <c r="AL650" i="1" a="1"/>
  <c r="AL650" i="1" s="1"/>
  <c r="AL651" i="1" a="1"/>
  <c r="AL651" i="1" s="1"/>
  <c r="AL652" i="1" a="1"/>
  <c r="AL652" i="1" s="1"/>
  <c r="AL653" i="1" a="1"/>
  <c r="AL653" i="1" s="1"/>
  <c r="AL654" i="1" a="1"/>
  <c r="AL654" i="1" s="1"/>
  <c r="AL655" i="1" a="1"/>
  <c r="AL655" i="1" s="1"/>
  <c r="AL656" i="1" a="1"/>
  <c r="AL656" i="1" s="1"/>
  <c r="AL657" i="1" a="1"/>
  <c r="AL657" i="1" s="1"/>
  <c r="AL658" i="1" a="1"/>
  <c r="AL658" i="1" s="1"/>
  <c r="AL659" i="1" a="1"/>
  <c r="AL659" i="1" s="1"/>
  <c r="AL660" i="1" a="1"/>
  <c r="AL660" i="1" s="1"/>
  <c r="AL661" i="1" a="1"/>
  <c r="AL661" i="1" s="1"/>
  <c r="AL662" i="1" a="1"/>
  <c r="AL662" i="1" s="1"/>
  <c r="AL663" i="1" a="1"/>
  <c r="AL663" i="1" s="1"/>
  <c r="AL664" i="1" a="1"/>
  <c r="AL664" i="1" s="1"/>
  <c r="AL665" i="1" a="1"/>
  <c r="AL665" i="1" s="1"/>
  <c r="AL666" i="1" a="1"/>
  <c r="AL666" i="1" s="1"/>
  <c r="AL667" i="1" a="1"/>
  <c r="AL667" i="1" s="1"/>
  <c r="AL668" i="1" a="1"/>
  <c r="AL668" i="1" s="1"/>
  <c r="AL669" i="1" a="1"/>
  <c r="AL669" i="1" s="1"/>
  <c r="AL670" i="1" a="1"/>
  <c r="AL670" i="1" s="1"/>
  <c r="AL671" i="1" a="1"/>
  <c r="AL671" i="1" s="1"/>
  <c r="AL672" i="1" a="1"/>
  <c r="AL672" i="1" s="1"/>
  <c r="AL673" i="1" a="1"/>
  <c r="AL673" i="1" s="1"/>
  <c r="AL674" i="1" a="1"/>
  <c r="AL674" i="1" s="1"/>
  <c r="AL675" i="1" a="1"/>
  <c r="AL675" i="1" s="1"/>
  <c r="AL676" i="1" a="1"/>
  <c r="AL676" i="1" s="1"/>
  <c r="AL677" i="1" a="1"/>
  <c r="AL677" i="1" s="1"/>
  <c r="AL678" i="1" a="1"/>
  <c r="AL678" i="1" s="1"/>
  <c r="AL679" i="1" a="1"/>
  <c r="AL679" i="1" s="1"/>
  <c r="AL680" i="1" a="1"/>
  <c r="AL680" i="1" s="1"/>
  <c r="AL681" i="1" a="1"/>
  <c r="AL681" i="1" s="1"/>
  <c r="AL682" i="1" a="1"/>
  <c r="AL682" i="1" s="1"/>
  <c r="AL683" i="1" a="1"/>
  <c r="AL683" i="1" s="1"/>
  <c r="AL684" i="1" a="1"/>
  <c r="AL684" i="1" s="1"/>
  <c r="AL685" i="1" a="1"/>
  <c r="AL685" i="1" s="1"/>
  <c r="AL686" i="1" a="1"/>
  <c r="AL686" i="1" s="1"/>
  <c r="AL687" i="1" a="1"/>
  <c r="AL687" i="1" s="1"/>
  <c r="AL688" i="1" a="1"/>
  <c r="AL688" i="1" s="1"/>
  <c r="AL689" i="1" a="1"/>
  <c r="AL689" i="1" s="1"/>
  <c r="AL690" i="1" a="1"/>
  <c r="AL690" i="1" s="1"/>
  <c r="AL691" i="1" a="1"/>
  <c r="AL691" i="1" s="1"/>
  <c r="AL692" i="1" a="1"/>
  <c r="AL692" i="1" s="1"/>
  <c r="AL693" i="1" a="1"/>
  <c r="AL693" i="1" s="1"/>
  <c r="AL694" i="1" a="1"/>
  <c r="AL694" i="1" s="1"/>
  <c r="AL695" i="1" a="1"/>
  <c r="AL695" i="1" s="1"/>
  <c r="AL696" i="1" a="1"/>
  <c r="AL696" i="1" s="1"/>
  <c r="AL697" i="1" a="1"/>
  <c r="AL697" i="1" s="1"/>
  <c r="AL698" i="1" a="1"/>
  <c r="AL698" i="1" s="1"/>
  <c r="AL699" i="1" a="1"/>
  <c r="AL699" i="1" s="1"/>
  <c r="AL700" i="1" a="1"/>
  <c r="AL700" i="1"/>
  <c r="AL701" i="1" a="1"/>
  <c r="AL701" i="1" s="1"/>
  <c r="AL702" i="1" a="1"/>
  <c r="AL702" i="1" s="1"/>
  <c r="AL703" i="1" a="1"/>
  <c r="AL703" i="1" s="1"/>
  <c r="AL704" i="1" a="1"/>
  <c r="AL704" i="1" s="1"/>
  <c r="AL705" i="1" a="1"/>
  <c r="AL705" i="1" s="1"/>
  <c r="AL706" i="1" a="1"/>
  <c r="AL706" i="1" s="1"/>
  <c r="AL707" i="1" a="1"/>
  <c r="AL707" i="1" s="1"/>
  <c r="AL708" i="1" a="1"/>
  <c r="AL708" i="1" s="1"/>
  <c r="AL709" i="1" a="1"/>
  <c r="AL709" i="1" s="1"/>
  <c r="AL710" i="1" a="1"/>
  <c r="AL710" i="1" s="1"/>
  <c r="AL711" i="1" a="1"/>
  <c r="AL711" i="1" s="1"/>
  <c r="AL712" i="1" a="1"/>
  <c r="AL712" i="1" s="1"/>
  <c r="AL713" i="1" a="1"/>
  <c r="AL713" i="1" s="1"/>
  <c r="AL714" i="1" a="1"/>
  <c r="AL714" i="1" s="1"/>
  <c r="AL715" i="1" a="1"/>
  <c r="AL715" i="1" s="1"/>
  <c r="AL716" i="1" a="1"/>
  <c r="AL716" i="1" s="1"/>
  <c r="AL717" i="1" a="1"/>
  <c r="AL717" i="1" s="1"/>
  <c r="AL718" i="1" a="1"/>
  <c r="AL718" i="1" s="1"/>
  <c r="AL719" i="1" a="1"/>
  <c r="AL719" i="1" s="1"/>
  <c r="AL720" i="1" a="1"/>
  <c r="AL720" i="1" s="1"/>
  <c r="AL721" i="1" a="1"/>
  <c r="AL721" i="1" s="1"/>
  <c r="AL722" i="1" a="1"/>
  <c r="AL722" i="1" s="1"/>
  <c r="AL723" i="1" a="1"/>
  <c r="AL723" i="1" s="1"/>
  <c r="AL724" i="1" a="1"/>
  <c r="AL724" i="1" s="1"/>
  <c r="AL725" i="1" a="1"/>
  <c r="AL725" i="1" s="1"/>
  <c r="AL726" i="1" a="1"/>
  <c r="AL726" i="1" s="1"/>
  <c r="AL727" i="1" a="1"/>
  <c r="AL727" i="1" s="1"/>
  <c r="AL728" i="1" a="1"/>
  <c r="AL728" i="1"/>
  <c r="AL729" i="1" a="1"/>
  <c r="AL729" i="1" s="1"/>
  <c r="AL730" i="1" a="1"/>
  <c r="AL730" i="1" s="1"/>
  <c r="AL731" i="1" a="1"/>
  <c r="AL731" i="1" s="1"/>
  <c r="AL732" i="1" a="1"/>
  <c r="AL732" i="1" s="1"/>
  <c r="AL733" i="1" a="1"/>
  <c r="AL733" i="1" s="1"/>
  <c r="AL734" i="1" a="1"/>
  <c r="AL734" i="1" s="1"/>
  <c r="AL735" i="1" a="1"/>
  <c r="AL735" i="1" s="1"/>
  <c r="AL736" i="1" a="1"/>
  <c r="AL736" i="1" s="1"/>
  <c r="AL737" i="1" a="1"/>
  <c r="AL737" i="1" s="1"/>
  <c r="AL738" i="1" a="1"/>
  <c r="AL738" i="1" s="1"/>
  <c r="AL739" i="1" a="1"/>
  <c r="AL739" i="1" s="1"/>
  <c r="AL740" i="1" a="1"/>
  <c r="AL740" i="1" s="1"/>
  <c r="AL741" i="1" a="1"/>
  <c r="AL741" i="1" s="1"/>
  <c r="AL742" i="1" a="1"/>
  <c r="AL742" i="1" s="1"/>
  <c r="AL743" i="1" a="1"/>
  <c r="AL743" i="1" s="1"/>
  <c r="AL744" i="1" a="1"/>
  <c r="AL744" i="1" s="1"/>
  <c r="AL745" i="1" a="1"/>
  <c r="AL745" i="1" s="1"/>
  <c r="AL746" i="1" a="1"/>
  <c r="AL746" i="1" s="1"/>
  <c r="AL747" i="1" a="1"/>
  <c r="AL747" i="1" s="1"/>
  <c r="AL748" i="1" a="1"/>
  <c r="AL748" i="1" s="1"/>
  <c r="AL749" i="1" a="1"/>
  <c r="AL749" i="1" s="1"/>
  <c r="AL750" i="1" a="1"/>
  <c r="AL750" i="1" s="1"/>
  <c r="AL751" i="1" a="1"/>
  <c r="AL751" i="1" s="1"/>
  <c r="AL752" i="1" a="1"/>
  <c r="AL752" i="1" s="1"/>
  <c r="AL753" i="1" a="1"/>
  <c r="AL753" i="1" s="1"/>
  <c r="AL754" i="1" a="1"/>
  <c r="AL754" i="1" s="1"/>
  <c r="AL755" i="1" a="1"/>
  <c r="AL755" i="1" s="1"/>
  <c r="AL756" i="1" a="1"/>
  <c r="AL756" i="1" s="1"/>
  <c r="AL757" i="1" a="1"/>
  <c r="AL757" i="1" s="1"/>
  <c r="AL758" i="1" a="1"/>
  <c r="AL758" i="1" s="1"/>
  <c r="AL759" i="1" a="1"/>
  <c r="AL759" i="1" s="1"/>
  <c r="AL760" i="1" a="1"/>
  <c r="AL760" i="1" s="1"/>
  <c r="AL761" i="1" a="1"/>
  <c r="AL761" i="1" s="1"/>
  <c r="AL762" i="1" a="1"/>
  <c r="AL762" i="1" s="1"/>
  <c r="AL763" i="1" a="1"/>
  <c r="AL763" i="1" s="1"/>
  <c r="AL764" i="1" a="1"/>
  <c r="AL764" i="1" s="1"/>
  <c r="AL765" i="1" a="1"/>
  <c r="AL765" i="1" s="1"/>
  <c r="AL766" i="1" a="1"/>
  <c r="AL766" i="1" s="1"/>
  <c r="AL767" i="1" a="1"/>
  <c r="AL767" i="1" s="1"/>
  <c r="AL768" i="1" a="1"/>
  <c r="AL768" i="1" s="1"/>
  <c r="AL769" i="1" a="1"/>
  <c r="AL769" i="1" s="1"/>
  <c r="AL770" i="1" a="1"/>
  <c r="AL770" i="1" s="1"/>
  <c r="AL771" i="1" a="1"/>
  <c r="AL771" i="1" s="1"/>
  <c r="AL772" i="1" a="1"/>
  <c r="AL772" i="1" s="1"/>
  <c r="AL773" i="1" a="1"/>
  <c r="AL773" i="1" s="1"/>
  <c r="AL774" i="1" a="1"/>
  <c r="AL774" i="1" s="1"/>
  <c r="AL775" i="1" a="1"/>
  <c r="AL775" i="1" s="1"/>
  <c r="AL776" i="1" a="1"/>
  <c r="AL776" i="1" s="1"/>
  <c r="AL777" i="1" a="1"/>
  <c r="AL777" i="1" s="1"/>
  <c r="AL778" i="1" a="1"/>
  <c r="AL778" i="1" s="1"/>
  <c r="AL779" i="1" a="1"/>
  <c r="AL779" i="1" s="1"/>
  <c r="AL780" i="1" a="1"/>
  <c r="AL780" i="1" s="1"/>
  <c r="AL781" i="1" a="1"/>
  <c r="AL781" i="1" s="1"/>
  <c r="AL782" i="1" a="1"/>
  <c r="AL782" i="1" s="1"/>
  <c r="AL783" i="1" a="1"/>
  <c r="AL783" i="1" s="1"/>
  <c r="AL784" i="1" a="1"/>
  <c r="AL784" i="1" s="1"/>
  <c r="AL785" i="1" a="1"/>
  <c r="AL785" i="1" s="1"/>
  <c r="AL786" i="1" a="1"/>
  <c r="AL786" i="1" s="1"/>
  <c r="AL787" i="1" a="1"/>
  <c r="AL787" i="1" s="1"/>
  <c r="AL788" i="1" a="1"/>
  <c r="AL788" i="1" s="1"/>
  <c r="AL789" i="1" a="1"/>
  <c r="AL789" i="1" s="1"/>
  <c r="AL790" i="1" a="1"/>
  <c r="AL790" i="1" s="1"/>
  <c r="AL791" i="1" a="1"/>
  <c r="AL791" i="1" s="1"/>
  <c r="AL792" i="1" a="1"/>
  <c r="AL792" i="1" s="1"/>
  <c r="AL793" i="1" a="1"/>
  <c r="AL793" i="1" s="1"/>
  <c r="AL794" i="1" a="1"/>
  <c r="AL794" i="1" s="1"/>
  <c r="AL795" i="1" a="1"/>
  <c r="AL795" i="1" s="1"/>
  <c r="AL796" i="1" a="1"/>
  <c r="AL796" i="1"/>
  <c r="AL797" i="1" a="1"/>
  <c r="AL797" i="1" s="1"/>
  <c r="AL798" i="1" a="1"/>
  <c r="AL798" i="1" s="1"/>
  <c r="AL799" i="1" a="1"/>
  <c r="AL799" i="1" s="1"/>
  <c r="AL800" i="1" a="1"/>
  <c r="AL800" i="1" s="1"/>
  <c r="AL801" i="1" a="1"/>
  <c r="AL801" i="1" s="1"/>
  <c r="AL802" i="1" a="1"/>
  <c r="AL802" i="1" s="1"/>
  <c r="AL803" i="1" a="1"/>
  <c r="AL803" i="1" s="1"/>
  <c r="AL804" i="1" a="1"/>
  <c r="AL804" i="1" s="1"/>
  <c r="AL805" i="1" a="1"/>
  <c r="AL805" i="1" s="1"/>
  <c r="AL806" i="1" a="1"/>
  <c r="AL806" i="1" s="1"/>
  <c r="AL807" i="1" a="1"/>
  <c r="AL807" i="1" s="1"/>
  <c r="AL808" i="1" a="1"/>
  <c r="AL808" i="1" s="1"/>
  <c r="AL809" i="1" a="1"/>
  <c r="AL809" i="1" s="1"/>
  <c r="AL810" i="1" a="1"/>
  <c r="AL810" i="1" s="1"/>
  <c r="AL811" i="1" a="1"/>
  <c r="AL811" i="1" s="1"/>
  <c r="AL812" i="1" a="1"/>
  <c r="AL812" i="1"/>
  <c r="AL813" i="1" a="1"/>
  <c r="AL813" i="1" s="1"/>
  <c r="AL814" i="1" a="1"/>
  <c r="AL814" i="1" s="1"/>
  <c r="AL815" i="1" a="1"/>
  <c r="AL815" i="1" s="1"/>
  <c r="AL816" i="1" a="1"/>
  <c r="AL816" i="1" s="1"/>
  <c r="AL817" i="1" a="1"/>
  <c r="AL817" i="1" s="1"/>
  <c r="AL818" i="1" a="1"/>
  <c r="AL818" i="1" s="1"/>
  <c r="AL819" i="1" a="1"/>
  <c r="AL819" i="1" s="1"/>
  <c r="AL820" i="1" a="1"/>
  <c r="AL820" i="1" s="1"/>
  <c r="AL821" i="1" a="1"/>
  <c r="AL821" i="1" s="1"/>
  <c r="AL822" i="1" a="1"/>
  <c r="AL822" i="1" s="1"/>
  <c r="AL823" i="1" a="1"/>
  <c r="AL823" i="1" s="1"/>
  <c r="AL824" i="1" a="1"/>
  <c r="AL824" i="1" s="1"/>
  <c r="AL825" i="1" a="1"/>
  <c r="AL825" i="1" s="1"/>
  <c r="AL826" i="1" a="1"/>
  <c r="AL826" i="1" s="1"/>
  <c r="AL827" i="1" a="1"/>
  <c r="AL827" i="1" s="1"/>
  <c r="AL828" i="1" a="1"/>
  <c r="AL828" i="1" s="1"/>
  <c r="AL829" i="1" a="1"/>
  <c r="AL829" i="1" s="1"/>
  <c r="AL830" i="1" a="1"/>
  <c r="AL830" i="1" s="1"/>
  <c r="AL831" i="1" a="1"/>
  <c r="AL831" i="1" s="1"/>
  <c r="AL832" i="1" a="1"/>
  <c r="AL832" i="1" s="1"/>
  <c r="AL833" i="1" a="1"/>
  <c r="AL833" i="1" s="1"/>
  <c r="AL834" i="1" a="1"/>
  <c r="AL834" i="1" s="1"/>
  <c r="AL835" i="1" a="1"/>
  <c r="AL835" i="1" s="1"/>
  <c r="AL836" i="1" a="1"/>
  <c r="AL836" i="1" s="1"/>
  <c r="AL837" i="1" a="1"/>
  <c r="AL837" i="1" s="1"/>
  <c r="AL838" i="1" a="1"/>
  <c r="AL838" i="1" s="1"/>
  <c r="AL839" i="1" a="1"/>
  <c r="AL839" i="1" s="1"/>
  <c r="AL840" i="1" a="1"/>
  <c r="AL840" i="1" s="1"/>
  <c r="AL841" i="1" a="1"/>
  <c r="AL841" i="1" s="1"/>
  <c r="AL842" i="1" a="1"/>
  <c r="AL842" i="1" s="1"/>
  <c r="AL843" i="1" a="1"/>
  <c r="AL843" i="1" s="1"/>
  <c r="AL844" i="1" a="1"/>
  <c r="AL844" i="1" s="1"/>
  <c r="AL845" i="1" a="1"/>
  <c r="AL845" i="1" s="1"/>
  <c r="AL846" i="1" a="1"/>
  <c r="AL846" i="1" s="1"/>
  <c r="AL847" i="1" a="1"/>
  <c r="AL847" i="1" s="1"/>
  <c r="AL848" i="1" a="1"/>
  <c r="AL848" i="1" s="1"/>
  <c r="AL849" i="1" a="1"/>
  <c r="AL849" i="1" s="1"/>
  <c r="AL850" i="1" a="1"/>
  <c r="AL850" i="1" s="1"/>
  <c r="AL851" i="1" a="1"/>
  <c r="AL851" i="1" s="1"/>
  <c r="AL852" i="1" a="1"/>
  <c r="AL852" i="1" s="1"/>
  <c r="AL853" i="1" a="1"/>
  <c r="AL853" i="1" s="1"/>
  <c r="AL854" i="1" a="1"/>
  <c r="AL854" i="1" s="1"/>
  <c r="AL855" i="1" a="1"/>
  <c r="AL855" i="1" s="1"/>
  <c r="AL856" i="1" a="1"/>
  <c r="AL856" i="1" s="1"/>
  <c r="AL857" i="1" a="1"/>
  <c r="AL857" i="1" s="1"/>
  <c r="AL858" i="1" a="1"/>
  <c r="AL858" i="1" s="1"/>
  <c r="AL859" i="1" a="1"/>
  <c r="AL859" i="1" s="1"/>
  <c r="AL860" i="1" a="1"/>
  <c r="AL860" i="1"/>
  <c r="AL861" i="1" a="1"/>
  <c r="AL861" i="1" s="1"/>
  <c r="AL862" i="1" a="1"/>
  <c r="AL862" i="1" s="1"/>
  <c r="AL863" i="1" a="1"/>
  <c r="AL863" i="1" s="1"/>
  <c r="AL864" i="1" a="1"/>
  <c r="AL864" i="1" s="1"/>
  <c r="AL865" i="1" a="1"/>
  <c r="AL865" i="1" s="1"/>
  <c r="AL866" i="1" a="1"/>
  <c r="AL866" i="1" s="1"/>
  <c r="AL867" i="1" a="1"/>
  <c r="AL867" i="1" s="1"/>
  <c r="AL868" i="1" a="1"/>
  <c r="AL868" i="1" s="1"/>
  <c r="AL869" i="1" a="1"/>
  <c r="AL869" i="1" s="1"/>
  <c r="AL870" i="1" a="1"/>
  <c r="AL870" i="1" s="1"/>
  <c r="AL871" i="1" a="1"/>
  <c r="AL871" i="1" s="1"/>
  <c r="AL872" i="1" a="1"/>
  <c r="AL872" i="1" s="1"/>
  <c r="AL873" i="1" a="1"/>
  <c r="AL873" i="1" s="1"/>
  <c r="AL874" i="1" a="1"/>
  <c r="AL874" i="1" s="1"/>
  <c r="AL875" i="1" a="1"/>
  <c r="AL875" i="1" s="1"/>
  <c r="AL876" i="1" a="1"/>
  <c r="AL876" i="1" s="1"/>
  <c r="AL877" i="1" a="1"/>
  <c r="AL877" i="1" s="1"/>
  <c r="AL878" i="1" a="1"/>
  <c r="AL878" i="1" s="1"/>
  <c r="AL879" i="1" a="1"/>
  <c r="AL879" i="1"/>
  <c r="AL880" i="1" a="1"/>
  <c r="AL880" i="1" s="1"/>
  <c r="AL881" i="1" a="1"/>
  <c r="AL881" i="1" s="1"/>
  <c r="AL882" i="1" a="1"/>
  <c r="AL882" i="1" s="1"/>
  <c r="AL883" i="1" a="1"/>
  <c r="AL883" i="1" s="1"/>
  <c r="AL884" i="1" a="1"/>
  <c r="AL884" i="1" s="1"/>
  <c r="AL885" i="1" a="1"/>
  <c r="AL885" i="1" s="1"/>
  <c r="AL886" i="1" a="1"/>
  <c r="AL886" i="1" s="1"/>
  <c r="AL887" i="1" a="1"/>
  <c r="AL887" i="1" s="1"/>
  <c r="AL888" i="1" a="1"/>
  <c r="AL888" i="1" s="1"/>
  <c r="AL889" i="1" a="1"/>
  <c r="AL889" i="1" s="1"/>
  <c r="AL890" i="1" a="1"/>
  <c r="AL890" i="1" s="1"/>
  <c r="AL891" i="1" a="1"/>
  <c r="AL891" i="1" s="1"/>
  <c r="AL892" i="1" a="1"/>
  <c r="AL892" i="1" s="1"/>
  <c r="AL893" i="1" a="1"/>
  <c r="AL893" i="1" s="1"/>
  <c r="AL894" i="1" a="1"/>
  <c r="AL894" i="1" s="1"/>
  <c r="AL895" i="1" a="1"/>
  <c r="AL895" i="1" s="1"/>
  <c r="AL896" i="1" a="1"/>
  <c r="AL896" i="1" s="1"/>
  <c r="AL897" i="1" a="1"/>
  <c r="AL897" i="1" s="1"/>
  <c r="AL898" i="1" a="1"/>
  <c r="AL898" i="1" s="1"/>
  <c r="AL899" i="1" a="1"/>
  <c r="AL899" i="1" s="1"/>
  <c r="AL900" i="1" a="1"/>
  <c r="AL900" i="1" s="1"/>
  <c r="AL901" i="1" a="1"/>
  <c r="AL901" i="1" s="1"/>
  <c r="AL902" i="1" a="1"/>
  <c r="AL902" i="1" s="1"/>
  <c r="AL903" i="1" a="1"/>
  <c r="AL903" i="1"/>
  <c r="AL904" i="1" a="1"/>
  <c r="AL904" i="1" s="1"/>
  <c r="AL905" i="1" a="1"/>
  <c r="AL905" i="1" s="1"/>
  <c r="AL906" i="1" a="1"/>
  <c r="AL906" i="1" s="1"/>
  <c r="AL907" i="1" a="1"/>
  <c r="AL907" i="1"/>
  <c r="AL908" i="1" a="1"/>
  <c r="AL908" i="1" s="1"/>
  <c r="AL909" i="1" a="1"/>
  <c r="AL909" i="1" s="1"/>
  <c r="AL910" i="1" a="1"/>
  <c r="AL910" i="1" s="1"/>
  <c r="AL911" i="1" a="1"/>
  <c r="AL911" i="1" s="1"/>
  <c r="AL912" i="1" a="1"/>
  <c r="AL912" i="1" s="1"/>
  <c r="AL913" i="1" a="1"/>
  <c r="AL913" i="1" s="1"/>
  <c r="AL914" i="1" a="1"/>
  <c r="AL914" i="1" s="1"/>
  <c r="AL915" i="1" a="1"/>
  <c r="AL915" i="1" s="1"/>
  <c r="AL916" i="1" a="1"/>
  <c r="AL916" i="1" s="1"/>
  <c r="AL917" i="1" a="1"/>
  <c r="AL917" i="1" s="1"/>
  <c r="AL918" i="1" a="1"/>
  <c r="AL918" i="1" s="1"/>
  <c r="AL919" i="1" a="1"/>
  <c r="AL919" i="1" s="1"/>
  <c r="AL920" i="1" a="1"/>
  <c r="AL920" i="1" s="1"/>
  <c r="AL921" i="1" a="1"/>
  <c r="AL921" i="1" s="1"/>
  <c r="AL922" i="1" a="1"/>
  <c r="AL922" i="1" s="1"/>
  <c r="AL923" i="1" a="1"/>
  <c r="AL923" i="1" s="1"/>
  <c r="AL924" i="1" a="1"/>
  <c r="AL924" i="1" s="1"/>
  <c r="AL925" i="1" a="1"/>
  <c r="AL925" i="1" s="1"/>
  <c r="AL926" i="1" a="1"/>
  <c r="AL926" i="1" s="1"/>
  <c r="AL927" i="1" a="1"/>
  <c r="AL927" i="1" s="1"/>
  <c r="AL928" i="1" a="1"/>
  <c r="AL928" i="1" s="1"/>
  <c r="AL929" i="1" a="1"/>
  <c r="AL929" i="1" s="1"/>
  <c r="AL930" i="1" a="1"/>
  <c r="AL930" i="1" s="1"/>
  <c r="AL931" i="1" a="1"/>
  <c r="AL931" i="1" s="1"/>
  <c r="AL932" i="1" a="1"/>
  <c r="AL932" i="1" s="1"/>
  <c r="AL933" i="1" a="1"/>
  <c r="AL933" i="1" s="1"/>
  <c r="AL934" i="1" a="1"/>
  <c r="AL934" i="1" s="1"/>
  <c r="AL935" i="1" a="1"/>
  <c r="AL935" i="1" s="1"/>
  <c r="AL936" i="1" a="1"/>
  <c r="AL936" i="1" s="1"/>
  <c r="AL937" i="1" a="1"/>
  <c r="AL937" i="1" s="1"/>
  <c r="AL938" i="1" a="1"/>
  <c r="AL938" i="1" s="1"/>
  <c r="AL939" i="1" a="1"/>
  <c r="AL939" i="1"/>
  <c r="AL940" i="1" a="1"/>
  <c r="AL940" i="1" s="1"/>
  <c r="AL941" i="1" a="1"/>
  <c r="AL941" i="1" s="1"/>
  <c r="AL942" i="1" a="1"/>
  <c r="AL942" i="1" s="1"/>
  <c r="AL943" i="1" a="1"/>
  <c r="AL943" i="1" s="1"/>
  <c r="AL944" i="1" a="1"/>
  <c r="AL944" i="1" s="1"/>
  <c r="AL945" i="1" a="1"/>
  <c r="AL945" i="1" s="1"/>
  <c r="AL946" i="1" a="1"/>
  <c r="AL946" i="1" s="1"/>
  <c r="AL947" i="1" a="1"/>
  <c r="AL947" i="1" s="1"/>
  <c r="AL948" i="1" a="1"/>
  <c r="AL948" i="1" s="1"/>
  <c r="AL949" i="1" a="1"/>
  <c r="AL949" i="1" s="1"/>
  <c r="AL950" i="1" a="1"/>
  <c r="AL950" i="1" s="1"/>
  <c r="AL951" i="1" a="1"/>
  <c r="AL951" i="1" s="1"/>
  <c r="AL952" i="1" a="1"/>
  <c r="AL952" i="1" s="1"/>
  <c r="AL953" i="1" a="1"/>
  <c r="AL953" i="1" s="1"/>
  <c r="AL954" i="1" a="1"/>
  <c r="AL954" i="1" s="1"/>
  <c r="AL955" i="1" a="1"/>
  <c r="AL955" i="1" s="1"/>
  <c r="AL956" i="1" a="1"/>
  <c r="AL956" i="1" s="1"/>
  <c r="AL957" i="1" a="1"/>
  <c r="AL957" i="1" s="1"/>
  <c r="AL958" i="1" a="1"/>
  <c r="AL958" i="1" s="1"/>
  <c r="AL959" i="1" a="1"/>
  <c r="AL959" i="1" s="1"/>
  <c r="AL960" i="1" a="1"/>
  <c r="AL960" i="1" s="1"/>
  <c r="AL961" i="1" a="1"/>
  <c r="AL961" i="1" s="1"/>
  <c r="AL962" i="1" a="1"/>
  <c r="AL962" i="1" s="1"/>
  <c r="AL963" i="1" a="1"/>
  <c r="AL963" i="1" s="1"/>
  <c r="AL964" i="1" a="1"/>
  <c r="AL964" i="1" s="1"/>
  <c r="AL965" i="1" a="1"/>
  <c r="AL965" i="1" s="1"/>
  <c r="AL966" i="1" a="1"/>
  <c r="AL966" i="1" s="1"/>
  <c r="AL967" i="1" a="1"/>
  <c r="AL967" i="1" s="1"/>
  <c r="AL968" i="1" a="1"/>
  <c r="AL968" i="1" s="1"/>
  <c r="AL969" i="1" a="1"/>
  <c r="AL969" i="1" s="1"/>
  <c r="AL970" i="1" a="1"/>
  <c r="AL970" i="1" s="1"/>
  <c r="AL971" i="1" a="1"/>
  <c r="AL971" i="1" s="1"/>
  <c r="AL972" i="1" a="1"/>
  <c r="AL972" i="1" s="1"/>
  <c r="AL973" i="1" a="1"/>
  <c r="AL973" i="1" s="1"/>
  <c r="AL974" i="1" a="1"/>
  <c r="AL974" i="1" s="1"/>
  <c r="AL975" i="1" a="1"/>
  <c r="AL975" i="1" s="1"/>
  <c r="AL976" i="1" a="1"/>
  <c r="AL976" i="1" s="1"/>
  <c r="AL977" i="1" a="1"/>
  <c r="AL977" i="1" s="1"/>
  <c r="AL978" i="1" a="1"/>
  <c r="AL978" i="1" s="1"/>
  <c r="AL979" i="1" a="1"/>
  <c r="AL979" i="1" s="1"/>
  <c r="AL980" i="1" a="1"/>
  <c r="AL980" i="1" s="1"/>
  <c r="AL981" i="1" a="1"/>
  <c r="AL981" i="1" s="1"/>
  <c r="AL982" i="1" a="1"/>
  <c r="AL982" i="1" s="1"/>
  <c r="AL983" i="1" a="1"/>
  <c r="AL983" i="1"/>
  <c r="AL984" i="1" a="1"/>
  <c r="AL984" i="1" s="1"/>
  <c r="AL985" i="1" a="1"/>
  <c r="AL985" i="1" s="1"/>
  <c r="AL986" i="1" a="1"/>
  <c r="AL986" i="1" s="1"/>
  <c r="AL987" i="1" a="1"/>
  <c r="AL987" i="1" s="1"/>
  <c r="AL988" i="1" a="1"/>
  <c r="AL988" i="1" s="1"/>
  <c r="AL989" i="1" a="1"/>
  <c r="AL989" i="1" s="1"/>
  <c r="AL990" i="1" a="1"/>
  <c r="AL990" i="1" s="1"/>
  <c r="AL991" i="1" a="1"/>
  <c r="AL991" i="1" s="1"/>
  <c r="AL992" i="1" a="1"/>
  <c r="AL992" i="1" s="1"/>
  <c r="AL993" i="1" a="1"/>
  <c r="AL993" i="1" s="1"/>
  <c r="AL994" i="1" a="1"/>
  <c r="AL994" i="1" s="1"/>
  <c r="AL995" i="1" a="1"/>
  <c r="AL995" i="1" s="1"/>
  <c r="AL996" i="1" a="1"/>
  <c r="AL996" i="1" s="1"/>
  <c r="AL997" i="1" a="1"/>
  <c r="AL997" i="1" s="1"/>
  <c r="AL998" i="1" a="1"/>
  <c r="AL998" i="1" s="1"/>
  <c r="AL999" i="1" a="1"/>
  <c r="AL999" i="1" s="1"/>
  <c r="AL1000" i="1" a="1"/>
  <c r="AL1000" i="1" s="1"/>
  <c r="AL1001" i="1" a="1"/>
  <c r="AL1001" i="1" s="1"/>
  <c r="AL1002" i="1" a="1"/>
  <c r="AL1002" i="1" s="1"/>
  <c r="AL1003" i="1" a="1"/>
  <c r="AL1003" i="1"/>
  <c r="AL1004" i="1" a="1"/>
  <c r="AL1004" i="1" s="1"/>
  <c r="AL1005" i="1" a="1"/>
  <c r="AL1005" i="1" s="1"/>
  <c r="AL1006" i="1" a="1"/>
  <c r="AL1006" i="1" s="1"/>
  <c r="AL1007" i="1" a="1"/>
  <c r="AL1007" i="1" s="1"/>
  <c r="AL1008" i="1" a="1"/>
  <c r="AL1008" i="1" s="1"/>
  <c r="AL1009" i="1" a="1"/>
  <c r="AL1009" i="1" s="1"/>
  <c r="AL1010" i="1" a="1"/>
  <c r="AL1010" i="1" s="1"/>
  <c r="AL1011" i="1" a="1"/>
  <c r="AL1011" i="1" s="1"/>
  <c r="AL1012" i="1" a="1"/>
  <c r="AL1012" i="1" s="1"/>
  <c r="AL1013" i="1" a="1"/>
  <c r="AL1013" i="1" s="1"/>
  <c r="AL1014" i="1" a="1"/>
  <c r="AL1014" i="1" s="1"/>
  <c r="AL1015" i="1" a="1"/>
  <c r="AL1015" i="1" s="1"/>
  <c r="AL1016" i="1" a="1"/>
  <c r="AL1016" i="1" s="1"/>
  <c r="AL1017" i="1" a="1"/>
  <c r="AL1017" i="1" s="1"/>
  <c r="AL1018" i="1" a="1"/>
  <c r="AL1018" i="1" s="1"/>
  <c r="AL1019" i="1" a="1"/>
  <c r="AL1019" i="1" s="1"/>
  <c r="AL1020" i="1" a="1"/>
  <c r="AL1020" i="1" s="1"/>
  <c r="AL1021" i="1" a="1"/>
  <c r="AL1021" i="1" s="1"/>
  <c r="AL1022" i="1" a="1"/>
  <c r="AL1022" i="1" s="1"/>
  <c r="AL1023" i="1" a="1"/>
  <c r="AL1023" i="1" s="1"/>
  <c r="AL1024" i="1" a="1"/>
  <c r="AL1024" i="1" s="1"/>
  <c r="AL1025" i="1" a="1"/>
  <c r="AL1025" i="1" s="1"/>
  <c r="AL1026" i="1" a="1"/>
  <c r="AL1026" i="1" s="1"/>
  <c r="AL1027" i="1" a="1"/>
  <c r="AL1027" i="1" s="1"/>
  <c r="AL1028" i="1" a="1"/>
  <c r="AL1028" i="1" s="1"/>
  <c r="AL1029" i="1" a="1"/>
  <c r="AL1029" i="1" s="1"/>
  <c r="AL1030" i="1" a="1"/>
  <c r="AL1030" i="1" s="1"/>
  <c r="AL1031" i="1" a="1"/>
  <c r="AL1031" i="1" s="1"/>
  <c r="AL1032" i="1" a="1"/>
  <c r="AL1032" i="1" s="1"/>
  <c r="AL1033" i="1" a="1"/>
  <c r="AL1033" i="1" s="1"/>
  <c r="AL1034" i="1" a="1"/>
  <c r="AL1034" i="1" s="1"/>
  <c r="AL1035" i="1" a="1"/>
  <c r="AL1035" i="1" s="1"/>
  <c r="AL1036" i="1" a="1"/>
  <c r="AL1036" i="1" s="1"/>
  <c r="AL1037" i="1" a="1"/>
  <c r="AL1037" i="1" s="1"/>
  <c r="AL1038" i="1" a="1"/>
  <c r="AL1038" i="1" s="1"/>
  <c r="AL1039" i="1" a="1"/>
  <c r="AL1039" i="1" s="1"/>
  <c r="AL1040" i="1" a="1"/>
  <c r="AL1040" i="1" s="1"/>
  <c r="AL1041" i="1" a="1"/>
  <c r="AL1041" i="1" s="1"/>
  <c r="AL1042" i="1" a="1"/>
  <c r="AL1042" i="1" s="1"/>
  <c r="AL1043" i="1" a="1"/>
  <c r="AL1043" i="1" s="1"/>
  <c r="AL1044" i="1" a="1"/>
  <c r="AL1044" i="1" s="1"/>
  <c r="AL1045" i="1" a="1"/>
  <c r="AL1045" i="1" s="1"/>
  <c r="AL1046" i="1" a="1"/>
  <c r="AL1046" i="1" s="1"/>
  <c r="AL1047" i="1" a="1"/>
  <c r="AL1047" i="1"/>
  <c r="AL1048" i="1" a="1"/>
  <c r="AL1048" i="1" s="1"/>
  <c r="AL1049" i="1" a="1"/>
  <c r="AL1049" i="1" s="1"/>
  <c r="AL1050" i="1" a="1"/>
  <c r="AL1050" i="1" s="1"/>
  <c r="AL1051" i="1" a="1"/>
  <c r="AL1051" i="1" s="1"/>
  <c r="AL1052" i="1" a="1"/>
  <c r="AL1052" i="1" s="1"/>
  <c r="AL1053" i="1" a="1"/>
  <c r="AL1053" i="1" s="1"/>
  <c r="AL1054" i="1" a="1"/>
  <c r="AL1054" i="1" s="1"/>
  <c r="AL1055" i="1" a="1"/>
  <c r="AL1055" i="1" s="1"/>
  <c r="AL1056" i="1" a="1"/>
  <c r="AL1056" i="1" s="1"/>
  <c r="AL1057" i="1" a="1"/>
  <c r="AL1057" i="1" s="1"/>
  <c r="AL1058" i="1" a="1"/>
  <c r="AL1058" i="1" s="1"/>
  <c r="AL1059" i="1" a="1"/>
  <c r="AL1059" i="1" s="1"/>
  <c r="AL1060" i="1" a="1"/>
  <c r="AL1060" i="1" s="1"/>
  <c r="AL1061" i="1" a="1"/>
  <c r="AL1061" i="1" s="1"/>
  <c r="AL1062" i="1" a="1"/>
  <c r="AL1062" i="1" s="1"/>
  <c r="AL1063" i="1" a="1"/>
  <c r="AL1063" i="1"/>
  <c r="AL1064" i="1" a="1"/>
  <c r="AL1064" i="1" s="1"/>
  <c r="AL1065" i="1" a="1"/>
  <c r="AL1065" i="1" s="1"/>
  <c r="AL1066" i="1" a="1"/>
  <c r="AL1066" i="1" s="1"/>
  <c r="AL1067" i="1" a="1"/>
  <c r="AL1067" i="1" s="1"/>
  <c r="AL1068" i="1" a="1"/>
  <c r="AL1068" i="1" s="1"/>
  <c r="AL1069" i="1" a="1"/>
  <c r="AL1069" i="1" s="1"/>
  <c r="AL1070" i="1" a="1"/>
  <c r="AL1070" i="1" s="1"/>
  <c r="AL1071" i="1" a="1"/>
  <c r="AL1071" i="1" s="1"/>
  <c r="AL1072" i="1" a="1"/>
  <c r="AL1072" i="1" s="1"/>
  <c r="AL1073" i="1" a="1"/>
  <c r="AL1073" i="1" s="1"/>
  <c r="AL1074" i="1" a="1"/>
  <c r="AL1074" i="1" s="1"/>
  <c r="AL1075" i="1" a="1"/>
  <c r="AL1075" i="1" s="1"/>
  <c r="AL1076" i="1" a="1"/>
  <c r="AL1076" i="1" s="1"/>
  <c r="AL1077" i="1" a="1"/>
  <c r="AL1077" i="1" s="1"/>
  <c r="AL1078" i="1" a="1"/>
  <c r="AL1078" i="1" s="1"/>
  <c r="AL1079" i="1" a="1"/>
  <c r="AL1079" i="1" s="1"/>
  <c r="AL1080" i="1" a="1"/>
  <c r="AL1080" i="1" s="1"/>
  <c r="AL1081" i="1" a="1"/>
  <c r="AL1081" i="1" s="1"/>
  <c r="AL1082" i="1" a="1"/>
  <c r="AL1082" i="1" s="1"/>
  <c r="AL1083" i="1" a="1"/>
  <c r="AL1083" i="1" s="1"/>
  <c r="AL1084" i="1" a="1"/>
  <c r="AL1084" i="1" s="1"/>
  <c r="AL1085" i="1" a="1"/>
  <c r="AL1085" i="1" s="1"/>
  <c r="AL1086" i="1" a="1"/>
  <c r="AL1086" i="1" s="1"/>
  <c r="AL1087" i="1" a="1"/>
  <c r="AL1087" i="1" s="1"/>
  <c r="AL1088" i="1" a="1"/>
  <c r="AL1088" i="1" s="1"/>
  <c r="AL1089" i="1" a="1"/>
  <c r="AL1089" i="1" s="1"/>
  <c r="AL1090" i="1" a="1"/>
  <c r="AL1090" i="1" s="1"/>
  <c r="AL1091" i="1" a="1"/>
  <c r="AL1091" i="1" s="1"/>
  <c r="AL1092" i="1" a="1"/>
  <c r="AL1092" i="1" s="1"/>
  <c r="AL1093" i="1" a="1"/>
  <c r="AL1093" i="1" s="1"/>
  <c r="AL1094" i="1" a="1"/>
  <c r="AL1094" i="1" s="1"/>
  <c r="AL1095" i="1" a="1"/>
  <c r="AL1095" i="1" s="1"/>
  <c r="AL1096" i="1" a="1"/>
  <c r="AL1096" i="1" s="1"/>
  <c r="AL1097" i="1" a="1"/>
  <c r="AL1097" i="1" s="1"/>
  <c r="AL1098" i="1" a="1"/>
  <c r="AL1098" i="1" s="1"/>
  <c r="AL1099" i="1" a="1"/>
  <c r="AL1099" i="1"/>
  <c r="AL1100" i="1" a="1"/>
  <c r="AL1100" i="1" s="1"/>
  <c r="AL1101" i="1" a="1"/>
  <c r="AL1101" i="1" s="1"/>
  <c r="AL1102" i="1" a="1"/>
  <c r="AL1102" i="1" s="1"/>
  <c r="AL1103" i="1" a="1"/>
  <c r="AL1103" i="1" s="1"/>
  <c r="AL1104" i="1" a="1"/>
  <c r="AL1104" i="1" s="1"/>
  <c r="AL1105" i="1" a="1"/>
  <c r="AL1105" i="1" s="1"/>
  <c r="AL1106" i="1" a="1"/>
  <c r="AL1106" i="1" s="1"/>
  <c r="AL1107" i="1" a="1"/>
  <c r="AL1107" i="1" s="1"/>
  <c r="AL1108" i="1" a="1"/>
  <c r="AL1108" i="1" s="1"/>
  <c r="AL1109" i="1" a="1"/>
  <c r="AL1109" i="1" s="1"/>
  <c r="AL1110" i="1" a="1"/>
  <c r="AL1110" i="1" s="1"/>
  <c r="AL1111" i="1" a="1"/>
  <c r="AL1111" i="1" s="1"/>
  <c r="AL1112" i="1" a="1"/>
  <c r="AL1112" i="1" s="1"/>
  <c r="AL1113" i="1" a="1"/>
  <c r="AL1113" i="1" s="1"/>
  <c r="AL1114" i="1" a="1"/>
  <c r="AL1114" i="1" s="1"/>
  <c r="AL1115" i="1" a="1"/>
  <c r="AL1115" i="1" s="1"/>
  <c r="AL1116" i="1" a="1"/>
  <c r="AL1116" i="1" s="1"/>
  <c r="AL1117" i="1" a="1"/>
  <c r="AL1117" i="1" s="1"/>
  <c r="AL1118" i="1" a="1"/>
  <c r="AL1118" i="1" s="1"/>
  <c r="AL1119" i="1" a="1"/>
  <c r="AL1119" i="1" s="1"/>
  <c r="AL1120" i="1" a="1"/>
  <c r="AL1120" i="1" s="1"/>
  <c r="AL1121" i="1" a="1"/>
  <c r="AL1121" i="1" s="1"/>
  <c r="AL1122" i="1" a="1"/>
  <c r="AL1122" i="1" s="1"/>
  <c r="AL1123" i="1" a="1"/>
  <c r="AL1123" i="1" s="1"/>
  <c r="AL1124" i="1" a="1"/>
  <c r="AL1124" i="1" s="1"/>
  <c r="AL1125" i="1" a="1"/>
  <c r="AL1125" i="1" s="1"/>
  <c r="AL1126" i="1" a="1"/>
  <c r="AL1126" i="1" s="1"/>
  <c r="AL1127" i="1" a="1"/>
  <c r="AL1127" i="1" s="1"/>
  <c r="AL1128" i="1" a="1"/>
  <c r="AL1128" i="1" s="1"/>
  <c r="AL1129" i="1" a="1"/>
  <c r="AL1129" i="1" s="1"/>
  <c r="AL1130" i="1" a="1"/>
  <c r="AL1130" i="1" s="1"/>
  <c r="AL1131" i="1" a="1"/>
  <c r="AL1131" i="1" s="1"/>
  <c r="AL1132" i="1" a="1"/>
  <c r="AL1132" i="1" s="1"/>
  <c r="AL1133" i="1" a="1"/>
  <c r="AL1133" i="1" s="1"/>
  <c r="AL1134" i="1" a="1"/>
  <c r="AL1134" i="1" s="1"/>
  <c r="AL1135" i="1" a="1"/>
  <c r="AL1135" i="1" s="1"/>
  <c r="AL1136" i="1" a="1"/>
  <c r="AL1136" i="1" s="1"/>
  <c r="AL1137" i="1" a="1"/>
  <c r="AL1137" i="1" s="1"/>
  <c r="AL1138" i="1" a="1"/>
  <c r="AL1138" i="1" s="1"/>
  <c r="AL1139" i="1" a="1"/>
  <c r="AL1139" i="1" s="1"/>
  <c r="AL1140" i="1" a="1"/>
  <c r="AL1140" i="1" s="1"/>
  <c r="AL1141" i="1" a="1"/>
  <c r="AL1141" i="1" s="1"/>
  <c r="AL1142" i="1" a="1"/>
  <c r="AL1142" i="1" s="1"/>
  <c r="AL1143" i="1" a="1"/>
  <c r="AL1143" i="1" s="1"/>
  <c r="AL1144" i="1" a="1"/>
  <c r="AL1144" i="1" s="1"/>
  <c r="AL1145" i="1" a="1"/>
  <c r="AL1145" i="1" s="1"/>
  <c r="AL1146" i="1" a="1"/>
  <c r="AL1146" i="1" s="1"/>
  <c r="AL1147" i="1" a="1"/>
  <c r="AL1147" i="1" s="1"/>
  <c r="AL1148" i="1" a="1"/>
  <c r="AL1148" i="1" s="1"/>
  <c r="AL1149" i="1" a="1"/>
  <c r="AL1149" i="1" s="1"/>
  <c r="AL1150" i="1" a="1"/>
  <c r="AL1150" i="1" s="1"/>
  <c r="AL1151" i="1" a="1"/>
  <c r="AL1151" i="1" s="1"/>
  <c r="AL1152" i="1" a="1"/>
  <c r="AL1152" i="1" s="1"/>
  <c r="AL1153" i="1" a="1"/>
  <c r="AL1153" i="1" s="1"/>
  <c r="AL1154" i="1" a="1"/>
  <c r="AL1154" i="1" s="1"/>
  <c r="AL1155" i="1" a="1"/>
  <c r="AL1155" i="1" s="1"/>
  <c r="AL1156" i="1" a="1"/>
  <c r="AL1156" i="1" s="1"/>
  <c r="AL1157" i="1" a="1"/>
  <c r="AL1157" i="1" s="1"/>
  <c r="AL1158" i="1" a="1"/>
  <c r="AL1158" i="1" s="1"/>
  <c r="AL1159" i="1" a="1"/>
  <c r="AL1159" i="1"/>
  <c r="AL1160" i="1" a="1"/>
  <c r="AL1160" i="1" s="1"/>
  <c r="AL1161" i="1" a="1"/>
  <c r="AL1161" i="1" s="1"/>
  <c r="AL1162" i="1" a="1"/>
  <c r="AL1162" i="1" s="1"/>
  <c r="AL1163" i="1" a="1"/>
  <c r="AL1163" i="1" s="1"/>
  <c r="AL1164" i="1" a="1"/>
  <c r="AL1164" i="1" s="1"/>
  <c r="AL1165" i="1" a="1"/>
  <c r="AL1165" i="1" s="1"/>
  <c r="AL1166" i="1" a="1"/>
  <c r="AL1166" i="1" s="1"/>
  <c r="AL1167" i="1" a="1"/>
  <c r="AL1167" i="1" s="1"/>
  <c r="AL1168" i="1" a="1"/>
  <c r="AL1168" i="1" s="1"/>
  <c r="AL1169" i="1" a="1"/>
  <c r="AL1169" i="1" s="1"/>
  <c r="AL1170" i="1" a="1"/>
  <c r="AL1170" i="1"/>
  <c r="AL1171" i="1" a="1"/>
  <c r="AL1171" i="1" s="1"/>
  <c r="AL1172" i="1" a="1"/>
  <c r="AL1172" i="1" s="1"/>
  <c r="AL1173" i="1" a="1"/>
  <c r="AL1173" i="1" s="1"/>
  <c r="AL1174" i="1" a="1"/>
  <c r="AL1174" i="1" s="1"/>
  <c r="AL1175" i="1" a="1"/>
  <c r="AL1175" i="1" s="1"/>
  <c r="AL1176" i="1" a="1"/>
  <c r="AL1176" i="1"/>
  <c r="AL1177" i="1" a="1"/>
  <c r="AL1177" i="1" s="1"/>
  <c r="AL1178" i="1" a="1"/>
  <c r="AL1178" i="1"/>
  <c r="AL1179" i="1" a="1"/>
  <c r="AL1179" i="1" s="1"/>
  <c r="AL1180" i="1" a="1"/>
  <c r="AL1180" i="1"/>
  <c r="AL1181" i="1" a="1"/>
  <c r="AL1181" i="1" s="1"/>
  <c r="AL1182" i="1" a="1"/>
  <c r="AL1182" i="1" s="1"/>
  <c r="AL1183" i="1" a="1"/>
  <c r="AL1183" i="1" s="1"/>
  <c r="AL1184" i="1" a="1"/>
  <c r="AL1184" i="1" s="1"/>
  <c r="AL1185" i="1" a="1"/>
  <c r="AL1185" i="1" s="1"/>
  <c r="AL1186" i="1" a="1"/>
  <c r="AL1186" i="1" s="1"/>
  <c r="AL1187" i="1" a="1"/>
  <c r="AL1187" i="1" s="1"/>
  <c r="AL1188" i="1" a="1"/>
  <c r="AL1188" i="1" s="1"/>
  <c r="AL1189" i="1" a="1"/>
  <c r="AL1189" i="1" s="1"/>
  <c r="AL1190" i="1" a="1"/>
  <c r="AL1190" i="1" s="1"/>
  <c r="AL1191" i="1" a="1"/>
  <c r="AL1191" i="1" s="1"/>
  <c r="AL1192" i="1" a="1"/>
  <c r="AL1192" i="1" s="1"/>
  <c r="AL1193" i="1" a="1"/>
  <c r="AL1193" i="1" s="1"/>
  <c r="AL1194" i="1" a="1"/>
  <c r="AL1194" i="1" s="1"/>
  <c r="AL1195" i="1" a="1"/>
  <c r="AL1195" i="1" s="1"/>
  <c r="AL1196" i="1" a="1"/>
  <c r="AL1196" i="1" s="1"/>
  <c r="AL1197" i="1" a="1"/>
  <c r="AL1197" i="1" s="1"/>
  <c r="AL1198" i="1" a="1"/>
  <c r="AL1198" i="1"/>
  <c r="AL1199" i="1" a="1"/>
  <c r="AL1199" i="1" s="1"/>
  <c r="AL1200" i="1" a="1"/>
  <c r="AL1200" i="1" s="1"/>
  <c r="AL1201" i="1" a="1"/>
  <c r="AL1201" i="1" s="1"/>
  <c r="AL1202" i="1" a="1"/>
  <c r="AL1202" i="1" s="1"/>
  <c r="AL1203" i="1" a="1"/>
  <c r="AL1203" i="1" s="1"/>
  <c r="AL1204" i="1" a="1"/>
  <c r="AL1204" i="1" s="1"/>
  <c r="AL1205" i="1" a="1"/>
  <c r="AL1205" i="1" s="1"/>
  <c r="AL1206" i="1" a="1"/>
  <c r="AL1206" i="1" s="1"/>
  <c r="AL1207" i="1" a="1"/>
  <c r="AL1207" i="1" s="1"/>
  <c r="AL1208" i="1" a="1"/>
  <c r="AL1208" i="1" s="1"/>
  <c r="AL1209" i="1" a="1"/>
  <c r="AL1209" i="1" s="1"/>
  <c r="AL1210" i="1" a="1"/>
  <c r="AL1210" i="1"/>
  <c r="AL1211" i="1" a="1"/>
  <c r="AL1211" i="1" s="1"/>
  <c r="AL1212" i="1" a="1"/>
  <c r="AL1212" i="1" s="1"/>
  <c r="AL1213" i="1" a="1"/>
  <c r="AL1213" i="1" s="1"/>
  <c r="AL1214" i="1" a="1"/>
  <c r="AL1214" i="1" s="1"/>
  <c r="AL1215" i="1" a="1"/>
  <c r="AL1215" i="1" s="1"/>
  <c r="AL1216" i="1" a="1"/>
  <c r="AL1216" i="1" s="1"/>
  <c r="AL1217" i="1" a="1"/>
  <c r="AL1217" i="1" s="1"/>
  <c r="AL1218" i="1" a="1"/>
  <c r="AL1218" i="1" s="1"/>
  <c r="AL1219" i="1" a="1"/>
  <c r="AL1219" i="1" s="1"/>
  <c r="AL1220" i="1" a="1"/>
  <c r="AL1220" i="1" s="1"/>
  <c r="AL1221" i="1" a="1"/>
  <c r="AL1221" i="1" s="1"/>
  <c r="AL1222" i="1" a="1"/>
  <c r="AL1222" i="1"/>
  <c r="AL1223" i="1" a="1"/>
  <c r="AL1223" i="1" s="1"/>
  <c r="AL1224" i="1" a="1"/>
  <c r="AL1224" i="1" s="1"/>
  <c r="AL1225" i="1" a="1"/>
  <c r="AL1225" i="1" s="1"/>
  <c r="AL1226" i="1" a="1"/>
  <c r="AL1226" i="1" s="1"/>
  <c r="AL1227" i="1" a="1"/>
  <c r="AL1227" i="1" s="1"/>
  <c r="AL1228" i="1" a="1"/>
  <c r="AL1228" i="1" s="1"/>
  <c r="AL1229" i="1" a="1"/>
  <c r="AL1229" i="1" s="1"/>
  <c r="AL1230" i="1" a="1"/>
  <c r="AL1230" i="1"/>
  <c r="AL1231" i="1" a="1"/>
  <c r="AL1231" i="1" s="1"/>
  <c r="AL1232" i="1" a="1"/>
  <c r="AL1232" i="1" s="1"/>
  <c r="AL1233" i="1" a="1"/>
  <c r="AL1233" i="1" s="1"/>
  <c r="AL1234" i="1" a="1"/>
  <c r="AL1234" i="1" s="1"/>
  <c r="AL1235" i="1" a="1"/>
  <c r="AL1235" i="1" s="1"/>
  <c r="AL1236" i="1" a="1"/>
  <c r="AL1236" i="1" s="1"/>
  <c r="AL1237" i="1" a="1"/>
  <c r="AL1237" i="1" s="1"/>
  <c r="AL1238" i="1" a="1"/>
  <c r="AL1238" i="1" s="1"/>
  <c r="AL1239" i="1" a="1"/>
  <c r="AL1239" i="1" s="1"/>
  <c r="AL1240" i="1" a="1"/>
  <c r="AL1240" i="1" s="1"/>
  <c r="AL1241" i="1" a="1"/>
  <c r="AL1241" i="1" s="1"/>
  <c r="AL1242" i="1" a="1"/>
  <c r="AL1242" i="1" s="1"/>
  <c r="AL1243" i="1" a="1"/>
  <c r="AL1243" i="1" s="1"/>
  <c r="AL1244" i="1" a="1"/>
  <c r="AL1244" i="1" s="1"/>
  <c r="AL1245" i="1" a="1"/>
  <c r="AL1245" i="1" s="1"/>
  <c r="AL1246" i="1" a="1"/>
  <c r="AL1246" i="1" s="1"/>
  <c r="AL1247" i="1" a="1"/>
  <c r="AL1247" i="1" s="1"/>
  <c r="AL1248" i="1" a="1"/>
  <c r="AL1248" i="1" s="1"/>
  <c r="AL1249" i="1" a="1"/>
  <c r="AL1249" i="1" s="1"/>
  <c r="AL1250" i="1" a="1"/>
  <c r="AL1250" i="1"/>
  <c r="AL1251" i="1" a="1"/>
  <c r="AL1251" i="1" s="1"/>
  <c r="AL1252" i="1" a="1"/>
  <c r="AL1252" i="1" s="1"/>
  <c r="AL1253" i="1" a="1"/>
  <c r="AL1253" i="1" s="1"/>
  <c r="AL1254" i="1" a="1"/>
  <c r="AL1254" i="1" s="1"/>
  <c r="AL1255" i="1" a="1"/>
  <c r="AL1255" i="1" s="1"/>
  <c r="AL1256" i="1" a="1"/>
  <c r="AL1256" i="1" s="1"/>
  <c r="AL1257" i="1" a="1"/>
  <c r="AL1257" i="1" s="1"/>
  <c r="AL1258" i="1" a="1"/>
  <c r="AL1258" i="1" s="1"/>
  <c r="AL1259" i="1" a="1"/>
  <c r="AL1259" i="1" s="1"/>
  <c r="AL1260" i="1" a="1"/>
  <c r="AL1260" i="1" s="1"/>
  <c r="AL1261" i="1" a="1"/>
  <c r="AL1261" i="1" s="1"/>
  <c r="AL1262" i="1" a="1"/>
  <c r="AL1262" i="1"/>
  <c r="AL1263" i="1" a="1"/>
  <c r="AL1263" i="1" s="1"/>
  <c r="AL1264" i="1" a="1"/>
  <c r="AL1264" i="1" s="1"/>
  <c r="AL1265" i="1" a="1"/>
  <c r="AL1265" i="1" s="1"/>
  <c r="AL1266" i="1" a="1"/>
  <c r="AL1266" i="1" s="1"/>
  <c r="AL1267" i="1" a="1"/>
  <c r="AL1267" i="1" s="1"/>
  <c r="AL1268" i="1" a="1"/>
  <c r="AL1268" i="1" s="1"/>
  <c r="AL1269" i="1" a="1"/>
  <c r="AL1269" i="1" s="1"/>
  <c r="AL1270" i="1" a="1"/>
  <c r="AL1270" i="1" s="1"/>
  <c r="AL1271" i="1" a="1"/>
  <c r="AL1271" i="1" s="1"/>
  <c r="AL1272" i="1" a="1"/>
  <c r="AL1272" i="1" s="1"/>
  <c r="AL1273" i="1" a="1"/>
  <c r="AL1273" i="1" s="1"/>
  <c r="AL1274" i="1" a="1"/>
  <c r="AL1274" i="1" s="1"/>
  <c r="AL1275" i="1" a="1"/>
  <c r="AL1275" i="1" s="1"/>
  <c r="AL1276" i="1" a="1"/>
  <c r="AL1276" i="1" s="1"/>
  <c r="AL1277" i="1" a="1"/>
  <c r="AL1277" i="1" s="1"/>
  <c r="AL1278" i="1" a="1"/>
  <c r="AL1278" i="1" s="1"/>
  <c r="AL1279" i="1" a="1"/>
  <c r="AL1279" i="1" s="1"/>
  <c r="AL1280" i="1" a="1"/>
  <c r="AL1280" i="1" s="1"/>
  <c r="AL1281" i="1" a="1"/>
  <c r="AL1281" i="1" s="1"/>
  <c r="AL1282" i="1" a="1"/>
  <c r="AL1282" i="1" s="1"/>
  <c r="AL1283" i="1" a="1"/>
  <c r="AL1283" i="1" s="1"/>
  <c r="AL1284" i="1" a="1"/>
  <c r="AL1284" i="1" s="1"/>
  <c r="AL1285" i="1" a="1"/>
  <c r="AL1285" i="1" s="1"/>
  <c r="AL1286" i="1" a="1"/>
  <c r="AL1286" i="1"/>
  <c r="AL1287" i="1" a="1"/>
  <c r="AL1287" i="1" s="1"/>
  <c r="AL1288" i="1" a="1"/>
  <c r="AL1288" i="1" s="1"/>
  <c r="AL1289" i="1" a="1"/>
  <c r="AL1289" i="1" s="1"/>
  <c r="AL1290" i="1" a="1"/>
  <c r="AL1290" i="1" s="1"/>
  <c r="AL1291" i="1" a="1"/>
  <c r="AL1291" i="1" s="1"/>
  <c r="AL1292" i="1" a="1"/>
  <c r="AL1292" i="1" s="1"/>
  <c r="AL1293" i="1" a="1"/>
  <c r="AL1293" i="1" s="1"/>
  <c r="AL1294" i="1" a="1"/>
  <c r="AL1294" i="1"/>
  <c r="AL1295" i="1" a="1"/>
  <c r="AL1295" i="1" s="1"/>
  <c r="AL1296" i="1" a="1"/>
  <c r="AL1296" i="1" s="1"/>
  <c r="AL1297" i="1" a="1"/>
  <c r="AL1297" i="1" s="1"/>
  <c r="AL1298" i="1" a="1"/>
  <c r="AL1298" i="1" s="1"/>
  <c r="AL1299" i="1" a="1"/>
  <c r="AL1299" i="1" s="1"/>
  <c r="AL1300" i="1" a="1"/>
  <c r="AL1300" i="1" s="1"/>
  <c r="AL1301" i="1" a="1"/>
  <c r="AL1301" i="1" s="1"/>
  <c r="AL1302" i="1" a="1"/>
  <c r="AL1302" i="1" s="1"/>
  <c r="AL1303" i="1" a="1"/>
  <c r="AL1303" i="1" s="1"/>
  <c r="AL1304" i="1" a="1"/>
  <c r="AL1304" i="1" s="1"/>
  <c r="AL1305" i="1" a="1"/>
  <c r="AL1305" i="1" s="1"/>
  <c r="AL1306" i="1" a="1"/>
  <c r="AL1306" i="1" s="1"/>
  <c r="AL1307" i="1" a="1"/>
  <c r="AL1307" i="1" s="1"/>
  <c r="AL1308" i="1" a="1"/>
  <c r="AL1308" i="1" s="1"/>
  <c r="AL1309" i="1" a="1"/>
  <c r="AL1309" i="1" s="1"/>
  <c r="AL1310" i="1" a="1"/>
  <c r="AL1310" i="1" s="1"/>
  <c r="AL1311" i="1" a="1"/>
  <c r="AL1311" i="1" s="1"/>
  <c r="AL1312" i="1" a="1"/>
  <c r="AL1312" i="1" s="1"/>
  <c r="AL1313" i="1" a="1"/>
  <c r="AL1313" i="1" s="1"/>
  <c r="AL1314" i="1" a="1"/>
  <c r="AL1314" i="1"/>
  <c r="AL1315" i="1" a="1"/>
  <c r="AL1315" i="1" s="1"/>
  <c r="AL1316" i="1" a="1"/>
  <c r="AL1316" i="1" s="1"/>
  <c r="AL1317" i="1" a="1"/>
  <c r="AL1317" i="1" s="1"/>
  <c r="AL1318" i="1" a="1"/>
  <c r="AL1318" i="1" s="1"/>
  <c r="AL1319" i="1" a="1"/>
  <c r="AL1319" i="1" s="1"/>
  <c r="AL1320" i="1" a="1"/>
  <c r="AL1320" i="1" s="1"/>
  <c r="AL1321" i="1" a="1"/>
  <c r="AL1321" i="1" s="1"/>
  <c r="AL1322" i="1" a="1"/>
  <c r="AL1322" i="1" s="1"/>
  <c r="AL1323" i="1" a="1"/>
  <c r="AL1323" i="1" s="1"/>
  <c r="AL1324" i="1" a="1"/>
  <c r="AL1324" i="1" s="1"/>
  <c r="AL1325" i="1" a="1"/>
  <c r="AL1325" i="1" s="1"/>
  <c r="AL1326" i="1" a="1"/>
  <c r="AL1326" i="1"/>
  <c r="AL1327" i="1" a="1"/>
  <c r="AL1327" i="1" s="1"/>
  <c r="AL1328" i="1" a="1"/>
  <c r="AL1328" i="1" s="1"/>
  <c r="AL1329" i="1" a="1"/>
  <c r="AL1329" i="1" s="1"/>
  <c r="AL1330" i="1" a="1"/>
  <c r="AL1330" i="1" s="1"/>
  <c r="AL1331" i="1" a="1"/>
  <c r="AL1331" i="1" s="1"/>
  <c r="AL1332" i="1" a="1"/>
  <c r="AL1332" i="1" s="1"/>
  <c r="AL1333" i="1" a="1"/>
  <c r="AL1333" i="1" s="1"/>
  <c r="AL1334" i="1" a="1"/>
  <c r="AL1334" i="1" s="1"/>
  <c r="AL1335" i="1" a="1"/>
  <c r="AL1335" i="1" s="1"/>
  <c r="AL1336" i="1" a="1"/>
  <c r="AL1336" i="1" s="1"/>
  <c r="AL1337" i="1" a="1"/>
  <c r="AL1337" i="1" s="1"/>
  <c r="AL1338" i="1" a="1"/>
  <c r="AL1338" i="1" s="1"/>
  <c r="AL1339" i="1" a="1"/>
  <c r="AL1339" i="1" s="1"/>
  <c r="AL1340" i="1" a="1"/>
  <c r="AL1340" i="1" s="1"/>
  <c r="AL1341" i="1" a="1"/>
  <c r="AL1341" i="1" s="1"/>
  <c r="AL1342" i="1" a="1"/>
  <c r="AL1342" i="1" s="1"/>
  <c r="AL1343" i="1" a="1"/>
  <c r="AL1343" i="1" s="1"/>
  <c r="AL1344" i="1" a="1"/>
  <c r="AL1344" i="1" s="1"/>
  <c r="AL1345" i="1" a="1"/>
  <c r="AL1345" i="1" s="1"/>
  <c r="AL1346" i="1" a="1"/>
  <c r="AL1346" i="1" s="1"/>
  <c r="AL1347" i="1" a="1"/>
  <c r="AL1347" i="1" s="1"/>
  <c r="AL1348" i="1" a="1"/>
  <c r="AL1348" i="1" s="1"/>
  <c r="AL1349" i="1" a="1"/>
  <c r="AL1349" i="1" s="1"/>
  <c r="AL1350" i="1" a="1"/>
  <c r="AL1350" i="1"/>
  <c r="AL1351" i="1" a="1"/>
  <c r="AL1351" i="1" s="1"/>
  <c r="AL1352" i="1" a="1"/>
  <c r="AL1352" i="1" s="1"/>
  <c r="AL1353" i="1" a="1"/>
  <c r="AL1353" i="1" s="1"/>
  <c r="AL1354" i="1" a="1"/>
  <c r="AL1354" i="1" s="1"/>
  <c r="AL1355" i="1" a="1"/>
  <c r="AL1355" i="1" s="1"/>
  <c r="AL1356" i="1" a="1"/>
  <c r="AL1356" i="1" s="1"/>
  <c r="AL1357" i="1" a="1"/>
  <c r="AL1357" i="1" s="1"/>
  <c r="AL1358" i="1" a="1"/>
  <c r="AL1358" i="1"/>
  <c r="AL1359" i="1" a="1"/>
  <c r="AL1359" i="1" s="1"/>
  <c r="AL1360" i="1" a="1"/>
  <c r="AL1360" i="1" s="1"/>
  <c r="AL1361" i="1" a="1"/>
  <c r="AL1361" i="1" s="1"/>
  <c r="AL1362" i="1" a="1"/>
  <c r="AL1362" i="1" s="1"/>
  <c r="AL1363" i="1" a="1"/>
  <c r="AL1363" i="1" s="1"/>
  <c r="AL1364" i="1" a="1"/>
  <c r="AL1364" i="1" s="1"/>
  <c r="AL1365" i="1" a="1"/>
  <c r="AL1365" i="1" s="1"/>
  <c r="AL1366" i="1" a="1"/>
  <c r="AL1366" i="1" s="1"/>
  <c r="AL1367" i="1" a="1"/>
  <c r="AL1367" i="1" s="1"/>
  <c r="AL1368" i="1" a="1"/>
  <c r="AL1368" i="1" s="1"/>
  <c r="AL1369" i="1" a="1"/>
  <c r="AL1369" i="1" s="1"/>
  <c r="AL1370" i="1" a="1"/>
  <c r="AL1370" i="1" s="1"/>
  <c r="AL1371" i="1" a="1"/>
  <c r="AL1371" i="1" s="1"/>
  <c r="AL1372" i="1" a="1"/>
  <c r="AL1372" i="1" s="1"/>
  <c r="AL1373" i="1" a="1"/>
  <c r="AL1373" i="1" s="1"/>
  <c r="AL1374" i="1" a="1"/>
  <c r="AL1374" i="1" s="1"/>
  <c r="AL1375" i="1" a="1"/>
  <c r="AL1375" i="1" s="1"/>
  <c r="AL1376" i="1" a="1"/>
  <c r="AL1376" i="1" s="1"/>
  <c r="AL1377" i="1" a="1"/>
  <c r="AL1377" i="1" s="1"/>
  <c r="AL1378" i="1" a="1"/>
  <c r="AL1378" i="1"/>
  <c r="AL1379" i="1" a="1"/>
  <c r="AL1379" i="1" s="1"/>
  <c r="AL1380" i="1" a="1"/>
  <c r="AL1380" i="1" s="1"/>
  <c r="AL1381" i="1" a="1"/>
  <c r="AL1381" i="1" s="1"/>
  <c r="AL1382" i="1" a="1"/>
  <c r="AL1382" i="1" s="1"/>
  <c r="AL1383" i="1" a="1"/>
  <c r="AL1383" i="1" s="1"/>
  <c r="AL1384" i="1" a="1"/>
  <c r="AL1384" i="1" s="1"/>
  <c r="AL1385" i="1" a="1"/>
  <c r="AL1385" i="1" s="1"/>
  <c r="AL1386" i="1" a="1"/>
  <c r="AL1386" i="1" s="1"/>
  <c r="AL1387" i="1" a="1"/>
  <c r="AL1387" i="1" s="1"/>
  <c r="AL1388" i="1" a="1"/>
  <c r="AL1388" i="1" s="1"/>
  <c r="AL1389" i="1" a="1"/>
  <c r="AL1389" i="1" s="1"/>
  <c r="AL1390" i="1" a="1"/>
  <c r="AL1390" i="1"/>
  <c r="AL1391" i="1" a="1"/>
  <c r="AL1391" i="1" s="1"/>
  <c r="AL1392" i="1" a="1"/>
  <c r="AL1392" i="1" s="1"/>
  <c r="AL1393" i="1" a="1"/>
  <c r="AL1393" i="1" s="1"/>
  <c r="AL1394" i="1" a="1"/>
  <c r="AL1394" i="1" s="1"/>
  <c r="AL1395" i="1" a="1"/>
  <c r="AL1395" i="1" s="1"/>
  <c r="AL1396" i="1" a="1"/>
  <c r="AL1396" i="1" s="1"/>
  <c r="AL1397" i="1" a="1"/>
  <c r="AL1397" i="1" s="1"/>
  <c r="AL1398" i="1" a="1"/>
  <c r="AL1398" i="1" s="1"/>
  <c r="AL1399" i="1" a="1"/>
  <c r="AL1399" i="1" s="1"/>
  <c r="AL1400" i="1" a="1"/>
  <c r="AL1400" i="1" s="1"/>
  <c r="AL1401" i="1" a="1"/>
  <c r="AL1401" i="1" s="1"/>
  <c r="AL1402" i="1" a="1"/>
  <c r="AL1402" i="1" s="1"/>
  <c r="AL1403" i="1" a="1"/>
  <c r="AL1403" i="1" s="1"/>
  <c r="AL1404" i="1" a="1"/>
  <c r="AL1404" i="1" s="1"/>
  <c r="AL1405" i="1" a="1"/>
  <c r="AL1405" i="1" s="1"/>
  <c r="AL1406" i="1" a="1"/>
  <c r="AL1406" i="1" s="1"/>
  <c r="AL1407" i="1" a="1"/>
  <c r="AL1407" i="1" s="1"/>
  <c r="AL1408" i="1" a="1"/>
  <c r="AL1408" i="1" s="1"/>
  <c r="AL1409" i="1" a="1"/>
  <c r="AL1409" i="1" s="1"/>
  <c r="AL1410" i="1" a="1"/>
  <c r="AL1410" i="1" s="1"/>
  <c r="AL1411" i="1" a="1"/>
  <c r="AL1411" i="1" s="1"/>
  <c r="AL1412" i="1" a="1"/>
  <c r="AL1412" i="1" s="1"/>
  <c r="AL1413" i="1" a="1"/>
  <c r="AL1413" i="1" s="1"/>
  <c r="AL1414" i="1" a="1"/>
  <c r="AL1414" i="1"/>
  <c r="AL1415" i="1" a="1"/>
  <c r="AL1415" i="1" s="1"/>
  <c r="AL1416" i="1" a="1"/>
  <c r="AL1416" i="1" s="1"/>
  <c r="AL1417" i="1" a="1"/>
  <c r="AL1417" i="1" s="1"/>
  <c r="AL1418" i="1" a="1"/>
  <c r="AL1418" i="1" s="1"/>
  <c r="AL1419" i="1" a="1"/>
  <c r="AL1419" i="1" s="1"/>
  <c r="AL1420" i="1" a="1"/>
  <c r="AL1420" i="1" s="1"/>
  <c r="AL1421" i="1" a="1"/>
  <c r="AL1421" i="1" s="1"/>
  <c r="AL1422" i="1" a="1"/>
  <c r="AL1422" i="1"/>
  <c r="AL1423" i="1" a="1"/>
  <c r="AL1423" i="1" s="1"/>
  <c r="AL1424" i="1" a="1"/>
  <c r="AL1424" i="1" s="1"/>
  <c r="AL1425" i="1" a="1"/>
  <c r="AL1425" i="1" s="1"/>
  <c r="AL1426" i="1" a="1"/>
  <c r="AL1426" i="1" s="1"/>
  <c r="AL1427" i="1" a="1"/>
  <c r="AL1427" i="1" s="1"/>
  <c r="AL1428" i="1" a="1"/>
  <c r="AL1428" i="1" s="1"/>
  <c r="AL1429" i="1" a="1"/>
  <c r="AL1429" i="1" s="1"/>
  <c r="AL1430" i="1" a="1"/>
  <c r="AL1430" i="1" s="1"/>
  <c r="AL1431" i="1" a="1"/>
  <c r="AL1431" i="1" s="1"/>
  <c r="AL1432" i="1" a="1"/>
  <c r="AL1432" i="1" s="1"/>
  <c r="AL1433" i="1" a="1"/>
  <c r="AL1433" i="1" s="1"/>
  <c r="AL1434" i="1" a="1"/>
  <c r="AL1434" i="1" s="1"/>
  <c r="AL1435" i="1" a="1"/>
  <c r="AL1435" i="1" s="1"/>
  <c r="AL1436" i="1" a="1"/>
  <c r="AL1436" i="1" s="1"/>
  <c r="AL1437" i="1" a="1"/>
  <c r="AL1437" i="1" s="1"/>
  <c r="AL1438" i="1" a="1"/>
  <c r="AL1438" i="1" s="1"/>
  <c r="AL1439" i="1" a="1"/>
  <c r="AL1439" i="1" s="1"/>
  <c r="AL1440" i="1" a="1"/>
  <c r="AL1440" i="1" s="1"/>
  <c r="AL1441" i="1" a="1"/>
  <c r="AL1441" i="1" s="1"/>
  <c r="AL1442" i="1" a="1"/>
  <c r="AL1442" i="1"/>
  <c r="AL1443" i="1" a="1"/>
  <c r="AL1443" i="1" s="1"/>
  <c r="AL1444" i="1" a="1"/>
  <c r="AL1444" i="1" s="1"/>
  <c r="AL1445" i="1" a="1"/>
  <c r="AL1445" i="1" s="1"/>
  <c r="AL1446" i="1" a="1"/>
  <c r="AL1446" i="1" s="1"/>
  <c r="AL1447" i="1" a="1"/>
  <c r="AL1447" i="1" s="1"/>
  <c r="AL1448" i="1" a="1"/>
  <c r="AL1448" i="1" s="1"/>
  <c r="AL1449" i="1" a="1"/>
  <c r="AL1449" i="1" s="1"/>
  <c r="AL1450" i="1" a="1"/>
  <c r="AL1450" i="1" s="1"/>
  <c r="AL1451" i="1" a="1"/>
  <c r="AL1451" i="1" s="1"/>
  <c r="AL1452" i="1" a="1"/>
  <c r="AL1452" i="1" s="1"/>
  <c r="AL1453" i="1" a="1"/>
  <c r="AL1453" i="1" s="1"/>
  <c r="AL1454" i="1" a="1"/>
  <c r="AL1454" i="1"/>
  <c r="AL1455" i="1" a="1"/>
  <c r="AL1455" i="1" s="1"/>
  <c r="AL1456" i="1" a="1"/>
  <c r="AL1456" i="1" s="1"/>
  <c r="AL1457" i="1" a="1"/>
  <c r="AL1457" i="1" s="1"/>
  <c r="AL1458" i="1" a="1"/>
  <c r="AL1458" i="1" s="1"/>
  <c r="AL1459" i="1" a="1"/>
  <c r="AL1459" i="1" s="1"/>
  <c r="AL1460" i="1" a="1"/>
  <c r="AL1460" i="1" s="1"/>
  <c r="AL1461" i="1" a="1"/>
  <c r="AL1461" i="1" s="1"/>
  <c r="AL1462" i="1" a="1"/>
  <c r="AL1462" i="1" s="1"/>
  <c r="AL1463" i="1" a="1"/>
  <c r="AL1463" i="1" s="1"/>
  <c r="AL1464" i="1" a="1"/>
  <c r="AL1464" i="1" s="1"/>
  <c r="AL1465" i="1" a="1"/>
  <c r="AL1465" i="1" s="1"/>
  <c r="AL1466" i="1" a="1"/>
  <c r="AL1466" i="1" s="1"/>
  <c r="AL1467" i="1" a="1"/>
  <c r="AL1467" i="1" s="1"/>
  <c r="AL1468" i="1" a="1"/>
  <c r="AL1468" i="1" s="1"/>
  <c r="AL1469" i="1" a="1"/>
  <c r="AL1469" i="1" s="1"/>
  <c r="AL1470" i="1" a="1"/>
  <c r="AL1470" i="1" s="1"/>
  <c r="AL1471" i="1" a="1"/>
  <c r="AL1471" i="1" s="1"/>
  <c r="AM2" i="1"/>
  <c r="AM1471" i="1"/>
  <c r="AM1470" i="1"/>
  <c r="AM1469" i="1"/>
  <c r="AM1468" i="1"/>
  <c r="AM1467" i="1"/>
  <c r="AM1466" i="1"/>
  <c r="AM1465" i="1"/>
  <c r="AM1464" i="1"/>
  <c r="AM1463" i="1"/>
  <c r="AM1462" i="1"/>
  <c r="AM1461" i="1"/>
  <c r="AM1460" i="1"/>
  <c r="AM1459" i="1"/>
  <c r="AM1458" i="1"/>
  <c r="AM1457" i="1"/>
  <c r="AM1456" i="1"/>
  <c r="AM1455" i="1"/>
  <c r="AM1454" i="1"/>
  <c r="AM1453" i="1"/>
  <c r="AM1452" i="1"/>
  <c r="AM1451" i="1"/>
  <c r="AM1450" i="1"/>
  <c r="AM1449" i="1"/>
  <c r="AM1448" i="1"/>
  <c r="AM1447" i="1"/>
  <c r="AM1446" i="1"/>
  <c r="AM1445" i="1"/>
  <c r="AM1444" i="1"/>
  <c r="AM1443" i="1"/>
  <c r="AM1442" i="1"/>
  <c r="AM1441" i="1"/>
  <c r="AM1440" i="1"/>
  <c r="AM1439" i="1"/>
  <c r="AM1438" i="1"/>
  <c r="AM1437" i="1"/>
  <c r="AM1436" i="1"/>
  <c r="AM1435" i="1"/>
  <c r="AM1434" i="1"/>
  <c r="AM1433" i="1"/>
  <c r="AM1432" i="1"/>
  <c r="AM1431" i="1"/>
  <c r="AM1430" i="1"/>
  <c r="AM1429" i="1"/>
  <c r="AM1428" i="1"/>
  <c r="AM1427" i="1"/>
  <c r="AM1426" i="1"/>
  <c r="AM1425" i="1"/>
  <c r="AM1424" i="1"/>
  <c r="AM1423" i="1"/>
  <c r="AM1422" i="1"/>
  <c r="AM1421" i="1"/>
  <c r="AM1420" i="1"/>
  <c r="AM1419" i="1"/>
  <c r="AM1418" i="1"/>
  <c r="AM1417" i="1"/>
  <c r="AM1416" i="1"/>
  <c r="AM1415" i="1"/>
  <c r="AM1414" i="1"/>
  <c r="AM1413" i="1"/>
  <c r="AM1412" i="1"/>
  <c r="AM1411" i="1"/>
  <c r="AM1410" i="1"/>
  <c r="AM1409" i="1"/>
  <c r="AM1408" i="1"/>
  <c r="AM1407" i="1"/>
  <c r="AM1406" i="1"/>
  <c r="AM1405" i="1"/>
  <c r="AM1404" i="1"/>
  <c r="AM1403" i="1"/>
  <c r="AM1402" i="1"/>
  <c r="AM1401" i="1"/>
  <c r="AM1400" i="1"/>
  <c r="AM1399" i="1"/>
  <c r="AM1398" i="1"/>
  <c r="AM1397" i="1"/>
  <c r="AM1396" i="1"/>
  <c r="AM1395" i="1"/>
  <c r="AM1394" i="1"/>
  <c r="AM1393" i="1"/>
  <c r="AM1392" i="1"/>
  <c r="AM1391" i="1"/>
  <c r="AM1390" i="1"/>
  <c r="AM1389" i="1"/>
  <c r="AM1388" i="1"/>
  <c r="AM1387" i="1"/>
  <c r="AM1386" i="1"/>
  <c r="AM1385" i="1"/>
  <c r="AM1384" i="1"/>
  <c r="AM1383" i="1"/>
  <c r="AM1382" i="1"/>
  <c r="AM1381" i="1"/>
  <c r="AM1380" i="1"/>
  <c r="AM1379" i="1"/>
  <c r="AM1378" i="1"/>
  <c r="AM1377" i="1"/>
  <c r="AM1376" i="1"/>
  <c r="AM1375" i="1"/>
  <c r="AM1374" i="1"/>
  <c r="AM1373" i="1"/>
  <c r="AM1372" i="1"/>
  <c r="AM1371" i="1"/>
  <c r="AM1370" i="1"/>
  <c r="AM1369" i="1"/>
  <c r="AM1368" i="1"/>
  <c r="AM1367" i="1"/>
  <c r="AM1366" i="1"/>
  <c r="AM1365" i="1"/>
  <c r="AM1364" i="1"/>
  <c r="AM1363" i="1"/>
  <c r="AM1362" i="1"/>
  <c r="AM1361" i="1"/>
  <c r="AM1360" i="1"/>
  <c r="AM1359" i="1"/>
  <c r="AM1358" i="1"/>
  <c r="AM1357" i="1"/>
  <c r="AM1356" i="1"/>
  <c r="AM1355" i="1"/>
  <c r="AM1354" i="1"/>
  <c r="AM1353" i="1"/>
  <c r="AM1352" i="1"/>
  <c r="AM1351" i="1"/>
  <c r="AM1350" i="1"/>
  <c r="AM1349" i="1"/>
  <c r="AM1348" i="1"/>
  <c r="AM1347" i="1"/>
  <c r="AM1346" i="1"/>
  <c r="AM1345" i="1"/>
  <c r="AM1344" i="1"/>
  <c r="AM1343" i="1"/>
  <c r="AM1342" i="1"/>
  <c r="AM1341" i="1"/>
  <c r="AM1340" i="1"/>
  <c r="AM1339" i="1"/>
  <c r="AM1338" i="1"/>
  <c r="AM1337" i="1"/>
  <c r="AM1336" i="1"/>
  <c r="AM1335" i="1"/>
  <c r="AM1334" i="1"/>
  <c r="AM1333" i="1"/>
  <c r="AM1332" i="1"/>
  <c r="AM1331" i="1"/>
  <c r="AM1330" i="1"/>
  <c r="AM1329" i="1"/>
  <c r="AM1328" i="1"/>
  <c r="AM1327" i="1"/>
  <c r="AM1326" i="1"/>
  <c r="AM1325" i="1"/>
  <c r="AM1324" i="1"/>
  <c r="AM1323" i="1"/>
  <c r="AM1322" i="1"/>
  <c r="AM1321" i="1"/>
  <c r="AM1320" i="1"/>
  <c r="AM1319" i="1"/>
  <c r="AM1318" i="1"/>
  <c r="AM1317" i="1"/>
  <c r="AM1316" i="1"/>
  <c r="AM1315" i="1"/>
  <c r="AM1314" i="1"/>
  <c r="AM1313" i="1"/>
  <c r="AM1312" i="1"/>
  <c r="AM1311" i="1"/>
  <c r="AM1310" i="1"/>
  <c r="AM1309" i="1"/>
  <c r="AM1308" i="1"/>
  <c r="AM1307" i="1"/>
  <c r="AM1306" i="1"/>
  <c r="AM1305" i="1"/>
  <c r="AM1304" i="1"/>
  <c r="AM1303" i="1"/>
  <c r="AM1302" i="1"/>
  <c r="AM1301" i="1"/>
  <c r="AM1300" i="1"/>
  <c r="AM1299" i="1"/>
  <c r="AM1298" i="1"/>
  <c r="AM1297" i="1"/>
  <c r="AM1296" i="1"/>
  <c r="AM1295" i="1"/>
  <c r="AM1294" i="1"/>
  <c r="AM1293" i="1"/>
  <c r="AM1292" i="1"/>
  <c r="AM1291" i="1"/>
  <c r="AM1290" i="1"/>
  <c r="AM1289" i="1"/>
  <c r="AM1288" i="1"/>
  <c r="AM1287" i="1"/>
  <c r="AM1286" i="1"/>
  <c r="AM1285" i="1"/>
  <c r="AM1284" i="1"/>
  <c r="AM1283" i="1"/>
  <c r="AM1282" i="1"/>
  <c r="AM1281" i="1"/>
  <c r="AM1280" i="1"/>
  <c r="AM1279" i="1"/>
  <c r="AM1278" i="1"/>
  <c r="AM1277" i="1"/>
  <c r="AM1276" i="1"/>
  <c r="AM1275" i="1"/>
  <c r="AM1274" i="1"/>
  <c r="AM1273" i="1"/>
  <c r="AM1272" i="1"/>
  <c r="AM1271" i="1"/>
  <c r="AM1270" i="1"/>
  <c r="AM1269" i="1"/>
  <c r="AM1268" i="1"/>
  <c r="AM1267" i="1"/>
  <c r="AM1266" i="1"/>
  <c r="AM1265" i="1"/>
  <c r="AM1264" i="1"/>
  <c r="AM1263" i="1"/>
  <c r="AM1262" i="1"/>
  <c r="AM1261" i="1"/>
  <c r="AM1260" i="1"/>
  <c r="AM1259" i="1"/>
  <c r="AM1258" i="1"/>
  <c r="AM1257" i="1"/>
  <c r="AM1256" i="1"/>
  <c r="AM1255" i="1"/>
  <c r="AM1254" i="1"/>
  <c r="AM1253" i="1"/>
  <c r="AM1252" i="1"/>
  <c r="AM1251" i="1"/>
  <c r="AM1250" i="1"/>
  <c r="AM1249" i="1"/>
  <c r="AM1248" i="1"/>
  <c r="AM1247" i="1"/>
  <c r="AM1246" i="1"/>
  <c r="AM1245" i="1"/>
  <c r="AM1244" i="1"/>
  <c r="AM1243" i="1"/>
  <c r="AM1242" i="1"/>
  <c r="AM1241" i="1"/>
  <c r="AM1240" i="1"/>
  <c r="AM1239" i="1"/>
  <c r="AM1238" i="1"/>
  <c r="AM1237" i="1"/>
  <c r="AM1236" i="1"/>
  <c r="AM1235" i="1"/>
  <c r="AM1234" i="1"/>
  <c r="AM1233" i="1"/>
  <c r="AM1232" i="1"/>
  <c r="AM1231" i="1"/>
  <c r="AM1230" i="1"/>
  <c r="AM1229" i="1"/>
  <c r="AM1228" i="1"/>
  <c r="AM1227" i="1"/>
  <c r="AM1226" i="1"/>
  <c r="AM1225" i="1"/>
  <c r="AM1224" i="1"/>
  <c r="AM1223" i="1"/>
  <c r="AM1222" i="1"/>
  <c r="AM1221" i="1"/>
  <c r="AM1220" i="1"/>
  <c r="AM1219" i="1"/>
  <c r="AM1218" i="1"/>
  <c r="AM1217" i="1"/>
  <c r="AM1216" i="1"/>
  <c r="AM1215" i="1"/>
  <c r="AM1214" i="1"/>
  <c r="AM1213" i="1"/>
  <c r="AM1212" i="1"/>
  <c r="AM1211" i="1"/>
  <c r="AM1210" i="1"/>
  <c r="AM1209" i="1"/>
  <c r="AM1208" i="1"/>
  <c r="AM1207" i="1"/>
  <c r="AM1206" i="1"/>
  <c r="AM1205" i="1"/>
  <c r="AM1204" i="1"/>
  <c r="AM1203" i="1"/>
  <c r="AM1202" i="1"/>
  <c r="AM1201" i="1"/>
  <c r="AM1200" i="1"/>
  <c r="AM1199" i="1"/>
  <c r="AM1198" i="1"/>
  <c r="AM1197" i="1"/>
  <c r="AM1196" i="1"/>
  <c r="AM1195" i="1"/>
  <c r="AM1194" i="1"/>
  <c r="AM1193" i="1"/>
  <c r="AM1192" i="1"/>
  <c r="AM1191" i="1"/>
  <c r="AM1190" i="1"/>
  <c r="AM1189" i="1"/>
  <c r="AM1188" i="1"/>
  <c r="AM1187" i="1"/>
  <c r="AM1186" i="1"/>
  <c r="AM1185" i="1"/>
  <c r="AM1184" i="1"/>
  <c r="AM1183" i="1"/>
  <c r="AM1182" i="1"/>
  <c r="AM1181" i="1"/>
  <c r="AM1180" i="1"/>
  <c r="AM1179" i="1"/>
  <c r="AM1178" i="1"/>
  <c r="AM1177" i="1"/>
  <c r="AM1176" i="1"/>
  <c r="AM1175" i="1"/>
  <c r="AM1174" i="1"/>
  <c r="AM1173" i="1"/>
  <c r="AM1172" i="1"/>
  <c r="AM1171" i="1"/>
  <c r="AM1170" i="1"/>
  <c r="AM1169" i="1"/>
  <c r="AM1168" i="1"/>
  <c r="AM1167" i="1"/>
  <c r="AM1166" i="1"/>
  <c r="AM1165" i="1"/>
  <c r="AM1164" i="1"/>
  <c r="AM1163" i="1"/>
  <c r="AM1162" i="1"/>
  <c r="AM1161" i="1"/>
  <c r="AM1160" i="1"/>
  <c r="AM1159" i="1"/>
  <c r="AM1158" i="1"/>
  <c r="AM1157" i="1"/>
  <c r="AM1156" i="1"/>
  <c r="AM1155" i="1"/>
  <c r="AM1154" i="1"/>
  <c r="AM1153" i="1"/>
  <c r="AM1152" i="1"/>
  <c r="AM1151" i="1"/>
  <c r="AM1150" i="1"/>
  <c r="AM1149" i="1"/>
  <c r="AM1148" i="1"/>
  <c r="AM1147" i="1"/>
  <c r="AM1146" i="1"/>
  <c r="AM1145" i="1"/>
  <c r="AM1144" i="1"/>
  <c r="AM1143" i="1"/>
  <c r="AM1142" i="1"/>
  <c r="AM1141" i="1"/>
  <c r="AM1140" i="1"/>
  <c r="AM1139" i="1"/>
  <c r="AM1138" i="1"/>
  <c r="AM1137" i="1"/>
  <c r="AM1136" i="1"/>
  <c r="AM1135" i="1"/>
  <c r="AM1134" i="1"/>
  <c r="AM1133" i="1"/>
  <c r="AM1132" i="1"/>
  <c r="AM1131" i="1"/>
  <c r="AM1130" i="1"/>
  <c r="AM1129" i="1"/>
  <c r="AM1128" i="1"/>
  <c r="AM1127" i="1"/>
  <c r="AM1126" i="1"/>
  <c r="AM1125" i="1"/>
  <c r="AM1124" i="1"/>
  <c r="AM1123" i="1"/>
  <c r="AM1122" i="1"/>
  <c r="AM1121" i="1"/>
  <c r="AM1120" i="1"/>
  <c r="AM1119" i="1"/>
  <c r="AM1118" i="1"/>
  <c r="AM1117" i="1"/>
  <c r="AM1116" i="1"/>
  <c r="AM1115" i="1"/>
  <c r="AM1114" i="1"/>
  <c r="AM1113" i="1"/>
  <c r="AM1112" i="1"/>
  <c r="AM1111" i="1"/>
  <c r="AM1110" i="1"/>
  <c r="AM1109" i="1"/>
  <c r="AM1108" i="1"/>
  <c r="AM1107" i="1"/>
  <c r="AM1106" i="1"/>
  <c r="AM1105" i="1"/>
  <c r="AM1104" i="1"/>
  <c r="AM1103" i="1"/>
  <c r="AM1102" i="1"/>
  <c r="AM1101" i="1"/>
  <c r="AM1100" i="1"/>
  <c r="AM1099" i="1"/>
  <c r="AM1098" i="1"/>
  <c r="AM1097" i="1"/>
  <c r="AM1096" i="1"/>
  <c r="AM1095" i="1"/>
  <c r="AM1094" i="1"/>
  <c r="AM1093" i="1"/>
  <c r="AM1092" i="1"/>
  <c r="AM1091" i="1"/>
  <c r="AM1090" i="1"/>
  <c r="AM1089" i="1"/>
  <c r="AM1088" i="1"/>
  <c r="AM1087" i="1"/>
  <c r="AM1086" i="1"/>
  <c r="AM1085" i="1"/>
  <c r="AM1084" i="1"/>
  <c r="AM1083" i="1"/>
  <c r="AM1082" i="1"/>
  <c r="AM1081" i="1"/>
  <c r="AM1080" i="1"/>
  <c r="AM1079" i="1"/>
  <c r="AM1078" i="1"/>
  <c r="AM1077" i="1"/>
  <c r="AM1076" i="1"/>
  <c r="AM1075" i="1"/>
  <c r="AM1074" i="1"/>
  <c r="AM1073" i="1"/>
  <c r="AM1072" i="1"/>
  <c r="AM1071" i="1"/>
  <c r="AM1070" i="1"/>
  <c r="AM1069" i="1"/>
  <c r="AM1068" i="1"/>
  <c r="AM1067" i="1"/>
  <c r="AM1066" i="1"/>
  <c r="AM1065" i="1"/>
  <c r="AM1064" i="1"/>
  <c r="AM1063" i="1"/>
  <c r="AM1062" i="1"/>
  <c r="AM1061" i="1"/>
  <c r="AM1060" i="1"/>
  <c r="AM1059" i="1"/>
  <c r="AM1058" i="1"/>
  <c r="AM1057" i="1"/>
  <c r="AM1056" i="1"/>
  <c r="AM1055" i="1"/>
  <c r="AM1054" i="1"/>
  <c r="AM1053" i="1"/>
  <c r="AM1052" i="1"/>
  <c r="AM1051" i="1"/>
  <c r="AM1050" i="1"/>
  <c r="AM1049" i="1"/>
  <c r="AM1048" i="1"/>
  <c r="AM1047" i="1"/>
  <c r="AM1046" i="1"/>
  <c r="AM1045" i="1"/>
  <c r="AM1044" i="1"/>
  <c r="AM1043" i="1"/>
  <c r="AM1042" i="1"/>
  <c r="AM1041" i="1"/>
  <c r="AM1040" i="1"/>
  <c r="AM1039" i="1"/>
  <c r="AM1038" i="1"/>
  <c r="AM1037" i="1"/>
  <c r="AM1036" i="1"/>
  <c r="AM1035" i="1"/>
  <c r="AM1034" i="1"/>
  <c r="AM1033" i="1"/>
  <c r="AM1032" i="1"/>
  <c r="AM1031" i="1"/>
  <c r="AM1030" i="1"/>
  <c r="AM1029" i="1"/>
  <c r="AM1028" i="1"/>
  <c r="AM1027" i="1"/>
  <c r="AM1026" i="1"/>
  <c r="AM1025" i="1"/>
  <c r="AM1024" i="1"/>
  <c r="AM1023" i="1"/>
  <c r="AM1022" i="1"/>
  <c r="AM1021" i="1"/>
  <c r="AM1020" i="1"/>
  <c r="AM1019" i="1"/>
  <c r="AM1018" i="1"/>
  <c r="AM1017" i="1"/>
  <c r="AM1016" i="1"/>
  <c r="AM1015" i="1"/>
  <c r="AM1014" i="1"/>
  <c r="AM1013" i="1"/>
  <c r="AM1012" i="1"/>
  <c r="AM1011" i="1"/>
  <c r="AM1010" i="1"/>
  <c r="AM1009" i="1"/>
  <c r="AM1008" i="1"/>
  <c r="AM1007" i="1"/>
  <c r="AM1006" i="1"/>
  <c r="AM1005" i="1"/>
  <c r="AM1004" i="1"/>
  <c r="AM1003" i="1"/>
  <c r="AM1002" i="1"/>
  <c r="AM1001" i="1"/>
  <c r="AM1000" i="1"/>
  <c r="AM999" i="1"/>
  <c r="AM998" i="1"/>
  <c r="AM997" i="1"/>
  <c r="AM996" i="1"/>
  <c r="AM995" i="1"/>
  <c r="AM994" i="1"/>
  <c r="AM993" i="1"/>
  <c r="AM992" i="1"/>
  <c r="AM991" i="1"/>
  <c r="AM990" i="1"/>
  <c r="AM989" i="1"/>
  <c r="AM988" i="1"/>
  <c r="AM987" i="1"/>
  <c r="AM986" i="1"/>
  <c r="AM985" i="1"/>
  <c r="AM984" i="1"/>
  <c r="AM983" i="1"/>
  <c r="AM982" i="1"/>
  <c r="AM981" i="1"/>
  <c r="AM980" i="1"/>
  <c r="AM979" i="1"/>
  <c r="AM978" i="1"/>
  <c r="AM977" i="1"/>
  <c r="AM976" i="1"/>
  <c r="AM975" i="1"/>
  <c r="AM974" i="1"/>
  <c r="AM973" i="1"/>
  <c r="AM972" i="1"/>
  <c r="AM971" i="1"/>
  <c r="AM970" i="1"/>
  <c r="AM969" i="1"/>
  <c r="AM968" i="1"/>
  <c r="AM967" i="1"/>
  <c r="AM966" i="1"/>
  <c r="AM965" i="1"/>
  <c r="AM964" i="1"/>
  <c r="AM963" i="1"/>
  <c r="AM962" i="1"/>
  <c r="AM961" i="1"/>
  <c r="AM960" i="1"/>
  <c r="AM959" i="1"/>
  <c r="AM958" i="1"/>
  <c r="AM957" i="1"/>
  <c r="AM956" i="1"/>
  <c r="AM955" i="1"/>
  <c r="AM954" i="1"/>
  <c r="AM953" i="1"/>
  <c r="AM952" i="1"/>
  <c r="AM951" i="1"/>
  <c r="AM950" i="1"/>
  <c r="AM949" i="1"/>
  <c r="AM948" i="1"/>
  <c r="AM947" i="1"/>
  <c r="AM946" i="1"/>
  <c r="AM945" i="1"/>
  <c r="AM944" i="1"/>
  <c r="AM943" i="1"/>
  <c r="AM942" i="1"/>
  <c r="AM941" i="1"/>
  <c r="AM940" i="1"/>
  <c r="AM939" i="1"/>
  <c r="AM938" i="1"/>
  <c r="AM937" i="1"/>
  <c r="AM936" i="1"/>
  <c r="AM935" i="1"/>
  <c r="AM934" i="1"/>
  <c r="AM933" i="1"/>
  <c r="AM932" i="1"/>
  <c r="AM931" i="1"/>
  <c r="AM930" i="1"/>
  <c r="AM929" i="1"/>
  <c r="AM928" i="1"/>
  <c r="AM927" i="1"/>
  <c r="AM926" i="1"/>
  <c r="AM925" i="1"/>
  <c r="AM924" i="1"/>
  <c r="AM923" i="1"/>
  <c r="AM922" i="1"/>
  <c r="AM921" i="1"/>
  <c r="AM920" i="1"/>
  <c r="AM919" i="1"/>
  <c r="AM918" i="1"/>
  <c r="AM917" i="1"/>
  <c r="AM916" i="1"/>
  <c r="AM915" i="1"/>
  <c r="AM914" i="1"/>
  <c r="AM913" i="1"/>
  <c r="AM912" i="1"/>
  <c r="AM911" i="1"/>
  <c r="AM910" i="1"/>
  <c r="AM909" i="1"/>
  <c r="AM908" i="1"/>
  <c r="AM907" i="1"/>
  <c r="AM906" i="1"/>
  <c r="AM905" i="1"/>
  <c r="AM904" i="1"/>
  <c r="AM903" i="1"/>
  <c r="AM902" i="1"/>
  <c r="AM901" i="1"/>
  <c r="AM900" i="1"/>
  <c r="AM899" i="1"/>
  <c r="AM898" i="1"/>
  <c r="AM897" i="1"/>
  <c r="AM896" i="1"/>
  <c r="AM895" i="1"/>
  <c r="AM894" i="1"/>
  <c r="AM893" i="1"/>
  <c r="AM892" i="1"/>
  <c r="AM891" i="1"/>
  <c r="AM890" i="1"/>
  <c r="AM889" i="1"/>
  <c r="AM888" i="1"/>
  <c r="AM887" i="1"/>
  <c r="AM886" i="1"/>
  <c r="AM885" i="1"/>
  <c r="AM884" i="1"/>
  <c r="AM883" i="1"/>
  <c r="AM882" i="1"/>
  <c r="AM881" i="1"/>
  <c r="AM880" i="1"/>
  <c r="AM879" i="1"/>
  <c r="AM878" i="1"/>
  <c r="AM877" i="1"/>
  <c r="AM876" i="1"/>
  <c r="AM875" i="1"/>
  <c r="AM874" i="1"/>
  <c r="AM873" i="1"/>
  <c r="AM872" i="1"/>
  <c r="AM871" i="1"/>
  <c r="AM870" i="1"/>
  <c r="AM869" i="1"/>
  <c r="AM868" i="1"/>
  <c r="AM867" i="1"/>
  <c r="AM866" i="1"/>
  <c r="AM865" i="1"/>
  <c r="AM864" i="1"/>
  <c r="AM863" i="1"/>
  <c r="AM862" i="1"/>
  <c r="AM861" i="1"/>
  <c r="AM860" i="1"/>
  <c r="AM859" i="1"/>
  <c r="AM858" i="1"/>
  <c r="AM857" i="1"/>
  <c r="AM856" i="1"/>
  <c r="AM855" i="1"/>
  <c r="AM854" i="1"/>
  <c r="AM853" i="1"/>
  <c r="AM852" i="1"/>
  <c r="AM851" i="1"/>
  <c r="AM850" i="1"/>
  <c r="AM849" i="1"/>
  <c r="AM848" i="1"/>
  <c r="AM847" i="1"/>
  <c r="AM846" i="1"/>
  <c r="AM845" i="1"/>
  <c r="AM844" i="1"/>
  <c r="AM843" i="1"/>
  <c r="AM842" i="1"/>
  <c r="AM841" i="1"/>
  <c r="AM840" i="1"/>
  <c r="AM839" i="1"/>
  <c r="AM838" i="1"/>
  <c r="AM837" i="1"/>
  <c r="AM836" i="1"/>
  <c r="AM835" i="1"/>
  <c r="AM834" i="1"/>
  <c r="AM833" i="1"/>
  <c r="AM832" i="1"/>
  <c r="AM831" i="1"/>
  <c r="AM830" i="1"/>
  <c r="AM829" i="1"/>
  <c r="AM828" i="1"/>
  <c r="AM827" i="1"/>
  <c r="AM826" i="1"/>
  <c r="AM825" i="1"/>
  <c r="AM824" i="1"/>
  <c r="AM823" i="1"/>
  <c r="AM822" i="1"/>
  <c r="AM821" i="1"/>
  <c r="AM820" i="1"/>
  <c r="AM819" i="1"/>
  <c r="AM818" i="1"/>
  <c r="AM817" i="1"/>
  <c r="AM816" i="1"/>
  <c r="AM815" i="1"/>
  <c r="AM814" i="1"/>
  <c r="AM813" i="1"/>
  <c r="AM812" i="1"/>
  <c r="AM811" i="1"/>
  <c r="AM810" i="1"/>
  <c r="AM809" i="1"/>
  <c r="AM808" i="1"/>
  <c r="AM807" i="1"/>
  <c r="AM806" i="1"/>
  <c r="AM805" i="1"/>
  <c r="AM804" i="1"/>
  <c r="AM803" i="1"/>
  <c r="AM802" i="1"/>
  <c r="AM801" i="1"/>
  <c r="AM800" i="1"/>
  <c r="AM799" i="1"/>
  <c r="AM798" i="1"/>
  <c r="AM797" i="1"/>
  <c r="AM796" i="1"/>
  <c r="AM795" i="1"/>
  <c r="AM794" i="1"/>
  <c r="AM793" i="1"/>
  <c r="AM792" i="1"/>
  <c r="AM791" i="1"/>
  <c r="AM790" i="1"/>
  <c r="AM789" i="1"/>
  <c r="AM788" i="1"/>
  <c r="AM787" i="1"/>
  <c r="AM786" i="1"/>
  <c r="AM785" i="1"/>
  <c r="AM784" i="1"/>
  <c r="AM783" i="1"/>
  <c r="AM782" i="1"/>
  <c r="AM781" i="1"/>
  <c r="AM780" i="1"/>
  <c r="AM779" i="1"/>
  <c r="AM778" i="1"/>
  <c r="AM777" i="1"/>
  <c r="AM776" i="1"/>
  <c r="AM775" i="1"/>
  <c r="AM774" i="1"/>
  <c r="AM773" i="1"/>
  <c r="AM772" i="1"/>
  <c r="AM771" i="1"/>
  <c r="AM770" i="1"/>
  <c r="AM769" i="1"/>
  <c r="AM768" i="1"/>
  <c r="AM767" i="1"/>
  <c r="AM766" i="1"/>
  <c r="AM765" i="1"/>
  <c r="AM764" i="1"/>
  <c r="AM763" i="1"/>
  <c r="AM762" i="1"/>
  <c r="AM761" i="1"/>
  <c r="AM760" i="1"/>
  <c r="AM759" i="1"/>
  <c r="AM758" i="1"/>
  <c r="AM757" i="1"/>
  <c r="AM756" i="1"/>
  <c r="AM755" i="1"/>
  <c r="AM754" i="1"/>
  <c r="AM753" i="1"/>
  <c r="AM752" i="1"/>
  <c r="AM751" i="1"/>
  <c r="AM750" i="1"/>
  <c r="AM749" i="1"/>
  <c r="AM748" i="1"/>
  <c r="AM747" i="1"/>
  <c r="AM746" i="1"/>
  <c r="AM745" i="1"/>
  <c r="AM744" i="1"/>
  <c r="AM743" i="1"/>
  <c r="AM742" i="1"/>
  <c r="AM741" i="1"/>
  <c r="AM740" i="1"/>
  <c r="AM739" i="1"/>
  <c r="AM738" i="1"/>
  <c r="AM737" i="1"/>
  <c r="AM736" i="1"/>
  <c r="AM735" i="1"/>
  <c r="AM734" i="1"/>
  <c r="AM733" i="1"/>
  <c r="AM732" i="1"/>
  <c r="AM731" i="1"/>
  <c r="AM730" i="1"/>
  <c r="AM729" i="1"/>
  <c r="AM728" i="1"/>
  <c r="AM727" i="1"/>
  <c r="AM726" i="1"/>
  <c r="AM725" i="1"/>
  <c r="AM724" i="1"/>
  <c r="AM723" i="1"/>
  <c r="AM722" i="1"/>
  <c r="AM721" i="1"/>
  <c r="AM720" i="1"/>
  <c r="AM719" i="1"/>
  <c r="AM718" i="1"/>
  <c r="AM717" i="1"/>
  <c r="AM716" i="1"/>
  <c r="AM715" i="1"/>
  <c r="AM714" i="1"/>
  <c r="AM713" i="1"/>
  <c r="AM712" i="1"/>
  <c r="AM711" i="1"/>
  <c r="AM710" i="1"/>
  <c r="AM709" i="1"/>
  <c r="AM708" i="1"/>
  <c r="AM707" i="1"/>
  <c r="AM706" i="1"/>
  <c r="AM705" i="1"/>
  <c r="AM704" i="1"/>
  <c r="AM703" i="1"/>
  <c r="AM702" i="1"/>
  <c r="AM701" i="1"/>
  <c r="AM700" i="1"/>
  <c r="AM699" i="1"/>
  <c r="AM698" i="1"/>
  <c r="AM697" i="1"/>
  <c r="AM696" i="1"/>
  <c r="AM695" i="1"/>
  <c r="AM694" i="1"/>
  <c r="AM693" i="1"/>
  <c r="AM692" i="1"/>
  <c r="AM691" i="1"/>
  <c r="AM690" i="1"/>
  <c r="AM689" i="1"/>
  <c r="AM688" i="1"/>
  <c r="AM687" i="1"/>
  <c r="AM686" i="1"/>
  <c r="AM685" i="1"/>
  <c r="AM684" i="1"/>
  <c r="AM683" i="1"/>
  <c r="AM682" i="1"/>
  <c r="AM681" i="1"/>
  <c r="AM680" i="1"/>
  <c r="AM679" i="1"/>
  <c r="AM678" i="1"/>
  <c r="AM677" i="1"/>
  <c r="AM676" i="1"/>
  <c r="AM675" i="1"/>
  <c r="AM674" i="1"/>
  <c r="AM673" i="1"/>
  <c r="AM672" i="1"/>
  <c r="AM671" i="1"/>
  <c r="AM670" i="1"/>
  <c r="AM669" i="1"/>
  <c r="AM668" i="1"/>
  <c r="AM667" i="1"/>
  <c r="AM666" i="1"/>
  <c r="AM665" i="1"/>
  <c r="AM664" i="1"/>
  <c r="AM663" i="1"/>
  <c r="AM662" i="1"/>
  <c r="AM661" i="1"/>
  <c r="AM660" i="1"/>
  <c r="AM659" i="1"/>
  <c r="AM658" i="1"/>
  <c r="AM657" i="1"/>
  <c r="AM656" i="1"/>
  <c r="AM655" i="1"/>
  <c r="AM654" i="1"/>
  <c r="AM653" i="1"/>
  <c r="AM652" i="1"/>
  <c r="AM651" i="1"/>
  <c r="AM650" i="1"/>
  <c r="AM649" i="1"/>
  <c r="AM648" i="1"/>
  <c r="AM647" i="1"/>
  <c r="AM646" i="1"/>
  <c r="AM645" i="1"/>
  <c r="AM644" i="1"/>
  <c r="AM643" i="1"/>
  <c r="AM642" i="1"/>
  <c r="AM641" i="1"/>
  <c r="AM640" i="1"/>
  <c r="AM639" i="1"/>
  <c r="AM638" i="1"/>
  <c r="AM637" i="1"/>
  <c r="AM636" i="1"/>
  <c r="AM635" i="1"/>
  <c r="AM634" i="1"/>
  <c r="AM633" i="1"/>
  <c r="AM632" i="1"/>
  <c r="AM631" i="1"/>
  <c r="AM630" i="1"/>
  <c r="AM629" i="1"/>
  <c r="AM628" i="1"/>
  <c r="AM627" i="1"/>
  <c r="AM626" i="1"/>
  <c r="AM625" i="1"/>
  <c r="AM624" i="1"/>
  <c r="AM623" i="1"/>
  <c r="AM622" i="1"/>
  <c r="AM621" i="1"/>
  <c r="AM620" i="1"/>
  <c r="AM619" i="1"/>
  <c r="AM618" i="1"/>
  <c r="AM617" i="1"/>
  <c r="AM616" i="1"/>
  <c r="AM615" i="1"/>
  <c r="AM614" i="1"/>
  <c r="AM613" i="1"/>
  <c r="AM612" i="1"/>
  <c r="AM611" i="1"/>
  <c r="AM610" i="1"/>
  <c r="AM609" i="1"/>
  <c r="AM608" i="1"/>
  <c r="AM607" i="1"/>
  <c r="AM606" i="1"/>
  <c r="AM605" i="1"/>
  <c r="AM604" i="1"/>
  <c r="AM603" i="1"/>
  <c r="AM602" i="1"/>
  <c r="AM601" i="1"/>
  <c r="AM600" i="1"/>
  <c r="AM599" i="1"/>
  <c r="AM598" i="1"/>
  <c r="AM597" i="1"/>
  <c r="AM596" i="1"/>
  <c r="AM595" i="1"/>
  <c r="AM594" i="1"/>
  <c r="AM593" i="1"/>
  <c r="AM592" i="1"/>
  <c r="AM591" i="1"/>
  <c r="AM590" i="1"/>
  <c r="AM589" i="1"/>
  <c r="AM588" i="1"/>
  <c r="AM587" i="1"/>
  <c r="AM586" i="1"/>
  <c r="AM585" i="1"/>
  <c r="AM584" i="1"/>
  <c r="AM583" i="1"/>
  <c r="AM582" i="1"/>
  <c r="AM581" i="1"/>
  <c r="AM580" i="1"/>
  <c r="AM579" i="1"/>
  <c r="AM578" i="1"/>
  <c r="AM577" i="1"/>
  <c r="AM576" i="1"/>
  <c r="AM575" i="1"/>
  <c r="AM574" i="1"/>
  <c r="AM573" i="1"/>
  <c r="AM572" i="1"/>
  <c r="AM571" i="1"/>
  <c r="AM570" i="1"/>
  <c r="AM569" i="1"/>
  <c r="AM568" i="1"/>
  <c r="AM567" i="1"/>
  <c r="AM566" i="1"/>
  <c r="AM565" i="1"/>
  <c r="AM564" i="1"/>
  <c r="AM563" i="1"/>
  <c r="AM562" i="1"/>
  <c r="AM561" i="1"/>
  <c r="AM560" i="1"/>
  <c r="AM559" i="1"/>
  <c r="AM558" i="1"/>
  <c r="AM557" i="1"/>
  <c r="AM556" i="1"/>
  <c r="AM555" i="1"/>
  <c r="AM554" i="1"/>
  <c r="AM553" i="1"/>
  <c r="AM552" i="1"/>
  <c r="AM551" i="1"/>
  <c r="AM550" i="1"/>
  <c r="AM549" i="1"/>
  <c r="AM548" i="1"/>
  <c r="AM547" i="1"/>
  <c r="AM546" i="1"/>
  <c r="AM545" i="1"/>
  <c r="AM544" i="1"/>
  <c r="AM543" i="1"/>
  <c r="AM542" i="1"/>
  <c r="AM541" i="1"/>
  <c r="AM540" i="1"/>
  <c r="AM539" i="1"/>
  <c r="AM538" i="1"/>
  <c r="AM537" i="1"/>
  <c r="AM536" i="1"/>
  <c r="AM535" i="1"/>
  <c r="AM534" i="1"/>
  <c r="AM533" i="1"/>
  <c r="AM532" i="1"/>
  <c r="AM531" i="1"/>
  <c r="AM530" i="1"/>
  <c r="AM529" i="1"/>
  <c r="AM528" i="1"/>
  <c r="AM527" i="1"/>
  <c r="AM526" i="1"/>
  <c r="AM525" i="1"/>
  <c r="AM524" i="1"/>
  <c r="AM523" i="1"/>
  <c r="AM522" i="1"/>
  <c r="AM521" i="1"/>
  <c r="AM520" i="1"/>
  <c r="AM519" i="1"/>
  <c r="AM518" i="1"/>
  <c r="AM517" i="1"/>
  <c r="AM516" i="1"/>
  <c r="AM515" i="1"/>
  <c r="AM514" i="1"/>
  <c r="AM513" i="1"/>
  <c r="AM512" i="1"/>
  <c r="AM511" i="1"/>
  <c r="AM510" i="1"/>
  <c r="AM509" i="1"/>
  <c r="AM508" i="1"/>
  <c r="AM507" i="1"/>
  <c r="AM506" i="1"/>
  <c r="AM505" i="1"/>
  <c r="AM504" i="1"/>
  <c r="AM503" i="1"/>
  <c r="AM502" i="1"/>
  <c r="AM501" i="1"/>
  <c r="AM500" i="1"/>
  <c r="AM499" i="1"/>
  <c r="AM498" i="1"/>
  <c r="AM497" i="1"/>
  <c r="AM496" i="1"/>
  <c r="AM495" i="1"/>
  <c r="AM494" i="1"/>
  <c r="AM493" i="1"/>
  <c r="AM492" i="1"/>
  <c r="AM491" i="1"/>
  <c r="AM490" i="1"/>
  <c r="AM489" i="1"/>
  <c r="AM488" i="1"/>
  <c r="AM487" i="1"/>
  <c r="AM486" i="1"/>
  <c r="AM485" i="1"/>
  <c r="AM484" i="1"/>
  <c r="AM483" i="1"/>
  <c r="AM482" i="1"/>
  <c r="AM481" i="1"/>
  <c r="AM480" i="1"/>
  <c r="AM479" i="1"/>
  <c r="AM478" i="1"/>
  <c r="AM477" i="1"/>
  <c r="AM476" i="1"/>
  <c r="AM475" i="1"/>
  <c r="AM474" i="1"/>
  <c r="AM473" i="1"/>
  <c r="AM472" i="1"/>
  <c r="AM471" i="1"/>
  <c r="AM470" i="1"/>
  <c r="AM469" i="1"/>
  <c r="AM468" i="1"/>
  <c r="AM467" i="1"/>
  <c r="AM466" i="1"/>
  <c r="AM465" i="1"/>
  <c r="AM464" i="1"/>
  <c r="AM463" i="1"/>
  <c r="AM462" i="1"/>
  <c r="AM461" i="1"/>
  <c r="AM460" i="1"/>
  <c r="AM459" i="1"/>
  <c r="AM458" i="1"/>
  <c r="AM457" i="1"/>
  <c r="AM456" i="1"/>
  <c r="AM455" i="1"/>
  <c r="AM454" i="1"/>
  <c r="AM453" i="1"/>
  <c r="AM452" i="1"/>
  <c r="AM451" i="1"/>
  <c r="AM450" i="1"/>
  <c r="AM449" i="1"/>
  <c r="AM448" i="1"/>
  <c r="AM447" i="1"/>
  <c r="AM446" i="1"/>
  <c r="AM445" i="1"/>
  <c r="AM444" i="1"/>
  <c r="AM443" i="1"/>
  <c r="AM442" i="1"/>
  <c r="AM441" i="1"/>
  <c r="AM440" i="1"/>
  <c r="AM439" i="1"/>
  <c r="AM438" i="1"/>
  <c r="AM437" i="1"/>
  <c r="AM436" i="1"/>
  <c r="AM435" i="1"/>
  <c r="AM434" i="1"/>
  <c r="AM433" i="1"/>
  <c r="AM432" i="1"/>
  <c r="AM431" i="1"/>
  <c r="AM430" i="1"/>
  <c r="AM429" i="1"/>
  <c r="AM428" i="1"/>
  <c r="AM427" i="1"/>
  <c r="AM426" i="1"/>
  <c r="AM425" i="1"/>
  <c r="AM424" i="1"/>
  <c r="AM423" i="1"/>
  <c r="AM422" i="1"/>
  <c r="AM421" i="1"/>
  <c r="AM420" i="1"/>
  <c r="AM419" i="1"/>
  <c r="AM418" i="1"/>
  <c r="AM417" i="1"/>
  <c r="AM416" i="1"/>
  <c r="AM415" i="1"/>
  <c r="AM414" i="1"/>
  <c r="AM413" i="1"/>
  <c r="AM412" i="1"/>
  <c r="AM411" i="1"/>
  <c r="AM410" i="1"/>
  <c r="AM409" i="1"/>
  <c r="AM408" i="1"/>
  <c r="AM407" i="1"/>
  <c r="AM406" i="1"/>
  <c r="AM405" i="1"/>
  <c r="AM404" i="1"/>
  <c r="AM403" i="1"/>
  <c r="AM402" i="1"/>
  <c r="AM401" i="1"/>
  <c r="AM400" i="1"/>
  <c r="AM399" i="1"/>
  <c r="AM398" i="1"/>
  <c r="AM397" i="1"/>
  <c r="AM396" i="1"/>
  <c r="AM395" i="1"/>
  <c r="AM394" i="1"/>
  <c r="AM393" i="1"/>
  <c r="AM392" i="1"/>
  <c r="AM391" i="1"/>
  <c r="AM390" i="1"/>
  <c r="AM389" i="1"/>
  <c r="AM388" i="1"/>
  <c r="AM387" i="1"/>
  <c r="AM386" i="1"/>
  <c r="AM385" i="1"/>
  <c r="AM384" i="1"/>
  <c r="AM383" i="1"/>
  <c r="AM382" i="1"/>
  <c r="AM381" i="1"/>
  <c r="AM380" i="1"/>
  <c r="AM379" i="1"/>
  <c r="AM378" i="1"/>
  <c r="AM377" i="1"/>
  <c r="AM376" i="1"/>
  <c r="AM375" i="1"/>
  <c r="AM374" i="1"/>
  <c r="AM373" i="1"/>
  <c r="AM372" i="1"/>
  <c r="AM371" i="1"/>
  <c r="AM370" i="1"/>
  <c r="AM369" i="1"/>
  <c r="AM368" i="1"/>
  <c r="AM367" i="1"/>
  <c r="AM366" i="1"/>
  <c r="AM365" i="1"/>
  <c r="AM364" i="1"/>
  <c r="AM363" i="1"/>
  <c r="AM362" i="1"/>
  <c r="AM361" i="1"/>
  <c r="AM360" i="1"/>
  <c r="AM359" i="1"/>
  <c r="AM358" i="1"/>
  <c r="AM357" i="1"/>
  <c r="AM356" i="1"/>
  <c r="AM355" i="1"/>
  <c r="AM354" i="1"/>
  <c r="AM353" i="1"/>
  <c r="AM352" i="1"/>
  <c r="AM351" i="1"/>
  <c r="AM350" i="1"/>
  <c r="AM349" i="1"/>
  <c r="AM348" i="1"/>
  <c r="AM347" i="1"/>
  <c r="AM346" i="1"/>
  <c r="AM345" i="1"/>
  <c r="AM344" i="1"/>
  <c r="AM343" i="1"/>
  <c r="AM342" i="1"/>
  <c r="AM341" i="1"/>
  <c r="AM340" i="1"/>
  <c r="AM339" i="1"/>
  <c r="AM338" i="1"/>
  <c r="AM337" i="1"/>
  <c r="AM336" i="1"/>
  <c r="AM335" i="1"/>
  <c r="AM334" i="1"/>
  <c r="AM333" i="1"/>
  <c r="AM332" i="1"/>
  <c r="AM331" i="1"/>
  <c r="AM330" i="1"/>
  <c r="AM329" i="1"/>
  <c r="AM328" i="1"/>
  <c r="AM327" i="1"/>
  <c r="AM326" i="1"/>
  <c r="AM325" i="1"/>
  <c r="AM324" i="1"/>
  <c r="AM323" i="1"/>
  <c r="AM322" i="1"/>
  <c r="AM321" i="1"/>
  <c r="AM320" i="1"/>
  <c r="AM319" i="1"/>
  <c r="AM318" i="1"/>
  <c r="AM317" i="1"/>
  <c r="AM316" i="1"/>
  <c r="AM315" i="1"/>
  <c r="AM314" i="1"/>
  <c r="AM313" i="1"/>
  <c r="AM312" i="1"/>
  <c r="AM311" i="1"/>
  <c r="AM310" i="1"/>
  <c r="AM309" i="1"/>
  <c r="AM308" i="1"/>
  <c r="AM307" i="1"/>
  <c r="AM306" i="1"/>
  <c r="AM305" i="1"/>
  <c r="AM304" i="1"/>
  <c r="AM303" i="1"/>
  <c r="AM302" i="1"/>
  <c r="AM301" i="1"/>
  <c r="AM300" i="1"/>
  <c r="AM299" i="1"/>
  <c r="AM298" i="1"/>
  <c r="AM297" i="1"/>
  <c r="AM296" i="1"/>
  <c r="AM295" i="1"/>
  <c r="AM294" i="1"/>
  <c r="AM293" i="1"/>
  <c r="AM292" i="1"/>
  <c r="AM291" i="1"/>
  <c r="AM290" i="1"/>
  <c r="AM289" i="1"/>
  <c r="AM288" i="1"/>
  <c r="AM287" i="1"/>
  <c r="AM286" i="1"/>
  <c r="AM285" i="1"/>
  <c r="AM284" i="1"/>
  <c r="AM283" i="1"/>
  <c r="AM282" i="1"/>
  <c r="AM281" i="1"/>
  <c r="AM280" i="1"/>
  <c r="AM279" i="1"/>
  <c r="AM278" i="1"/>
  <c r="AM277" i="1"/>
  <c r="AM276" i="1"/>
  <c r="AM275" i="1"/>
  <c r="AM274" i="1"/>
  <c r="AM273" i="1"/>
  <c r="AM272" i="1"/>
  <c r="AM271" i="1"/>
  <c r="AM270" i="1"/>
  <c r="AM269" i="1"/>
  <c r="AM268" i="1"/>
  <c r="AM267" i="1"/>
  <c r="AM266" i="1"/>
  <c r="AM265" i="1"/>
  <c r="AM264" i="1"/>
  <c r="AM263" i="1"/>
  <c r="AM262" i="1"/>
  <c r="AM261" i="1"/>
  <c r="AM260" i="1"/>
  <c r="AM259" i="1"/>
  <c r="AM258" i="1"/>
  <c r="AM257" i="1"/>
  <c r="AM256" i="1"/>
  <c r="AM255" i="1"/>
  <c r="AM254" i="1"/>
  <c r="AM253" i="1"/>
  <c r="AM252" i="1"/>
  <c r="AM251" i="1"/>
  <c r="AM250" i="1"/>
  <c r="AM249" i="1"/>
  <c r="AM248" i="1"/>
  <c r="AM247" i="1"/>
  <c r="AM246" i="1"/>
  <c r="AM245" i="1"/>
  <c r="AM244" i="1"/>
  <c r="AM243" i="1"/>
  <c r="AM242" i="1"/>
  <c r="AM241" i="1"/>
  <c r="AM240" i="1"/>
  <c r="AM239" i="1"/>
  <c r="AM238" i="1"/>
  <c r="AM237" i="1"/>
  <c r="AM236" i="1"/>
  <c r="AM235" i="1"/>
  <c r="AM234" i="1"/>
  <c r="AM233" i="1"/>
  <c r="AM232" i="1"/>
  <c r="AM231" i="1"/>
  <c r="AM230" i="1"/>
  <c r="AM229" i="1"/>
  <c r="AM228" i="1"/>
  <c r="AM227" i="1"/>
  <c r="AM226" i="1"/>
  <c r="AM225" i="1"/>
  <c r="AM224" i="1"/>
  <c r="AM223" i="1"/>
  <c r="AM222" i="1"/>
  <c r="AM221" i="1"/>
  <c r="AM220" i="1"/>
  <c r="AM219" i="1"/>
  <c r="AM218" i="1"/>
  <c r="AM217" i="1"/>
  <c r="AM216" i="1"/>
  <c r="AM215" i="1"/>
  <c r="AM214" i="1"/>
  <c r="AM213" i="1"/>
  <c r="AM212" i="1"/>
  <c r="AM211" i="1"/>
  <c r="AM210" i="1"/>
  <c r="AM209" i="1"/>
  <c r="AM208" i="1"/>
  <c r="AM207" i="1"/>
  <c r="AM206" i="1"/>
  <c r="AM205" i="1"/>
  <c r="AM204" i="1"/>
  <c r="AM203" i="1"/>
  <c r="AM202" i="1"/>
  <c r="AM201" i="1"/>
  <c r="AM200" i="1"/>
  <c r="AM199" i="1"/>
  <c r="AM198" i="1"/>
  <c r="AM197" i="1"/>
  <c r="AM196" i="1"/>
  <c r="AM195" i="1"/>
  <c r="AM194" i="1"/>
  <c r="AM193" i="1"/>
  <c r="AM192" i="1"/>
  <c r="AM191" i="1"/>
  <c r="AM190" i="1"/>
  <c r="AM189" i="1"/>
  <c r="AM188" i="1"/>
  <c r="AM187" i="1"/>
  <c r="AM186" i="1"/>
  <c r="AM185" i="1"/>
  <c r="AM184" i="1"/>
  <c r="AM183" i="1"/>
  <c r="AM182" i="1"/>
  <c r="AM181" i="1"/>
  <c r="AM180" i="1"/>
  <c r="AM179" i="1"/>
  <c r="AM178" i="1"/>
  <c r="AM177" i="1"/>
  <c r="AM176" i="1"/>
  <c r="AM175" i="1"/>
  <c r="AM174" i="1"/>
  <c r="AM173" i="1"/>
  <c r="AM172" i="1"/>
  <c r="AM171" i="1"/>
  <c r="AM170" i="1"/>
  <c r="AM169" i="1"/>
  <c r="AM168" i="1"/>
  <c r="AM167" i="1"/>
  <c r="AM166" i="1"/>
  <c r="AM165" i="1"/>
  <c r="AM164" i="1"/>
  <c r="AM163" i="1"/>
  <c r="AM162" i="1"/>
  <c r="AM161" i="1"/>
  <c r="AM160" i="1"/>
  <c r="AM159" i="1"/>
  <c r="AM158" i="1"/>
  <c r="AM157" i="1"/>
  <c r="AM156" i="1"/>
  <c r="AM155" i="1"/>
  <c r="AM154" i="1"/>
  <c r="AM153" i="1"/>
  <c r="AM152" i="1"/>
  <c r="AM151" i="1"/>
  <c r="AM150" i="1"/>
  <c r="AM149" i="1"/>
  <c r="AM148" i="1"/>
  <c r="AM147" i="1"/>
  <c r="AM146" i="1"/>
  <c r="AM145" i="1"/>
  <c r="AM144" i="1"/>
  <c r="AM143" i="1"/>
  <c r="AM142" i="1"/>
  <c r="AM141" i="1"/>
  <c r="AM140" i="1"/>
  <c r="AM139" i="1"/>
  <c r="AM138" i="1"/>
  <c r="AM137" i="1"/>
  <c r="AM136" i="1"/>
  <c r="AM135" i="1"/>
  <c r="AM134" i="1"/>
  <c r="AM133" i="1"/>
  <c r="AM132" i="1"/>
  <c r="AM131" i="1"/>
  <c r="AM130" i="1"/>
  <c r="AM129" i="1"/>
  <c r="AM128" i="1"/>
  <c r="AM127" i="1"/>
  <c r="AM126" i="1"/>
  <c r="AM125" i="1"/>
  <c r="AM124" i="1"/>
  <c r="AM123" i="1"/>
  <c r="AM122" i="1"/>
  <c r="AM121" i="1"/>
  <c r="AM120" i="1"/>
  <c r="AM119" i="1"/>
  <c r="AM118" i="1"/>
  <c r="AM117" i="1"/>
  <c r="AM116" i="1"/>
  <c r="AM115" i="1"/>
  <c r="AM114" i="1"/>
  <c r="AM113" i="1"/>
  <c r="AM112" i="1"/>
  <c r="AM111" i="1"/>
  <c r="AM110" i="1"/>
  <c r="AM109" i="1"/>
  <c r="AM108" i="1"/>
  <c r="AM107" i="1"/>
  <c r="AM106" i="1"/>
  <c r="AM105" i="1"/>
  <c r="AM104" i="1"/>
  <c r="AM103" i="1"/>
  <c r="AM102" i="1"/>
  <c r="AM101" i="1"/>
  <c r="AM100" i="1"/>
  <c r="AM99" i="1"/>
  <c r="AM98" i="1"/>
  <c r="AM97" i="1"/>
  <c r="AM96" i="1"/>
  <c r="AM95" i="1"/>
  <c r="AM94" i="1"/>
  <c r="AM93" i="1"/>
  <c r="AM92" i="1"/>
  <c r="AM91" i="1"/>
  <c r="AM90" i="1"/>
  <c r="AM89" i="1"/>
  <c r="AM88" i="1"/>
  <c r="AM87" i="1"/>
  <c r="AM86" i="1"/>
  <c r="AM85" i="1"/>
  <c r="AM84" i="1"/>
  <c r="AM83" i="1"/>
  <c r="AM82" i="1"/>
  <c r="AM81" i="1"/>
  <c r="AM80" i="1"/>
  <c r="AM79" i="1"/>
  <c r="AM78" i="1"/>
  <c r="AM77" i="1"/>
  <c r="AM76" i="1"/>
  <c r="AM75" i="1"/>
  <c r="AM74" i="1"/>
  <c r="AM73" i="1"/>
  <c r="AM72" i="1"/>
  <c r="AM71" i="1"/>
  <c r="AM70" i="1"/>
  <c r="AM69" i="1"/>
  <c r="AM68" i="1"/>
  <c r="AM67" i="1"/>
  <c r="AM66" i="1"/>
  <c r="AM65" i="1"/>
  <c r="AM64" i="1"/>
  <c r="AM63" i="1"/>
  <c r="AM62" i="1"/>
  <c r="AM61" i="1"/>
  <c r="AM60" i="1"/>
  <c r="AM59" i="1"/>
  <c r="AM58" i="1"/>
  <c r="AM57" i="1"/>
  <c r="AM56" i="1"/>
  <c r="AM55" i="1"/>
  <c r="AM54" i="1"/>
  <c r="AM53" i="1"/>
  <c r="AM52" i="1"/>
  <c r="AM51" i="1"/>
  <c r="AM50" i="1"/>
  <c r="AM49" i="1"/>
  <c r="AM48" i="1"/>
  <c r="AM47" i="1"/>
  <c r="AM46" i="1"/>
  <c r="AM45" i="1"/>
  <c r="AM44" i="1"/>
  <c r="AM43" i="1"/>
  <c r="AM42" i="1"/>
  <c r="AM41" i="1"/>
  <c r="AM40" i="1"/>
  <c r="AM39" i="1"/>
  <c r="AM38" i="1"/>
  <c r="AM37" i="1"/>
  <c r="AM36" i="1"/>
  <c r="AM35" i="1"/>
  <c r="AM34" i="1"/>
  <c r="AM33" i="1"/>
  <c r="AM32" i="1"/>
  <c r="AM31" i="1"/>
  <c r="AM30" i="1"/>
  <c r="AM29" i="1"/>
  <c r="AM28" i="1"/>
  <c r="AM27" i="1"/>
  <c r="AM26" i="1"/>
  <c r="AM25" i="1"/>
  <c r="AM24" i="1"/>
  <c r="AM23" i="1"/>
  <c r="AM22" i="1"/>
  <c r="AM21" i="1"/>
  <c r="AM20" i="1"/>
  <c r="AM19" i="1"/>
  <c r="AM18" i="1"/>
  <c r="AM17" i="1"/>
  <c r="AM16" i="1"/>
  <c r="AM15" i="1"/>
  <c r="AM14" i="1"/>
  <c r="AM13" i="1"/>
  <c r="AM12" i="1"/>
  <c r="AM11" i="1"/>
  <c r="AM10" i="1"/>
  <c r="AM9" i="1"/>
  <c r="AM8" i="1"/>
  <c r="AM7" i="1"/>
  <c r="AM6" i="1"/>
  <c r="AM5" i="1"/>
  <c r="AM4" i="1"/>
  <c r="AM3" i="1"/>
  <c r="D9" i="5"/>
  <c r="C9" i="5"/>
  <c r="B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<sst xmlns="http://schemas.openxmlformats.org/spreadsheetml/2006/main" count="13326" uniqueCount="88">
  <si>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</si>
  <si>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</si>
  <si>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</si>
  <si>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</si>
  <si>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</si>
  <si>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</si>
  <si>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</si>
  <si>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</si>
  <si>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</si>
  <si>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</si>
  <si>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</si>
  <si>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</si>
  <si>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</si>
  <si>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</si>
  <si>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</si>
  <si>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</si>
  <si>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</si>
  <si>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</si>
  <si>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</si>
  <si>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</si>
  <si>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</si>
  <si>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</si>
  <si>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</si>
  <si>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</si>
  <si>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</si>
  <si>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</si>
  <si>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</si>
  <si>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</si>
  <si>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</si>
  <si>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</si>
  <si>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</si>
  <si>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</si>
  <si>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</si>
  <si>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</si>
  <si>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</si>
  <si>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</si>
  <si>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</si>
  <si>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</si>
  <si>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</si>
  <si>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</si>
  <si>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</si>
  <si>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</si>
  <si>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</si>
  <si>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</si>
  <si>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</si>
  <si>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</si>
  <si>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</si>
  <si>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</si>
  <si>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</si>
  <si>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</si>
  <si>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</si>
  <si>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</si>
  <si>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</si>
  <si>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</si>
  <si>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</si>
  <si>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</si>
  <si>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</si>
  <si>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</si>
  <si>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</si>
  <si>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</si>
  <si>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</si>
  <si>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</si>
  <si>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AttritionValue</t>
  </si>
  <si>
    <t>JobSatisfaction_Label</t>
  </si>
  <si>
    <t>Row Labels</t>
  </si>
  <si>
    <t>Grand Total</t>
  </si>
  <si>
    <t>Sum of AttritionValue</t>
  </si>
  <si>
    <t>Sum of EmployeeCount</t>
  </si>
  <si>
    <t>Average of AttritionValue</t>
  </si>
  <si>
    <t>TenureBand</t>
  </si>
  <si>
    <t>0-2 years</t>
  </si>
  <si>
    <t>10+ years</t>
  </si>
  <si>
    <t>3-5 years</t>
  </si>
  <si>
    <t>6-10 years</t>
  </si>
  <si>
    <t>High</t>
  </si>
  <si>
    <t>Low</t>
  </si>
  <si>
    <t>Medium</t>
  </si>
  <si>
    <t>Very High</t>
  </si>
  <si>
    <t>AgeGroup</t>
  </si>
  <si>
    <t>30-40</t>
  </si>
  <si>
    <t>41-50</t>
  </si>
  <si>
    <t>Over 50</t>
  </si>
  <si>
    <t>Under 30</t>
  </si>
  <si>
    <t>Total Employees</t>
  </si>
  <si>
    <t>Average of AttritionValue2</t>
  </si>
  <si>
    <t>Values to show</t>
  </si>
  <si>
    <t>Number of Leavers</t>
  </si>
  <si>
    <t>Overall 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</si>
</sst>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0" fontId="0" fillId="0" borderId="0" xfId="1" applyNumberFormat="1" applyFont="1"/>
    <xf numFmtId="9" fontId="0" fillId="0" borderId="0" xfId="0" applyNumberFormat="1"/>
    <xf numFmtId="0" fontId="16"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
    <dxf>
      <fill>
        <patternFill>
          <bgColor rgb="FF5A2D82"/>
        </patternFill>
      </fill>
    </dxf>
    <dxf>
      <font>
        <color auto="1"/>
      </font>
      <fill>
        <patternFill>
          <fgColor auto="1"/>
          <bgColor rgb="FF7030A0"/>
        </patternFill>
      </fill>
      <border diagonalUp="0" diagonalDown="0">
        <left/>
        <right/>
        <top/>
        <bottom/>
        <vertical/>
        <horizontal/>
      </border>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4" xr9:uid="{CA4A6E30-B8FC-455B-BE17-53F66F5A8D81}">
      <tableStyleElement type="wholeTable" dxfId="0"/>
    </tableStyle>
    <tableStyle name="Slicer Style 2" pivot="0" table="0" count="3" xr9:uid="{58132997-3F95-4B48-AC84-075382034DA3}">
      <tableStyleElement type="wholeTable" dxfId="1"/>
    </tableStyle>
  </tableStyles>
  <colors>
    <mruColors>
      <color rgb="FFE6E6FA"/>
      <color rgb="FF5A2D82"/>
      <color rgb="FF2C7A7B"/>
      <color rgb="FFFFFFF0"/>
      <color rgb="FFB3E0DC"/>
      <color rgb="FF81CDC6"/>
      <color rgb="FF008080"/>
      <color rgb="FF66FF99"/>
      <color rgb="FF2D3748"/>
      <color rgb="FF990033"/>
    </mruColors>
  </colors>
  <extLst>
    <ext xmlns:x14="http://schemas.microsoft.com/office/spreadsheetml/2009/9/main" uri="{46F421CA-312F-682f-3DD2-61675219B42D}">
      <x14:dxfs count="8">
        <dxf>
          <fill>
            <patternFill>
              <bgColor rgb="FFE6E6FA"/>
            </patternFill>
          </fill>
        </dxf>
        <dxf>
          <fill>
            <patternFill>
              <bgColor rgb="FFE6E6FA"/>
            </patternFill>
          </fill>
        </dxf>
        <dxf>
          <fill>
            <patternFill>
              <bgColor theme="0" tint="-0.24994659260841701"/>
            </patternFill>
          </fill>
        </dxf>
        <dxf>
          <fill>
            <patternFill>
              <bgColor rgb="FF5A2D82"/>
            </patternFill>
          </fill>
        </dxf>
        <dxf>
          <fill>
            <patternFill>
              <bgColor theme="0" tint="-0.24994659260841701"/>
            </patternFill>
          </fill>
        </dxf>
        <dxf>
          <fill>
            <patternFill>
              <bgColor rgb="FF5A2D82"/>
            </patternFill>
          </fill>
        </dxf>
        <dxf>
          <fill>
            <patternFill>
              <bgColor theme="0" tint="-0.14996795556505021"/>
            </patternFill>
          </fill>
        </dxf>
        <dxf>
          <fill>
            <patternFill>
              <fgColor auto="1"/>
              <bgColor rgb="FFE6E6FA"/>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 name="Slicer Style 2">
          <x14:slicerStyleElements>
            <x14:slicerStyleElement type="unselectedItemWithData" dxfId="6"/>
            <x14:slicerStyleElement type="selectedItemWithData" dxfId="7"/>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[HR-Employee-Attrition.xlsx]Pivots!PivotTable6</c:name>
    <c:fmtId val="2"/>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400" b="1" i="0" u="none" strike="noStrike" kern="1200" baseline="0">
                <a:solidFill>
                  <a:schemeClr val="tx1"/>
                </a:solidFill>
                <a:latin typeface="+mn-lt"/>
                <a:ea typeface="+mn-ea"/>
                <a:cs typeface="+mn-cs"/>
              </a:rPr>
              <a:t>Attrition Rate by Job Satisfaction</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A2D8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Pivots!$B$48</c:f>
              <c:strCache>
                <c:ptCount val="1"/>
                <c:pt idx="0">
                  <c:v>Total</c:v>
                </c:pt>
              </c:strCache>
            </c:strRef>
          </c:tx>
          <c:spPr>
            <a:solidFill>
              <a:srgbClr val="5A2D82"/>
            </a:solidFill>
            <a:ln>
              <a:noFill/>
            </a:ln>
            <a:effectLst/>
          </c:spPr>
          <c:invertIfNegative val="0"/>
          <c:cat>
            <c:strRef>
              <c:f>Pivots!$A$49:$A$53</c:f>
              <c:strCache>
                <c:ptCount val="4"/>
                <c:pt idx="0">
                  <c:v>Low</c:v>
                </c:pt>
                <c:pt idx="1">
                  <c:v>Medium</c:v>
                </c:pt>
                <c:pt idx="2">
                  <c:v>High</c:v>
                </c:pt>
                <c:pt idx="3">
                  <c:v>Very High</c:v>
                </c:pt>
              </c:strCache>
            </c:strRef>
          </c:cat>
          <c:val>
            <c:numRef>
              <c:f>Pivots!$B$49:$B$53</c:f>
              <c:numCache>
                <c:formatCode>0.00%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0-EBA9-45D7-8D66-4C2D82E19DD0}"/>
            </c:ext>
          </c:extLst>
        </c:ser>
        <c:dLbls>
          <c:showLegendKey val="0"/>
          <c:showVal val="0"/>
          <c:showCatName val="0"/>
          <c:showSerName val="0"/>
          <c:showPercent val="0"/>
          <c:showBubbleSize val="0"/>
        </c:dLbls>
        <c:gapWidth val="219"/>
        <c:overlap val="-27"/>
        <c:axId val="1983662912"/>
        <c:axId val="1932098896"/>
      </c:barChart>
      <c:catAx>
        <c:axId val="198366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32098896"/>
        <c:crosses val="autoZero"/>
        <c:auto val="1"/>
        <c:lblAlgn val="ctr"/>
        <c:lblOffset val="100"/>
        <c:noMultiLvlLbl val="0"/>
      </c:catAx>
      <c:valAx>
        <c:axId val="1932098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8366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[HR-Employee-Attrition.xlsx]Pivots!PivotTable7</c:name>
    <c:fmtId val="2"/>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400" b="1" i="0" u="none" strike="noStrike" kern="1200" baseline="0">
                <a:solidFill>
                  <a:schemeClr val="tx1"/>
                </a:solidFill>
                <a:latin typeface="+mn-lt"/>
                <a:ea typeface="+mn-ea"/>
                <a:cs typeface="+mn-cs"/>
              </a:rPr>
              <a:t>Attrition Rate by Age Group</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A2D8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Pivots!$B$57</c:f>
              <c:strCache>
                <c:ptCount val="1"/>
                <c:pt idx="0">
                  <c:v>Total</c:v>
                </c:pt>
              </c:strCache>
            </c:strRef>
          </c:tx>
          <c:spPr>
            <a:solidFill>
              <a:srgbClr val="5A2D82"/>
            </a:solidFill>
            <a:ln>
              <a:noFill/>
            </a:ln>
            <a:effectLst/>
          </c:spPr>
          <c:invertIfNegative val="0"/>
          <c:cat>
            <c:strRef>
              <c:f>Pivots!$A$58:$A$62</c:f>
              <c:strCache>
                <c:ptCount val="4"/>
                <c:pt idx="0">
                  <c:v>Under 30</c:v>
                </c:pt>
                <c:pt idx="1">
                  <c:v>30-40</c:v>
                </c:pt>
                <c:pt idx="2">
                  <c:v>41-50</c:v>
                </c:pt>
                <c:pt idx="3">
                  <c:v>Over 50</c:v>
                </c:pt>
              </c:strCache>
            </c:strRef>
          </c:cat>
          <c:val>
            <c:numRef>
              <c:f>Pivots!$B$58:$B$62</c:f>
              <c:numCache>
                <c:formatCode>0.00%</c:formatCode>
                <c:ptCount val="4"/>
                <c:pt idx="0">
                  <c:v>0.27914110429447853</c:v>
                </c:pt>
                <c:pt idx="1">
                  <c:v>0.13843888070692195</c:v>
                </c:pt>
                <c:pt idx="2">
                  <c:v>0.10559006211180125</c:v>
                </c:pt>
                <c:pt idx="3">
                  <c:v>0.12587412587412589</c:v>
                </c:pt>
              </c:numCache>
            </c:numRef>
          </c:val>
          <c:extLst>
            <c:ext xmlns:c16="http://schemas.microsoft.com/office/drawing/2014/chart" uri="{C3380CC4-5D6E-409C-BE32-E72D297353CC}">
              <c16:uniqueId val="{00000000-9B96-4261-9B30-9CEBA2CE2C9B}"/>
            </c:ext>
          </c:extLst>
        </c:ser>
        <c:dLbls>
          <c:showLegendKey val="0"/>
          <c:showVal val="0"/>
          <c:showCatName val="0"/>
          <c:showSerName val="0"/>
          <c:showPercent val="0"/>
          <c:showBubbleSize val="0"/>
        </c:dLbls>
        <c:gapWidth val="219"/>
        <c:overlap val="-27"/>
        <c:axId val="540981600"/>
        <c:axId val="1932144016"/>
      </c:barChart>
      <c:catAx>
        <c:axId val="54098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32144016"/>
        <c:crosses val="autoZero"/>
        <c:auto val="1"/>
        <c:lblAlgn val="ctr"/>
        <c:lblOffset val="100"/>
        <c:noMultiLvlLbl val="0"/>
      </c:catAx>
      <c:valAx>
        <c:axId val="193214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4098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[HR-Employee-Attrition.xlsx]Pivots!PivotTable2</c:name>
    <c:fmtId val="3"/>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400" b="1" i="0" u="none" strike="noStrike" kern="1200" baseline="0">
                <a:solidFill>
                  <a:schemeClr val="tx1"/>
                </a:solidFill>
                <a:latin typeface="+mn-lt"/>
                <a:ea typeface="+mn-ea"/>
                <a:cs typeface="+mn-cs"/>
              </a:rPr>
              <a:t>Attrition Rate by Department</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2D8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Pivots!$B$10</c:f>
              <c:strCache>
                <c:ptCount val="1"/>
                <c:pt idx="0">
                  <c:v>Total</c:v>
                </c:pt>
              </c:strCache>
            </c:strRef>
          </c:tx>
          <c:spPr>
            <a:solidFill>
              <a:srgbClr val="5A2D82"/>
            </a:solidFill>
            <a:ln>
              <a:noFill/>
            </a:ln>
            <a:effectLst/>
          </c:spPr>
          <c:invertIfNegative val="0"/>
          <c:cat>
            <c:strRef>
              <c:f>Pivots!$A$11:$A$14</c:f>
              <c:strCache>
                <c:ptCount val="3"/>
                <c:pt idx="0">
                  <c:v>Human Resources</c:v>
                </c:pt>
                <c:pt idx="1">
                  <c:v>Research &amp; Development</c:v>
                </c:pt>
                <c:pt idx="2">
                  <c:v>Sales</c:v>
                </c:pt>
              </c:strCache>
            </c:strRef>
          </c:cat>
          <c:val>
            <c:numRef>
              <c:f>Pivots!$B$11:$B$14</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5A0B-41D9-B329-08CED51683FC}"/>
            </c:ext>
          </c:extLst>
        </c:ser>
        <c:dLbls>
          <c:showLegendKey val="0"/>
          <c:showVal val="0"/>
          <c:showCatName val="0"/>
          <c:showSerName val="0"/>
          <c:showPercent val="0"/>
          <c:showBubbleSize val="0"/>
        </c:dLbls>
        <c:gapWidth val="219"/>
        <c:overlap val="-27"/>
        <c:axId val="2075954144"/>
        <c:axId val="1932134896"/>
      </c:barChart>
      <c:catAx>
        <c:axId val="20759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32134896"/>
        <c:crosses val="autoZero"/>
        <c:auto val="1"/>
        <c:lblAlgn val="ctr"/>
        <c:lblOffset val="100"/>
        <c:noMultiLvlLbl val="0"/>
      </c:catAx>
      <c:valAx>
        <c:axId val="1932134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7595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[HR-Employee-Attrition.xlsx]Pivots!PivotTable3</c:name>
    <c:fmtId val="3"/>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b="1" i="0" u="none" strike="noStrike" kern="1200" baseline="0">
                <a:solidFill>
                  <a:schemeClr val="tx1"/>
                </a:solidFill>
                <a:latin typeface="+mn-lt"/>
                <a:ea typeface="+mn-ea"/>
                <a:cs typeface="+mn-cs"/>
              </a:rPr>
              <a:t>Attrition Rate by Job Role</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2D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Pivots!$B$18</c:f>
              <c:strCache>
                <c:ptCount val="1"/>
                <c:pt idx="0">
                  <c:v>Total</c:v>
                </c:pt>
              </c:strCache>
            </c:strRef>
          </c:tx>
          <c:spPr>
            <a:solidFill>
              <a:srgbClr val="5A2D82"/>
            </a:solidFill>
            <a:ln>
              <a:noFill/>
            </a:ln>
            <a:effectLst/>
          </c:spPr>
          <c:invertIfNegative val="0"/>
          <c:cat>
            <c:strRef>
              <c:f>Pivots!$A$19:$A$28</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Pivots!$B$19:$B$28</c:f>
              <c:numCache>
                <c:formatCode>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148D-4B75-B898-980F15136951}"/>
            </c:ext>
          </c:extLst>
        </c:ser>
        <c:dLbls>
          <c:showLegendKey val="0"/>
          <c:showVal val="0"/>
          <c:showCatName val="0"/>
          <c:showSerName val="0"/>
          <c:showPercent val="0"/>
          <c:showBubbleSize val="0"/>
        </c:dLbls>
        <c:gapWidth val="182"/>
        <c:axId val="540975104"/>
        <c:axId val="1932247696"/>
      </c:barChart>
      <c:catAx>
        <c:axId val="54097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32247696"/>
        <c:crosses val="autoZero"/>
        <c:auto val="1"/>
        <c:lblAlgn val="ctr"/>
        <c:lblOffset val="100"/>
        <c:noMultiLvlLbl val="0"/>
      </c:catAx>
      <c:valAx>
        <c:axId val="19322476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7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[HR-Employee-Attrition.xlsx]Pivots!PivotTable4</c:name>
    <c:fmtId val="3"/>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400" b="1" i="0" u="none" strike="noStrike" kern="1200" baseline="0">
                <a:solidFill>
                  <a:schemeClr val="tx1"/>
                </a:solidFill>
                <a:latin typeface="+mn-lt"/>
                <a:ea typeface="+mn-ea"/>
                <a:cs typeface="+mn-cs"/>
              </a:rPr>
              <a:t>Attrition Rate by Overtime</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2D8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Pivots!$B$32</c:f>
              <c:strCache>
                <c:ptCount val="1"/>
                <c:pt idx="0">
                  <c:v>Total</c:v>
                </c:pt>
              </c:strCache>
            </c:strRef>
          </c:tx>
          <c:spPr>
            <a:solidFill>
              <a:srgbClr val="5A2D82"/>
            </a:solidFill>
            <a:ln>
              <a:noFill/>
            </a:ln>
            <a:effectLst/>
          </c:spPr>
          <c:invertIfNegative val="0"/>
          <c:cat>
            <c:strRef>
              <c:f>Pivots!$A$33:$A$35</c:f>
              <c:strCache>
                <c:ptCount val="2"/>
                <c:pt idx="0">
                  <c:v>No</c:v>
                </c:pt>
                <c:pt idx="1">
                  <c:v>Yes</c:v>
                </c:pt>
              </c:strCache>
            </c:strRef>
          </c:cat>
          <c:val>
            <c:numRef>
              <c:f>Pivots!$B$33:$B$35</c:f>
              <c:numCache>
                <c:formatCode>0.00%</c:formatCode>
                <c:ptCount val="2"/>
                <c:pt idx="0">
                  <c:v>0.10436432637571158</c:v>
                </c:pt>
                <c:pt idx="1">
                  <c:v>0.30528846153846156</c:v>
                </c:pt>
              </c:numCache>
            </c:numRef>
          </c:val>
          <c:extLst>
            <c:ext xmlns:c16="http://schemas.microsoft.com/office/drawing/2014/chart" uri="{C3380CC4-5D6E-409C-BE32-E72D297353CC}">
              <c16:uniqueId val="{00000000-5B0B-4393-84B8-010EF30637C0}"/>
            </c:ext>
          </c:extLst>
        </c:ser>
        <c:dLbls>
          <c:showLegendKey val="0"/>
          <c:showVal val="0"/>
          <c:showCatName val="0"/>
          <c:showSerName val="0"/>
          <c:showPercent val="0"/>
          <c:showBubbleSize val="0"/>
        </c:dLbls>
        <c:gapWidth val="182"/>
        <c:axId val="474895008"/>
        <c:axId val="1932146416"/>
      </c:barChart>
      <c:catAx>
        <c:axId val="47489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32146416"/>
        <c:crosses val="autoZero"/>
        <c:auto val="1"/>
        <c:lblAlgn val="ctr"/>
        <c:lblOffset val="100"/>
        <c:noMultiLvlLbl val="0"/>
      </c:catAx>
      <c:valAx>
        <c:axId val="19321464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7489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[HR-Employee-Attrition.xlsx]Pivots!PivotTable5</c:name>
    <c:fmtId val="3"/>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400" b="1" i="0" u="none" strike="noStrike" kern="1200" baseline="0">
                <a:solidFill>
                  <a:schemeClr val="tx1"/>
                </a:solidFill>
                <a:latin typeface="+mn-lt"/>
                <a:ea typeface="+mn-ea"/>
                <a:cs typeface="+mn-cs"/>
              </a:rPr>
              <a:t>Attrition Rate by Tenure</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A2D8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Pivots!$B$39</c:f>
              <c:strCache>
                <c:ptCount val="1"/>
                <c:pt idx="0">
                  <c:v>Total</c:v>
                </c:pt>
              </c:strCache>
            </c:strRef>
          </c:tx>
          <c:spPr>
            <a:solidFill>
              <a:srgbClr val="5A2D82"/>
            </a:solidFill>
            <a:ln>
              <a:noFill/>
            </a:ln>
            <a:effectLst/>
          </c:spPr>
          <c:invertIfNegative val="0"/>
          <c:cat>
            <c:strRef>
              <c:f>Pivots!$A$40:$A$44</c:f>
              <c:strCache>
                <c:ptCount val="4"/>
                <c:pt idx="0">
                  <c:v>0-2 years</c:v>
                </c:pt>
                <c:pt idx="1">
                  <c:v>3-5 years</c:v>
                </c:pt>
                <c:pt idx="2">
                  <c:v>6-10 years</c:v>
                </c:pt>
                <c:pt idx="3">
                  <c:v>10+ years</c:v>
                </c:pt>
              </c:strCache>
            </c:strRef>
          </c:cat>
          <c:val>
            <c:numRef>
              <c:f>Pivots!$B$40:$B$44</c:f>
              <c:numCache>
                <c:formatCode>0.00%</c:formatCode>
                <c:ptCount val="4"/>
                <c:pt idx="0">
                  <c:v>0.2982456140350877</c:v>
                </c:pt>
                <c:pt idx="1">
                  <c:v>0.13824884792626729</c:v>
                </c:pt>
                <c:pt idx="2">
                  <c:v>0.12276785714285714</c:v>
                </c:pt>
                <c:pt idx="3">
                  <c:v>8.1300813008130079E-2</c:v>
                </c:pt>
              </c:numCache>
            </c:numRef>
          </c:val>
          <c:extLst>
            <c:ext xmlns:c16="http://schemas.microsoft.com/office/drawing/2014/chart" uri="{C3380CC4-5D6E-409C-BE32-E72D297353CC}">
              <c16:uniqueId val="{00000000-1E79-4CF8-9D87-0382B43EFCED}"/>
            </c:ext>
          </c:extLst>
        </c:ser>
        <c:dLbls>
          <c:showLegendKey val="0"/>
          <c:showVal val="0"/>
          <c:showCatName val="0"/>
          <c:showSerName val="0"/>
          <c:showPercent val="0"/>
          <c:showBubbleSize val="0"/>
        </c:dLbls>
        <c:gapWidth val="219"/>
        <c:overlap val="-27"/>
        <c:axId val="481165680"/>
        <c:axId val="1932154096"/>
      </c:barChart>
      <c:catAx>
        <c:axId val="48116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32154096"/>
        <c:crosses val="autoZero"/>
        <c:auto val="1"/>
        <c:lblAlgn val="ctr"/>
        <c:lblOffset val="100"/>
        <c:noMultiLvlLbl val="0"/>
      </c:catAx>
      <c:valAx>
        <c:axId val="1932154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8116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603956</xdr:colOff>
      <xdr:row>0</xdr:row>
      <xdr:rowOff>0</xdr:rowOff>
    </xdr:from>
    <xdr:to>
      <xdr:col>25</xdr:col>
      <xdr:colOff>573852</xdr:colOff>
      <xdr:row>36</xdr:row>
      <xdr:rowOff>28221</xdr:rowOff>
    </xdr:to>
    <xdr:sp macro="" textlink="">
      <xdr:nvSpPr>
        <xdr:cNvPr id="22" name="Rectangle 21">
          <a:extLst>
            <a:ext uri="{FF2B5EF4-FFF2-40B4-BE49-F238E27FC236}">
              <a16:creationId xmlns:a16="http://schemas.microsoft.com/office/drawing/2014/main" id="{6037D89B-7F24-4544-B79F-F5D09664AA3A}"/>
            </a:ext>
          </a:extLst>
        </xdr:cNvPr>
        <xdr:cNvSpPr/>
      </xdr:nvSpPr>
      <xdr:spPr>
        <a:xfrm>
          <a:off x="1826919" y="0"/>
          <a:ext cx="16602192" cy="6462888"/>
        </a:xfrm>
        <a:prstGeom prst="rect">
          <a:avLst/>
        </a:prstGeom>
        <a:solidFill>
          <a:srgbClr val="E6E6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1599</xdr:colOff>
      <xdr:row>19</xdr:row>
      <xdr:rowOff>60477</xdr:rowOff>
    </xdr:from>
    <xdr:to>
      <xdr:col>15</xdr:col>
      <xdr:colOff>530414</xdr:colOff>
      <xdr:row>33</xdr:row>
      <xdr:rowOff>78107</xdr:rowOff>
    </xdr:to>
    <xdr:graphicFrame macro="">
      <xdr:nvGraphicFramePr>
        <xdr:cNvPr id="6" name="Chart 5">
          <a:extLst>
            <a:ext uri="{FF2B5EF4-FFF2-40B4-BE49-F238E27FC236}">
              <a16:creationId xmlns:a16="http://schemas.microsoft.com/office/drawing/2014/main" id="{C611C271-E724-034B-9700-EA60DEECB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264624</xdr:colOff>
      <xdr:row>19</xdr:row>
      <xdr:rowOff>60477</xdr:rowOff>
    </xdr:from>
    <xdr:to>
      <xdr:col>21</xdr:col>
      <xdr:colOff>217068</xdr:colOff>
      <xdr:row>33</xdr:row>
      <xdr:rowOff>78107</xdr:rowOff>
    </xdr:to>
    <xdr:graphicFrame macro="">
      <xdr:nvGraphicFramePr>
        <xdr:cNvPr id="7" name="Chart 6">
          <a:extLst>
            <a:ext uri="{FF2B5EF4-FFF2-40B4-BE49-F238E27FC236}">
              <a16:creationId xmlns:a16="http://schemas.microsoft.com/office/drawing/2014/main" id="{EA595823-8F46-E390-9C10-94925EBF7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1599</xdr:colOff>
      <xdr:row>4</xdr:row>
      <xdr:rowOff>123707</xdr:rowOff>
    </xdr:from>
    <xdr:to>
      <xdr:col>15</xdr:col>
      <xdr:colOff>530414</xdr:colOff>
      <xdr:row>18</xdr:row>
      <xdr:rowOff>141337</xdr:rowOff>
    </xdr:to>
    <xdr:graphicFrame macro="">
      <xdr:nvGraphicFramePr>
        <xdr:cNvPr id="8" name="Chart 7">
          <a:extLst>
            <a:ext uri="{FF2B5EF4-FFF2-40B4-BE49-F238E27FC236}">
              <a16:creationId xmlns:a16="http://schemas.microsoft.com/office/drawing/2014/main" id="{041DFD3F-268F-B673-BD08-9F8E3CF7E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348825</xdr:colOff>
      <xdr:row>4</xdr:row>
      <xdr:rowOff>123707</xdr:rowOff>
    </xdr:from>
    <xdr:to>
      <xdr:col>9</xdr:col>
      <xdr:colOff>240455</xdr:colOff>
      <xdr:row>18</xdr:row>
      <xdr:rowOff>141337</xdr:rowOff>
    </xdr:to>
    <xdr:graphicFrame macro="">
      <xdr:nvGraphicFramePr>
        <xdr:cNvPr id="9" name="Chart 8">
          <a:extLst>
            <a:ext uri="{FF2B5EF4-FFF2-40B4-BE49-F238E27FC236}">
              <a16:creationId xmlns:a16="http://schemas.microsoft.com/office/drawing/2014/main" id="{E85272D8-C63E-7DEB-4E01-7E63264E3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264624</xdr:colOff>
      <xdr:row>4</xdr:row>
      <xdr:rowOff>123707</xdr:rowOff>
    </xdr:from>
    <xdr:to>
      <xdr:col>21</xdr:col>
      <xdr:colOff>217068</xdr:colOff>
      <xdr:row>18</xdr:row>
      <xdr:rowOff>141337</xdr:rowOff>
    </xdr:to>
    <xdr:graphicFrame macro="">
      <xdr:nvGraphicFramePr>
        <xdr:cNvPr id="10" name="Chart 9">
          <a:extLst>
            <a:ext uri="{FF2B5EF4-FFF2-40B4-BE49-F238E27FC236}">
              <a16:creationId xmlns:a16="http://schemas.microsoft.com/office/drawing/2014/main" id="{CD5683F7-B72D-B34F-3737-7EEFB0E8B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340266</xdr:colOff>
      <xdr:row>19</xdr:row>
      <xdr:rowOff>60477</xdr:rowOff>
    </xdr:from>
    <xdr:to>
      <xdr:col>9</xdr:col>
      <xdr:colOff>231896</xdr:colOff>
      <xdr:row>33</xdr:row>
      <xdr:rowOff>78107</xdr:rowOff>
    </xdr:to>
    <xdr:graphicFrame macro="">
      <xdr:nvGraphicFramePr>
        <xdr:cNvPr id="11" name="Chart 10">
          <a:extLst>
            <a:ext uri="{FF2B5EF4-FFF2-40B4-BE49-F238E27FC236}">
              <a16:creationId xmlns:a16="http://schemas.microsoft.com/office/drawing/2014/main" id="{C345F382-F690-9791-D8B2-7B30C81C6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0</xdr:rowOff>
    </xdr:from>
    <xdr:to>
      <xdr:col>2</xdr:col>
      <xdr:colOff>592667</xdr:colOff>
      <xdr:row>36</xdr:row>
      <xdr:rowOff>28221</xdr:rowOff>
    </xdr:to>
    <xdr:sp macro="" textlink="">
      <xdr:nvSpPr>
        <xdr:cNvPr id="21" name="Rectangle 20">
          <a:extLst>
            <a:ext uri="{FF2B5EF4-FFF2-40B4-BE49-F238E27FC236}">
              <a16:creationId xmlns:a16="http://schemas.microsoft.com/office/drawing/2014/main" id="{0A7D0E49-7F58-1A46-8771-45907CBE2AE3}"/>
            </a:ext>
          </a:extLst>
        </xdr:cNvPr>
        <xdr:cNvSpPr/>
      </xdr:nvSpPr>
      <xdr:spPr>
        <a:xfrm>
          <a:off x="0" y="0"/>
          <a:ext cx="1815630" cy="6462888"/>
        </a:xfrm>
        <a:prstGeom prst="rect">
          <a:avLst/>
        </a:prstGeom>
        <a:solidFill>
          <a:srgbClr val="5A2D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86547</xdr:colOff>
      <xdr:row>3</xdr:row>
      <xdr:rowOff>122297</xdr:rowOff>
    </xdr:from>
    <xdr:to>
      <xdr:col>1</xdr:col>
      <xdr:colOff>1017881</xdr:colOff>
      <xdr:row>6</xdr:row>
      <xdr:rowOff>65852</xdr:rowOff>
    </xdr:to>
    <xdr:sp macro="" textlink="KPI!B9">
      <xdr:nvSpPr>
        <xdr:cNvPr id="24" name="TextBox 23">
          <a:extLst>
            <a:ext uri="{FF2B5EF4-FFF2-40B4-BE49-F238E27FC236}">
              <a16:creationId xmlns:a16="http://schemas.microsoft.com/office/drawing/2014/main" id="{28A3C6E3-A95A-0217-B145-B46087C42D70}"/>
            </a:ext>
          </a:extLst>
        </xdr:cNvPr>
        <xdr:cNvSpPr txBox="1"/>
      </xdr:nvSpPr>
      <xdr:spPr>
        <a:xfrm>
          <a:off x="86547" y="658519"/>
          <a:ext cx="1166519" cy="479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F0330B-0E6F-4EA0-BBA4-E5270C7CA4BC}" type="TxLink">
            <a:rPr lang="en-US" sz="2000" b="0" i="0" u="none" strike="noStrike">
              <a:gradFill>
                <a:gsLst>
                  <a:gs pos="0">
                    <a:schemeClr val="accent1">
                      <a:lumMod val="5000"/>
                      <a:lumOff val="95000"/>
                    </a:schemeClr>
                  </a:gs>
                  <a:gs pos="79000">
                    <a:schemeClr val="bg1">
                      <a:lumMod val="85000"/>
                    </a:schemeClr>
                  </a:gs>
                </a:gsLst>
                <a:lin ang="5400000" scaled="1"/>
              </a:gradFill>
              <a:effectLst>
                <a:outerShdw blurRad="50800" dist="38100" dir="5400000" algn="t" rotWithShape="0">
                  <a:prstClr val="black">
                    <a:alpha val="40000"/>
                  </a:prstClr>
                </a:outerShdw>
              </a:effectLst>
              <a:latin typeface="Century Gothic"/>
            </a:rPr>
            <a:t>1470</a:t>
          </a:fld>
          <a:endParaRPr lang="en-US" sz="2000">
            <a:gradFill>
              <a:gsLst>
                <a:gs pos="0">
                  <a:schemeClr val="accent1">
                    <a:lumMod val="5000"/>
                    <a:lumOff val="95000"/>
                  </a:schemeClr>
                </a:gs>
                <a:gs pos="79000">
                  <a:schemeClr val="bg1">
                    <a:lumMod val="85000"/>
                  </a:schemeClr>
                </a:gs>
              </a:gsLst>
              <a:lin ang="5400000" scaled="1"/>
            </a:gradFill>
            <a:effectLst>
              <a:outerShdw blurRad="50800" dist="38100" dir="5400000" algn="t" rotWithShape="0">
                <a:prstClr val="black">
                  <a:alpha val="40000"/>
                </a:prstClr>
              </a:outerShdw>
            </a:effectLst>
          </a:endParaRPr>
        </a:p>
      </xdr:txBody>
    </xdr:sp>
    <xdr:clientData/>
  </xdr:twoCellAnchor>
  <xdr:twoCellAnchor>
    <xdr:from>
      <xdr:col>0</xdr:col>
      <xdr:colOff>86547</xdr:colOff>
      <xdr:row>7</xdr:row>
      <xdr:rowOff>47037</xdr:rowOff>
    </xdr:from>
    <xdr:to>
      <xdr:col>1</xdr:col>
      <xdr:colOff>1017881</xdr:colOff>
      <xdr:row>9</xdr:row>
      <xdr:rowOff>169332</xdr:rowOff>
    </xdr:to>
    <xdr:sp macro="" textlink="KPI!C9">
      <xdr:nvSpPr>
        <xdr:cNvPr id="25" name="TextBox 24">
          <a:extLst>
            <a:ext uri="{FF2B5EF4-FFF2-40B4-BE49-F238E27FC236}">
              <a16:creationId xmlns:a16="http://schemas.microsoft.com/office/drawing/2014/main" id="{E113875B-2AEB-B842-248E-89C08D078A3D}"/>
            </a:ext>
          </a:extLst>
        </xdr:cNvPr>
        <xdr:cNvSpPr txBox="1"/>
      </xdr:nvSpPr>
      <xdr:spPr>
        <a:xfrm>
          <a:off x="86547" y="1298222"/>
          <a:ext cx="1166519" cy="479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F42F7BE-560A-4FFA-B544-141E8747A0D3}" type="TxLink">
            <a:rPr lang="en-US" sz="2000" b="0" i="0" u="none" strike="noStrike">
              <a:gradFill>
                <a:gsLst>
                  <a:gs pos="0">
                    <a:schemeClr val="accent1">
                      <a:lumMod val="5000"/>
                      <a:lumOff val="95000"/>
                    </a:schemeClr>
                  </a:gs>
                  <a:gs pos="79000">
                    <a:schemeClr val="bg1">
                      <a:lumMod val="85000"/>
                    </a:schemeClr>
                  </a:gs>
                </a:gsLst>
                <a:lin ang="5400000" scaled="1"/>
              </a:gradFill>
              <a:effectLst>
                <a:outerShdw blurRad="50800" dist="38100" dir="5400000" algn="t" rotWithShape="0">
                  <a:prstClr val="black">
                    <a:alpha val="40000"/>
                  </a:prstClr>
                </a:outerShdw>
              </a:effectLst>
              <a:latin typeface="Century Gothic"/>
              <a:ea typeface="+mn-ea"/>
              <a:cs typeface="+mn-cs"/>
            </a:rPr>
            <a:pPr marL="0" indent="0"/>
            <a:t>237</a:t>
          </a:fld>
          <a:endParaRPr lang="en-US" sz="2000" b="0" i="0" u="none" strike="noStrike">
            <a:gradFill>
              <a:gsLst>
                <a:gs pos="0">
                  <a:schemeClr val="accent1">
                    <a:lumMod val="5000"/>
                    <a:lumOff val="95000"/>
                  </a:schemeClr>
                </a:gs>
                <a:gs pos="79000">
                  <a:schemeClr val="bg1">
                    <a:lumMod val="85000"/>
                  </a:schemeClr>
                </a:gs>
              </a:gsLst>
              <a:lin ang="5400000" scaled="1"/>
            </a:gradFill>
            <a:effectLst>
              <a:outerShdw blurRad="50800" dist="38100" dir="5400000" algn="t" rotWithShape="0">
                <a:prstClr val="black">
                  <a:alpha val="40000"/>
                </a:prstClr>
              </a:outerShdw>
            </a:effectLst>
            <a:latin typeface="Century Gothic"/>
            <a:ea typeface="+mn-ea"/>
            <a:cs typeface="+mn-cs"/>
          </a:endParaRPr>
        </a:p>
      </xdr:txBody>
    </xdr:sp>
    <xdr:clientData/>
  </xdr:twoCellAnchor>
  <xdr:twoCellAnchor>
    <xdr:from>
      <xdr:col>0</xdr:col>
      <xdr:colOff>86547</xdr:colOff>
      <xdr:row>11</xdr:row>
      <xdr:rowOff>18815</xdr:rowOff>
    </xdr:from>
    <xdr:to>
      <xdr:col>1</xdr:col>
      <xdr:colOff>1017881</xdr:colOff>
      <xdr:row>13</xdr:row>
      <xdr:rowOff>141110</xdr:rowOff>
    </xdr:to>
    <xdr:sp macro="" textlink="KPI!D9">
      <xdr:nvSpPr>
        <xdr:cNvPr id="26" name="TextBox 25">
          <a:extLst>
            <a:ext uri="{FF2B5EF4-FFF2-40B4-BE49-F238E27FC236}">
              <a16:creationId xmlns:a16="http://schemas.microsoft.com/office/drawing/2014/main" id="{DAD53530-C301-2F23-1284-DDBDB18B3E20}"/>
            </a:ext>
          </a:extLst>
        </xdr:cNvPr>
        <xdr:cNvSpPr txBox="1"/>
      </xdr:nvSpPr>
      <xdr:spPr>
        <a:xfrm>
          <a:off x="86547" y="1984963"/>
          <a:ext cx="1166519" cy="479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897F16-5831-4A52-A50F-3E590B13B990}" type="TxLink">
            <a:rPr lang="en-US" sz="2000" b="0" i="0" u="none" strike="noStrike">
              <a:gradFill>
                <a:gsLst>
                  <a:gs pos="0">
                    <a:schemeClr val="accent1">
                      <a:lumMod val="5000"/>
                      <a:lumOff val="95000"/>
                    </a:schemeClr>
                  </a:gs>
                  <a:gs pos="79000">
                    <a:schemeClr val="bg1">
                      <a:lumMod val="85000"/>
                    </a:schemeClr>
                  </a:gs>
                </a:gsLst>
                <a:lin ang="5400000" scaled="1"/>
              </a:gradFill>
              <a:effectLst>
                <a:outerShdw blurRad="50800" dist="38100" dir="5400000" algn="t" rotWithShape="0">
                  <a:prstClr val="black">
                    <a:alpha val="40000"/>
                  </a:prstClr>
                </a:outerShdw>
              </a:effectLst>
              <a:latin typeface="Century Gothic"/>
              <a:ea typeface="+mn-ea"/>
              <a:cs typeface="+mn-cs"/>
            </a:rPr>
            <a:pPr marL="0" indent="0"/>
            <a:t>16.12%</a:t>
          </a:fld>
          <a:endParaRPr lang="en-US" sz="2000" b="0" i="0" u="none" strike="noStrike">
            <a:gradFill>
              <a:gsLst>
                <a:gs pos="0">
                  <a:schemeClr val="accent1">
                    <a:lumMod val="5000"/>
                    <a:lumOff val="95000"/>
                  </a:schemeClr>
                </a:gs>
                <a:gs pos="79000">
                  <a:schemeClr val="bg1">
                    <a:lumMod val="85000"/>
                  </a:schemeClr>
                </a:gs>
              </a:gsLst>
              <a:lin ang="5400000" scaled="1"/>
            </a:gradFill>
            <a:effectLst>
              <a:outerShdw blurRad="50800" dist="38100" dir="5400000" algn="t" rotWithShape="0">
                <a:prstClr val="black">
                  <a:alpha val="40000"/>
                </a:prstClr>
              </a:outerShdw>
            </a:effectLst>
            <a:latin typeface="Century Gothic"/>
            <a:ea typeface="+mn-ea"/>
            <a:cs typeface="+mn-cs"/>
          </a:endParaRPr>
        </a:p>
      </xdr:txBody>
    </xdr:sp>
    <xdr:clientData/>
  </xdr:twoCellAnchor>
  <xdr:twoCellAnchor>
    <xdr:from>
      <xdr:col>0</xdr:col>
      <xdr:colOff>86547</xdr:colOff>
      <xdr:row>5</xdr:row>
      <xdr:rowOff>37628</xdr:rowOff>
    </xdr:from>
    <xdr:to>
      <xdr:col>1</xdr:col>
      <xdr:colOff>1140177</xdr:colOff>
      <xdr:row>7</xdr:row>
      <xdr:rowOff>112888</xdr:rowOff>
    </xdr:to>
    <xdr:sp macro="" textlink="">
      <xdr:nvSpPr>
        <xdr:cNvPr id="27" name="TextBox 26">
          <a:extLst>
            <a:ext uri="{FF2B5EF4-FFF2-40B4-BE49-F238E27FC236}">
              <a16:creationId xmlns:a16="http://schemas.microsoft.com/office/drawing/2014/main" id="{07B2C807-D6DC-55F1-888D-FCB594A13F93}"/>
            </a:ext>
          </a:extLst>
        </xdr:cNvPr>
        <xdr:cNvSpPr txBox="1"/>
      </xdr:nvSpPr>
      <xdr:spPr>
        <a:xfrm>
          <a:off x="86547" y="931332"/>
          <a:ext cx="1288815" cy="432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Employees</a:t>
          </a:r>
        </a:p>
      </xdr:txBody>
    </xdr:sp>
    <xdr:clientData/>
  </xdr:twoCellAnchor>
  <xdr:twoCellAnchor>
    <xdr:from>
      <xdr:col>0</xdr:col>
      <xdr:colOff>86547</xdr:colOff>
      <xdr:row>9</xdr:row>
      <xdr:rowOff>11288</xdr:rowOff>
    </xdr:from>
    <xdr:to>
      <xdr:col>1</xdr:col>
      <xdr:colOff>1314450</xdr:colOff>
      <xdr:row>11</xdr:row>
      <xdr:rowOff>86548</xdr:rowOff>
    </xdr:to>
    <xdr:sp macro="" textlink="">
      <xdr:nvSpPr>
        <xdr:cNvPr id="28" name="TextBox 27">
          <a:extLst>
            <a:ext uri="{FF2B5EF4-FFF2-40B4-BE49-F238E27FC236}">
              <a16:creationId xmlns:a16="http://schemas.microsoft.com/office/drawing/2014/main" id="{96F391C7-653B-4994-A493-42D0544556B9}"/>
            </a:ext>
          </a:extLst>
        </xdr:cNvPr>
        <xdr:cNvSpPr txBox="1"/>
      </xdr:nvSpPr>
      <xdr:spPr>
        <a:xfrm>
          <a:off x="86547" y="1554338"/>
          <a:ext cx="1466028" cy="4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Employees</a:t>
          </a:r>
          <a:r>
            <a:rPr lang="en-US" sz="1100" baseline="0">
              <a:solidFill>
                <a:schemeClr val="bg1"/>
              </a:solidFill>
            </a:rPr>
            <a:t> Attrited</a:t>
          </a:r>
          <a:endParaRPr lang="en-US" sz="1100">
            <a:solidFill>
              <a:schemeClr val="bg1"/>
            </a:solidFill>
          </a:endParaRPr>
        </a:p>
      </xdr:txBody>
    </xdr:sp>
    <xdr:clientData/>
  </xdr:twoCellAnchor>
  <xdr:twoCellAnchor>
    <xdr:from>
      <xdr:col>0</xdr:col>
      <xdr:colOff>86547</xdr:colOff>
      <xdr:row>12</xdr:row>
      <xdr:rowOff>163689</xdr:rowOff>
    </xdr:from>
    <xdr:to>
      <xdr:col>1</xdr:col>
      <xdr:colOff>1140177</xdr:colOff>
      <xdr:row>15</xdr:row>
      <xdr:rowOff>60208</xdr:rowOff>
    </xdr:to>
    <xdr:sp macro="" textlink="">
      <xdr:nvSpPr>
        <xdr:cNvPr id="29" name="TextBox 28">
          <a:extLst>
            <a:ext uri="{FF2B5EF4-FFF2-40B4-BE49-F238E27FC236}">
              <a16:creationId xmlns:a16="http://schemas.microsoft.com/office/drawing/2014/main" id="{04BF0432-5B44-4E17-85F7-49DD7156244D}"/>
            </a:ext>
          </a:extLst>
        </xdr:cNvPr>
        <xdr:cNvSpPr txBox="1"/>
      </xdr:nvSpPr>
      <xdr:spPr>
        <a:xfrm>
          <a:off x="86547" y="2308578"/>
          <a:ext cx="1288815" cy="432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Attrition Rate</a:t>
          </a:r>
        </a:p>
      </xdr:txBody>
    </xdr:sp>
    <xdr:clientData/>
  </xdr:twoCellAnchor>
  <xdr:twoCellAnchor editAs="oneCell">
    <xdr:from>
      <xdr:col>0</xdr:col>
      <xdr:colOff>0</xdr:colOff>
      <xdr:row>0</xdr:row>
      <xdr:rowOff>112888</xdr:rowOff>
    </xdr:from>
    <xdr:to>
      <xdr:col>1</xdr:col>
      <xdr:colOff>667926</xdr:colOff>
      <xdr:row>3</xdr:row>
      <xdr:rowOff>75259</xdr:rowOff>
    </xdr:to>
    <xdr:pic>
      <xdr:nvPicPr>
        <xdr:cNvPr id="31" name="Picture 30">
          <a:extLst>
            <a:ext uri="{FF2B5EF4-FFF2-40B4-BE49-F238E27FC236}">
              <a16:creationId xmlns:a16="http://schemas.microsoft.com/office/drawing/2014/main" id="{D92B29D6-9145-4F39-576C-48506587DA66}"/>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7763" t="28245" r="19079" b="31297"/>
        <a:stretch>
          <a:fillRect/>
        </a:stretch>
      </xdr:blipFill>
      <xdr:spPr>
        <a:xfrm>
          <a:off x="0" y="112888"/>
          <a:ext cx="903111" cy="498593"/>
        </a:xfrm>
        <a:prstGeom prst="rect">
          <a:avLst/>
        </a:prstGeom>
      </xdr:spPr>
    </xdr:pic>
    <xdr:clientData/>
  </xdr:twoCellAnchor>
  <xdr:twoCellAnchor>
    <xdr:from>
      <xdr:col>6</xdr:col>
      <xdr:colOff>75259</xdr:colOff>
      <xdr:row>1</xdr:row>
      <xdr:rowOff>18815</xdr:rowOff>
    </xdr:from>
    <xdr:to>
      <xdr:col>18</xdr:col>
      <xdr:colOff>338667</xdr:colOff>
      <xdr:row>3</xdr:row>
      <xdr:rowOff>169334</xdr:rowOff>
    </xdr:to>
    <xdr:sp macro="" textlink="">
      <xdr:nvSpPr>
        <xdr:cNvPr id="34" name="TextBox 33">
          <a:extLst>
            <a:ext uri="{FF2B5EF4-FFF2-40B4-BE49-F238E27FC236}">
              <a16:creationId xmlns:a16="http://schemas.microsoft.com/office/drawing/2014/main" id="{0BBB8775-9130-D286-7B25-C89CE30382F1}"/>
            </a:ext>
          </a:extLst>
        </xdr:cNvPr>
        <xdr:cNvSpPr txBox="1"/>
      </xdr:nvSpPr>
      <xdr:spPr>
        <a:xfrm>
          <a:off x="4920074" y="197556"/>
          <a:ext cx="8814741"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5A2D82"/>
              </a:solidFill>
              <a:effectLst>
                <a:outerShdw blurRad="50800" dist="38100" dir="5400000" algn="t" rotWithShape="0">
                  <a:prstClr val="black">
                    <a:alpha val="40000"/>
                  </a:prstClr>
                </a:outerShdw>
              </a:effectLst>
            </a:rPr>
            <a:t>HR Employee Attrition Dashboard</a:t>
          </a:r>
        </a:p>
      </xdr:txBody>
    </xdr:sp>
    <xdr:clientData/>
  </xdr:twoCellAnchor>
  <xdr:twoCellAnchor editAs="oneCell">
    <xdr:from>
      <xdr:col>0</xdr:col>
      <xdr:colOff>40005</xdr:colOff>
      <xdr:row>16</xdr:row>
      <xdr:rowOff>111621</xdr:rowOff>
    </xdr:from>
    <xdr:to>
      <xdr:col>2</xdr:col>
      <xdr:colOff>196331</xdr:colOff>
      <xdr:row>20</xdr:row>
      <xdr:rowOff>142875</xdr:rowOff>
    </xdr:to>
    <mc:AlternateContent xmlns:mc="http://schemas.openxmlformats.org/markup-compatibility/2006">
      <mc:Choice xmlns:a14="http://schemas.microsoft.com/office/drawing/2010/main" Requires="a14">
        <xdr:graphicFrame macro="">
          <xdr:nvGraphicFramePr>
            <xdr:cNvPr id="18" name="Gender">
              <a:extLst>
                <a:ext uri="{FF2B5EF4-FFF2-40B4-BE49-F238E27FC236}">
                  <a16:creationId xmlns:a16="http://schemas.microsoft.com/office/drawing/2014/main" id="{0DD4B255-CCB2-B5BC-127E-E62FE855BA4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0005" y="2854821"/>
              <a:ext cx="1823201" cy="717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xdr:colOff>
      <xdr:row>22</xdr:row>
      <xdr:rowOff>43706</xdr:rowOff>
    </xdr:from>
    <xdr:to>
      <xdr:col>2</xdr:col>
      <xdr:colOff>196331</xdr:colOff>
      <xdr:row>28</xdr:row>
      <xdr:rowOff>9525</xdr:rowOff>
    </xdr:to>
    <mc:AlternateContent xmlns:mc="http://schemas.openxmlformats.org/markup-compatibility/2006">
      <mc:Choice xmlns:a14="http://schemas.microsoft.com/office/drawing/2010/main" Requires="a14">
        <xdr:graphicFrame macro="">
          <xdr:nvGraphicFramePr>
            <xdr:cNvPr id="17" name="Department">
              <a:extLst>
                <a:ext uri="{FF2B5EF4-FFF2-40B4-BE49-F238E27FC236}">
                  <a16:creationId xmlns:a16="http://schemas.microsoft.com/office/drawing/2014/main" id="{49FFA144-4FCA-6A2D-B61A-2C247E23A91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0005" y="3815606"/>
              <a:ext cx="1823201" cy="994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xdr:colOff>
      <xdr:row>29</xdr:row>
      <xdr:rowOff>97155</xdr:rowOff>
    </xdr:from>
    <xdr:to>
      <xdr:col>2</xdr:col>
      <xdr:colOff>201930</xdr:colOff>
      <xdr:row>35</xdr:row>
      <xdr:rowOff>66674</xdr:rowOff>
    </xdr:to>
    <mc:AlternateContent xmlns:mc="http://schemas.openxmlformats.org/markup-compatibility/2006">
      <mc:Choice xmlns:a14="http://schemas.microsoft.com/office/drawing/2010/main" Requires="a14">
        <xdr:graphicFrame macro="">
          <xdr:nvGraphicFramePr>
            <xdr:cNvPr id="36" name="BusinessTravel">
              <a:extLst>
                <a:ext uri="{FF2B5EF4-FFF2-40B4-BE49-F238E27FC236}">
                  <a16:creationId xmlns:a16="http://schemas.microsoft.com/office/drawing/2014/main" id="{BE2492C8-29F2-710D-39A0-C84C2DB1E973}"/>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40005" y="5069205"/>
              <a:ext cx="1828800" cy="998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Hasan" refreshedDate="46174.713965856485" createdVersion="8" refreshedVersion="8" minRefreshableVersion="3" recordCount="1470" xr:uid="{E1EA4CBB-5995-426D-BAD3-B5470721714D}">
  <cacheSource type="worksheet">
    <worksheetSource name="Table1"/>
  </cacheSource>
  <cacheFields count="39">
    <cacheField name="Age" numFmtId="0">
      <sharedItems containsSemiMixedTypes="0" containsString="0" containsNumber="1" containsInteger="1" minValue="18" maxValue="60"/>
    </cacheField>
    <cacheField name="AgeGroup" numFmtId="0">
      <sharedItems count="4">
        <s v="41-50"/>
        <s v="30-40"/>
        <s v="Under 30"/>
        <s v="Over 5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TenureBand" numFmtId="0">
      <sharedItems count="4">
        <s v="6-10 years"/>
        <s v="0-2 years"/>
        <s v="3-5 years"/>
        <s v="10+ years"/>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JobSatisfaction_Label" numFmtId="0">
      <sharedItems count="4">
        <s v="Very High"/>
        <s v="Medium"/>
        <s v="High"/>
        <s v="Low"/>
      </sharedItems>
    </cacheField>
    <cacheField name="AttritionValu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46848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x v="0"/>
    <n v="1102"/>
    <x v="0"/>
    <n v="1"/>
    <n v="2"/>
    <s v="Life Sciences"/>
    <n v="1"/>
    <n v="1"/>
    <n v="2"/>
    <x v="0"/>
    <n v="94"/>
    <n v="3"/>
    <n v="2"/>
    <x v="0"/>
    <n v="4"/>
    <s v="Single"/>
    <n v="5993"/>
    <n v="19479"/>
    <n v="8"/>
    <s v="Y"/>
    <x v="0"/>
    <n v="11"/>
    <n v="3"/>
    <n v="1"/>
    <n v="80"/>
    <n v="0"/>
    <n v="8"/>
    <n v="0"/>
    <n v="1"/>
    <n v="6"/>
    <x v="0"/>
    <n v="4"/>
    <n v="0"/>
    <n v="5"/>
    <x v="0"/>
    <n v="1"/>
  </r>
  <r>
    <n v="49"/>
    <x v="0"/>
    <x v="1"/>
    <x v="1"/>
    <n v="279"/>
    <x v="1"/>
    <n v="8"/>
    <n v="1"/>
    <s v="Life Sciences"/>
    <n v="1"/>
    <n v="2"/>
    <n v="3"/>
    <x v="1"/>
    <n v="61"/>
    <n v="2"/>
    <n v="2"/>
    <x v="1"/>
    <n v="2"/>
    <s v="Married"/>
    <n v="5130"/>
    <n v="24907"/>
    <n v="1"/>
    <s v="Y"/>
    <x v="1"/>
    <n v="23"/>
    <n v="4"/>
    <n v="4"/>
    <n v="80"/>
    <n v="1"/>
    <n v="10"/>
    <n v="3"/>
    <n v="3"/>
    <n v="10"/>
    <x v="0"/>
    <n v="7"/>
    <n v="1"/>
    <n v="7"/>
    <x v="1"/>
    <n v="0"/>
  </r>
  <r>
    <n v="37"/>
    <x v="1"/>
    <x v="0"/>
    <x v="0"/>
    <n v="1373"/>
    <x v="1"/>
    <n v="2"/>
    <n v="2"/>
    <s v="Other"/>
    <n v="1"/>
    <n v="4"/>
    <n v="4"/>
    <x v="1"/>
    <n v="92"/>
    <n v="2"/>
    <n v="1"/>
    <x v="2"/>
    <n v="3"/>
    <s v="Single"/>
    <n v="2090"/>
    <n v="2396"/>
    <n v="6"/>
    <s v="Y"/>
    <x v="0"/>
    <n v="15"/>
    <n v="3"/>
    <n v="2"/>
    <n v="80"/>
    <n v="0"/>
    <n v="7"/>
    <n v="3"/>
    <n v="3"/>
    <n v="0"/>
    <x v="1"/>
    <n v="0"/>
    <n v="0"/>
    <n v="0"/>
    <x v="2"/>
    <n v="1"/>
  </r>
  <r>
    <n v="33"/>
    <x v="1"/>
    <x v="1"/>
    <x v="1"/>
    <n v="1392"/>
    <x v="1"/>
    <n v="3"/>
    <n v="4"/>
    <s v="Life Sciences"/>
    <n v="1"/>
    <n v="5"/>
    <n v="4"/>
    <x v="0"/>
    <n v="56"/>
    <n v="3"/>
    <n v="1"/>
    <x v="1"/>
    <n v="3"/>
    <s v="Married"/>
    <n v="2909"/>
    <n v="23159"/>
    <n v="1"/>
    <s v="Y"/>
    <x v="0"/>
    <n v="11"/>
    <n v="3"/>
    <n v="3"/>
    <n v="80"/>
    <n v="0"/>
    <n v="8"/>
    <n v="3"/>
    <n v="3"/>
    <n v="8"/>
    <x v="0"/>
    <n v="7"/>
    <n v="3"/>
    <n v="0"/>
    <x v="2"/>
    <n v="0"/>
  </r>
  <r>
    <n v="27"/>
    <x v="2"/>
    <x v="1"/>
    <x v="0"/>
    <n v="591"/>
    <x v="1"/>
    <n v="2"/>
    <n v="1"/>
    <s v="Medical"/>
    <n v="1"/>
    <n v="7"/>
    <n v="1"/>
    <x v="1"/>
    <n v="40"/>
    <n v="3"/>
    <n v="1"/>
    <x v="2"/>
    <n v="2"/>
    <s v="Married"/>
    <n v="3468"/>
    <n v="16632"/>
    <n v="9"/>
    <s v="Y"/>
    <x v="1"/>
    <n v="12"/>
    <n v="3"/>
    <n v="4"/>
    <n v="80"/>
    <n v="1"/>
    <n v="6"/>
    <n v="3"/>
    <n v="3"/>
    <n v="2"/>
    <x v="1"/>
    <n v="2"/>
    <n v="2"/>
    <n v="2"/>
    <x v="1"/>
    <n v="0"/>
  </r>
  <r>
    <n v="32"/>
    <x v="1"/>
    <x v="1"/>
    <x v="1"/>
    <n v="1005"/>
    <x v="1"/>
    <n v="2"/>
    <n v="2"/>
    <s v="Life Sciences"/>
    <n v="1"/>
    <n v="8"/>
    <n v="4"/>
    <x v="1"/>
    <n v="79"/>
    <n v="3"/>
    <n v="1"/>
    <x v="2"/>
    <n v="4"/>
    <s v="Single"/>
    <n v="3068"/>
    <n v="11864"/>
    <n v="0"/>
    <s v="Y"/>
    <x v="1"/>
    <n v="13"/>
    <n v="3"/>
    <n v="3"/>
    <n v="80"/>
    <n v="0"/>
    <n v="8"/>
    <n v="2"/>
    <n v="2"/>
    <n v="7"/>
    <x v="0"/>
    <n v="7"/>
    <n v="3"/>
    <n v="6"/>
    <x v="0"/>
    <n v="0"/>
  </r>
  <r>
    <n v="59"/>
    <x v="3"/>
    <x v="1"/>
    <x v="0"/>
    <n v="1324"/>
    <x v="1"/>
    <n v="3"/>
    <n v="3"/>
    <s v="Medical"/>
    <n v="1"/>
    <n v="10"/>
    <n v="3"/>
    <x v="0"/>
    <n v="81"/>
    <n v="4"/>
    <n v="1"/>
    <x v="2"/>
    <n v="1"/>
    <s v="Married"/>
    <n v="2670"/>
    <n v="9964"/>
    <n v="4"/>
    <s v="Y"/>
    <x v="0"/>
    <n v="20"/>
    <n v="4"/>
    <n v="1"/>
    <n v="80"/>
    <n v="3"/>
    <n v="12"/>
    <n v="3"/>
    <n v="2"/>
    <n v="1"/>
    <x v="1"/>
    <n v="0"/>
    <n v="0"/>
    <n v="0"/>
    <x v="3"/>
    <n v="0"/>
  </r>
  <r>
    <n v="30"/>
    <x v="1"/>
    <x v="1"/>
    <x v="0"/>
    <n v="1358"/>
    <x v="1"/>
    <n v="24"/>
    <n v="1"/>
    <s v="Life Sciences"/>
    <n v="1"/>
    <n v="11"/>
    <n v="4"/>
    <x v="1"/>
    <n v="67"/>
    <n v="3"/>
    <n v="1"/>
    <x v="2"/>
    <n v="3"/>
    <s v="Divorced"/>
    <n v="2693"/>
    <n v="13335"/>
    <n v="1"/>
    <s v="Y"/>
    <x v="1"/>
    <n v="22"/>
    <n v="4"/>
    <n v="2"/>
    <n v="80"/>
    <n v="1"/>
    <n v="1"/>
    <n v="2"/>
    <n v="3"/>
    <n v="1"/>
    <x v="1"/>
    <n v="0"/>
    <n v="0"/>
    <n v="0"/>
    <x v="2"/>
    <n v="0"/>
  </r>
  <r>
    <n v="38"/>
    <x v="1"/>
    <x v="1"/>
    <x v="1"/>
    <n v="216"/>
    <x v="1"/>
    <n v="23"/>
    <n v="3"/>
    <s v="Life Sciences"/>
    <n v="1"/>
    <n v="12"/>
    <n v="4"/>
    <x v="1"/>
    <n v="44"/>
    <n v="2"/>
    <n v="3"/>
    <x v="3"/>
    <n v="3"/>
    <s v="Single"/>
    <n v="9526"/>
    <n v="8787"/>
    <n v="0"/>
    <s v="Y"/>
    <x v="1"/>
    <n v="21"/>
    <n v="4"/>
    <n v="2"/>
    <n v="80"/>
    <n v="0"/>
    <n v="10"/>
    <n v="2"/>
    <n v="3"/>
    <n v="9"/>
    <x v="0"/>
    <n v="7"/>
    <n v="1"/>
    <n v="8"/>
    <x v="2"/>
    <n v="0"/>
  </r>
  <r>
    <n v="36"/>
    <x v="1"/>
    <x v="1"/>
    <x v="0"/>
    <n v="1299"/>
    <x v="1"/>
    <n v="27"/>
    <n v="3"/>
    <s v="Medical"/>
    <n v="1"/>
    <n v="13"/>
    <n v="3"/>
    <x v="1"/>
    <n v="94"/>
    <n v="3"/>
    <n v="2"/>
    <x v="4"/>
    <n v="3"/>
    <s v="Married"/>
    <n v="5237"/>
    <n v="16577"/>
    <n v="6"/>
    <s v="Y"/>
    <x v="1"/>
    <n v="13"/>
    <n v="3"/>
    <n v="2"/>
    <n v="80"/>
    <n v="2"/>
    <n v="17"/>
    <n v="3"/>
    <n v="2"/>
    <n v="7"/>
    <x v="0"/>
    <n v="7"/>
    <n v="7"/>
    <n v="7"/>
    <x v="2"/>
    <n v="0"/>
  </r>
  <r>
    <n v="35"/>
    <x v="1"/>
    <x v="1"/>
    <x v="0"/>
    <n v="809"/>
    <x v="1"/>
    <n v="16"/>
    <n v="3"/>
    <s v="Medical"/>
    <n v="1"/>
    <n v="14"/>
    <n v="1"/>
    <x v="1"/>
    <n v="84"/>
    <n v="4"/>
    <n v="1"/>
    <x v="2"/>
    <n v="2"/>
    <s v="Married"/>
    <n v="2426"/>
    <n v="16479"/>
    <n v="0"/>
    <s v="Y"/>
    <x v="1"/>
    <n v="13"/>
    <n v="3"/>
    <n v="3"/>
    <n v="80"/>
    <n v="1"/>
    <n v="6"/>
    <n v="5"/>
    <n v="3"/>
    <n v="5"/>
    <x v="2"/>
    <n v="4"/>
    <n v="0"/>
    <n v="3"/>
    <x v="1"/>
    <n v="0"/>
  </r>
  <r>
    <n v="29"/>
    <x v="2"/>
    <x v="1"/>
    <x v="0"/>
    <n v="153"/>
    <x v="1"/>
    <n v="15"/>
    <n v="2"/>
    <s v="Life Sciences"/>
    <n v="1"/>
    <n v="15"/>
    <n v="4"/>
    <x v="0"/>
    <n v="49"/>
    <n v="2"/>
    <n v="2"/>
    <x v="2"/>
    <n v="3"/>
    <s v="Single"/>
    <n v="4193"/>
    <n v="12682"/>
    <n v="0"/>
    <s v="Y"/>
    <x v="0"/>
    <n v="12"/>
    <n v="3"/>
    <n v="4"/>
    <n v="80"/>
    <n v="0"/>
    <n v="10"/>
    <n v="3"/>
    <n v="3"/>
    <n v="9"/>
    <x v="0"/>
    <n v="5"/>
    <n v="0"/>
    <n v="8"/>
    <x v="2"/>
    <n v="0"/>
  </r>
  <r>
    <n v="31"/>
    <x v="1"/>
    <x v="1"/>
    <x v="0"/>
    <n v="670"/>
    <x v="1"/>
    <n v="26"/>
    <n v="1"/>
    <s v="Life Sciences"/>
    <n v="1"/>
    <n v="16"/>
    <n v="1"/>
    <x v="1"/>
    <n v="31"/>
    <n v="3"/>
    <n v="1"/>
    <x v="1"/>
    <n v="3"/>
    <s v="Divorced"/>
    <n v="2911"/>
    <n v="15170"/>
    <n v="1"/>
    <s v="Y"/>
    <x v="1"/>
    <n v="17"/>
    <n v="3"/>
    <n v="4"/>
    <n v="80"/>
    <n v="1"/>
    <n v="5"/>
    <n v="1"/>
    <n v="2"/>
    <n v="5"/>
    <x v="2"/>
    <n v="2"/>
    <n v="4"/>
    <n v="3"/>
    <x v="2"/>
    <n v="0"/>
  </r>
  <r>
    <n v="34"/>
    <x v="1"/>
    <x v="1"/>
    <x v="0"/>
    <n v="1346"/>
    <x v="1"/>
    <n v="19"/>
    <n v="2"/>
    <s v="Medical"/>
    <n v="1"/>
    <n v="18"/>
    <n v="2"/>
    <x v="1"/>
    <n v="93"/>
    <n v="3"/>
    <n v="1"/>
    <x v="2"/>
    <n v="4"/>
    <s v="Divorced"/>
    <n v="2661"/>
    <n v="8758"/>
    <n v="0"/>
    <s v="Y"/>
    <x v="1"/>
    <n v="11"/>
    <n v="3"/>
    <n v="3"/>
    <n v="80"/>
    <n v="1"/>
    <n v="3"/>
    <n v="2"/>
    <n v="3"/>
    <n v="2"/>
    <x v="1"/>
    <n v="2"/>
    <n v="1"/>
    <n v="2"/>
    <x v="0"/>
    <n v="0"/>
  </r>
  <r>
    <n v="28"/>
    <x v="2"/>
    <x v="0"/>
    <x v="0"/>
    <n v="103"/>
    <x v="1"/>
    <n v="24"/>
    <n v="3"/>
    <s v="Life Sciences"/>
    <n v="1"/>
    <n v="19"/>
    <n v="3"/>
    <x v="1"/>
    <n v="50"/>
    <n v="2"/>
    <n v="1"/>
    <x v="2"/>
    <n v="3"/>
    <s v="Single"/>
    <n v="2028"/>
    <n v="12947"/>
    <n v="5"/>
    <s v="Y"/>
    <x v="0"/>
    <n v="14"/>
    <n v="3"/>
    <n v="2"/>
    <n v="80"/>
    <n v="0"/>
    <n v="6"/>
    <n v="4"/>
    <n v="3"/>
    <n v="4"/>
    <x v="2"/>
    <n v="2"/>
    <n v="0"/>
    <n v="3"/>
    <x v="2"/>
    <n v="1"/>
  </r>
  <r>
    <n v="29"/>
    <x v="2"/>
    <x v="1"/>
    <x v="0"/>
    <n v="1389"/>
    <x v="1"/>
    <n v="21"/>
    <n v="4"/>
    <s v="Life Sciences"/>
    <n v="1"/>
    <n v="20"/>
    <n v="2"/>
    <x v="0"/>
    <n v="51"/>
    <n v="4"/>
    <n v="3"/>
    <x v="3"/>
    <n v="1"/>
    <s v="Divorced"/>
    <n v="9980"/>
    <n v="10195"/>
    <n v="1"/>
    <s v="Y"/>
    <x v="1"/>
    <n v="11"/>
    <n v="3"/>
    <n v="3"/>
    <n v="80"/>
    <n v="1"/>
    <n v="10"/>
    <n v="1"/>
    <n v="3"/>
    <n v="10"/>
    <x v="0"/>
    <n v="9"/>
    <n v="8"/>
    <n v="8"/>
    <x v="3"/>
    <n v="0"/>
  </r>
  <r>
    <n v="32"/>
    <x v="1"/>
    <x v="1"/>
    <x v="0"/>
    <n v="334"/>
    <x v="1"/>
    <n v="5"/>
    <n v="2"/>
    <s v="Life Sciences"/>
    <n v="1"/>
    <n v="21"/>
    <n v="1"/>
    <x v="1"/>
    <n v="80"/>
    <n v="4"/>
    <n v="1"/>
    <x v="1"/>
    <n v="2"/>
    <s v="Divorced"/>
    <n v="3298"/>
    <n v="15053"/>
    <n v="0"/>
    <s v="Y"/>
    <x v="0"/>
    <n v="12"/>
    <n v="3"/>
    <n v="4"/>
    <n v="80"/>
    <n v="2"/>
    <n v="7"/>
    <n v="5"/>
    <n v="2"/>
    <n v="6"/>
    <x v="0"/>
    <n v="2"/>
    <n v="0"/>
    <n v="5"/>
    <x v="1"/>
    <n v="0"/>
  </r>
  <r>
    <n v="22"/>
    <x v="2"/>
    <x v="1"/>
    <x v="2"/>
    <n v="1123"/>
    <x v="1"/>
    <n v="16"/>
    <n v="2"/>
    <s v="Medical"/>
    <n v="1"/>
    <n v="22"/>
    <n v="4"/>
    <x v="1"/>
    <n v="96"/>
    <n v="4"/>
    <n v="1"/>
    <x v="2"/>
    <n v="4"/>
    <s v="Divorced"/>
    <n v="2935"/>
    <n v="7324"/>
    <n v="1"/>
    <s v="Y"/>
    <x v="0"/>
    <n v="13"/>
    <n v="3"/>
    <n v="2"/>
    <n v="80"/>
    <n v="2"/>
    <n v="1"/>
    <n v="2"/>
    <n v="2"/>
    <n v="1"/>
    <x v="1"/>
    <n v="0"/>
    <n v="0"/>
    <n v="0"/>
    <x v="0"/>
    <n v="0"/>
  </r>
  <r>
    <n v="53"/>
    <x v="3"/>
    <x v="1"/>
    <x v="0"/>
    <n v="1219"/>
    <x v="0"/>
    <n v="2"/>
    <n v="4"/>
    <s v="Life Sciences"/>
    <n v="1"/>
    <n v="23"/>
    <n v="1"/>
    <x v="0"/>
    <n v="78"/>
    <n v="2"/>
    <n v="4"/>
    <x v="5"/>
    <n v="4"/>
    <s v="Married"/>
    <n v="15427"/>
    <n v="22021"/>
    <n v="2"/>
    <s v="Y"/>
    <x v="1"/>
    <n v="16"/>
    <n v="3"/>
    <n v="3"/>
    <n v="80"/>
    <n v="0"/>
    <n v="31"/>
    <n v="3"/>
    <n v="3"/>
    <n v="25"/>
    <x v="3"/>
    <n v="8"/>
    <n v="3"/>
    <n v="7"/>
    <x v="0"/>
    <n v="0"/>
  </r>
  <r>
    <n v="38"/>
    <x v="1"/>
    <x v="1"/>
    <x v="0"/>
    <n v="371"/>
    <x v="1"/>
    <n v="2"/>
    <n v="3"/>
    <s v="Life Sciences"/>
    <n v="1"/>
    <n v="24"/>
    <n v="4"/>
    <x v="1"/>
    <n v="45"/>
    <n v="3"/>
    <n v="1"/>
    <x v="1"/>
    <n v="4"/>
    <s v="Single"/>
    <n v="3944"/>
    <n v="4306"/>
    <n v="5"/>
    <s v="Y"/>
    <x v="0"/>
    <n v="11"/>
    <n v="3"/>
    <n v="3"/>
    <n v="80"/>
    <n v="0"/>
    <n v="6"/>
    <n v="3"/>
    <n v="3"/>
    <n v="3"/>
    <x v="2"/>
    <n v="2"/>
    <n v="1"/>
    <n v="2"/>
    <x v="0"/>
    <n v="0"/>
  </r>
  <r>
    <n v="24"/>
    <x v="2"/>
    <x v="1"/>
    <x v="2"/>
    <n v="673"/>
    <x v="1"/>
    <n v="11"/>
    <n v="2"/>
    <s v="Other"/>
    <n v="1"/>
    <n v="26"/>
    <n v="1"/>
    <x v="0"/>
    <n v="96"/>
    <n v="4"/>
    <n v="2"/>
    <x v="3"/>
    <n v="3"/>
    <s v="Divorced"/>
    <n v="4011"/>
    <n v="8232"/>
    <n v="0"/>
    <s v="Y"/>
    <x v="1"/>
    <n v="18"/>
    <n v="3"/>
    <n v="4"/>
    <n v="80"/>
    <n v="1"/>
    <n v="5"/>
    <n v="5"/>
    <n v="2"/>
    <n v="4"/>
    <x v="2"/>
    <n v="2"/>
    <n v="1"/>
    <n v="3"/>
    <x v="2"/>
    <n v="0"/>
  </r>
  <r>
    <n v="36"/>
    <x v="1"/>
    <x v="0"/>
    <x v="0"/>
    <n v="1218"/>
    <x v="0"/>
    <n v="9"/>
    <n v="4"/>
    <s v="Life Sciences"/>
    <n v="1"/>
    <n v="27"/>
    <n v="3"/>
    <x v="1"/>
    <n v="82"/>
    <n v="2"/>
    <n v="1"/>
    <x v="6"/>
    <n v="1"/>
    <s v="Single"/>
    <n v="3407"/>
    <n v="6986"/>
    <n v="7"/>
    <s v="Y"/>
    <x v="1"/>
    <n v="23"/>
    <n v="4"/>
    <n v="2"/>
    <n v="80"/>
    <n v="0"/>
    <n v="10"/>
    <n v="4"/>
    <n v="3"/>
    <n v="5"/>
    <x v="2"/>
    <n v="3"/>
    <n v="0"/>
    <n v="3"/>
    <x v="3"/>
    <n v="1"/>
  </r>
  <r>
    <n v="34"/>
    <x v="1"/>
    <x v="1"/>
    <x v="0"/>
    <n v="419"/>
    <x v="1"/>
    <n v="7"/>
    <n v="4"/>
    <s v="Life Sciences"/>
    <n v="1"/>
    <n v="28"/>
    <n v="1"/>
    <x v="0"/>
    <n v="53"/>
    <n v="3"/>
    <n v="3"/>
    <x v="7"/>
    <n v="2"/>
    <s v="Single"/>
    <n v="11994"/>
    <n v="21293"/>
    <n v="0"/>
    <s v="Y"/>
    <x v="1"/>
    <n v="11"/>
    <n v="3"/>
    <n v="3"/>
    <n v="80"/>
    <n v="0"/>
    <n v="13"/>
    <n v="4"/>
    <n v="3"/>
    <n v="12"/>
    <x v="3"/>
    <n v="6"/>
    <n v="2"/>
    <n v="11"/>
    <x v="1"/>
    <n v="0"/>
  </r>
  <r>
    <n v="21"/>
    <x v="2"/>
    <x v="1"/>
    <x v="0"/>
    <n v="391"/>
    <x v="1"/>
    <n v="15"/>
    <n v="2"/>
    <s v="Life Sciences"/>
    <n v="1"/>
    <n v="30"/>
    <n v="3"/>
    <x v="1"/>
    <n v="96"/>
    <n v="3"/>
    <n v="1"/>
    <x v="1"/>
    <n v="4"/>
    <s v="Single"/>
    <n v="1232"/>
    <n v="19281"/>
    <n v="1"/>
    <s v="Y"/>
    <x v="1"/>
    <n v="14"/>
    <n v="3"/>
    <n v="4"/>
    <n v="80"/>
    <n v="0"/>
    <n v="0"/>
    <n v="6"/>
    <n v="3"/>
    <n v="0"/>
    <x v="1"/>
    <n v="0"/>
    <n v="0"/>
    <n v="0"/>
    <x v="0"/>
    <n v="0"/>
  </r>
  <r>
    <n v="34"/>
    <x v="1"/>
    <x v="0"/>
    <x v="0"/>
    <n v="699"/>
    <x v="1"/>
    <n v="6"/>
    <n v="1"/>
    <s v="Medical"/>
    <n v="1"/>
    <n v="31"/>
    <n v="2"/>
    <x v="1"/>
    <n v="83"/>
    <n v="3"/>
    <n v="1"/>
    <x v="1"/>
    <n v="1"/>
    <s v="Single"/>
    <n v="2960"/>
    <n v="17102"/>
    <n v="2"/>
    <s v="Y"/>
    <x v="1"/>
    <n v="11"/>
    <n v="3"/>
    <n v="3"/>
    <n v="80"/>
    <n v="0"/>
    <n v="8"/>
    <n v="2"/>
    <n v="3"/>
    <n v="4"/>
    <x v="2"/>
    <n v="2"/>
    <n v="1"/>
    <n v="3"/>
    <x v="3"/>
    <n v="1"/>
  </r>
  <r>
    <n v="53"/>
    <x v="3"/>
    <x v="1"/>
    <x v="0"/>
    <n v="1282"/>
    <x v="1"/>
    <n v="5"/>
    <n v="3"/>
    <s v="Other"/>
    <n v="1"/>
    <n v="32"/>
    <n v="3"/>
    <x v="0"/>
    <n v="58"/>
    <n v="3"/>
    <n v="5"/>
    <x v="5"/>
    <n v="3"/>
    <s v="Divorced"/>
    <n v="19094"/>
    <n v="10735"/>
    <n v="4"/>
    <s v="Y"/>
    <x v="1"/>
    <n v="11"/>
    <n v="3"/>
    <n v="4"/>
    <n v="80"/>
    <n v="1"/>
    <n v="26"/>
    <n v="3"/>
    <n v="2"/>
    <n v="14"/>
    <x v="3"/>
    <n v="13"/>
    <n v="4"/>
    <n v="8"/>
    <x v="2"/>
    <n v="0"/>
  </r>
  <r>
    <n v="32"/>
    <x v="1"/>
    <x v="0"/>
    <x v="1"/>
    <n v="1125"/>
    <x v="1"/>
    <n v="16"/>
    <n v="1"/>
    <s v="Life Sciences"/>
    <n v="1"/>
    <n v="33"/>
    <n v="2"/>
    <x v="0"/>
    <n v="72"/>
    <n v="1"/>
    <n v="1"/>
    <x v="1"/>
    <n v="1"/>
    <s v="Single"/>
    <n v="3919"/>
    <n v="4681"/>
    <n v="1"/>
    <s v="Y"/>
    <x v="0"/>
    <n v="22"/>
    <n v="4"/>
    <n v="2"/>
    <n v="80"/>
    <n v="0"/>
    <n v="10"/>
    <n v="5"/>
    <n v="3"/>
    <n v="10"/>
    <x v="0"/>
    <n v="2"/>
    <n v="6"/>
    <n v="7"/>
    <x v="3"/>
    <n v="1"/>
  </r>
  <r>
    <n v="42"/>
    <x v="0"/>
    <x v="1"/>
    <x v="0"/>
    <n v="691"/>
    <x v="0"/>
    <n v="8"/>
    <n v="4"/>
    <s v="Marketing"/>
    <n v="1"/>
    <n v="35"/>
    <n v="3"/>
    <x v="1"/>
    <n v="48"/>
    <n v="3"/>
    <n v="2"/>
    <x v="0"/>
    <n v="2"/>
    <s v="Married"/>
    <n v="6825"/>
    <n v="21173"/>
    <n v="0"/>
    <s v="Y"/>
    <x v="1"/>
    <n v="11"/>
    <n v="3"/>
    <n v="4"/>
    <n v="80"/>
    <n v="1"/>
    <n v="10"/>
    <n v="2"/>
    <n v="3"/>
    <n v="9"/>
    <x v="0"/>
    <n v="7"/>
    <n v="4"/>
    <n v="2"/>
    <x v="1"/>
    <n v="0"/>
  </r>
  <r>
    <n v="44"/>
    <x v="0"/>
    <x v="1"/>
    <x v="0"/>
    <n v="477"/>
    <x v="1"/>
    <n v="7"/>
    <n v="4"/>
    <s v="Medical"/>
    <n v="1"/>
    <n v="36"/>
    <n v="1"/>
    <x v="0"/>
    <n v="42"/>
    <n v="2"/>
    <n v="3"/>
    <x v="4"/>
    <n v="4"/>
    <s v="Married"/>
    <n v="10248"/>
    <n v="2094"/>
    <n v="3"/>
    <s v="Y"/>
    <x v="1"/>
    <n v="14"/>
    <n v="3"/>
    <n v="4"/>
    <n v="80"/>
    <n v="1"/>
    <n v="24"/>
    <n v="4"/>
    <n v="3"/>
    <n v="22"/>
    <x v="3"/>
    <n v="6"/>
    <n v="5"/>
    <n v="17"/>
    <x v="0"/>
    <n v="0"/>
  </r>
  <r>
    <n v="46"/>
    <x v="0"/>
    <x v="1"/>
    <x v="0"/>
    <n v="705"/>
    <x v="0"/>
    <n v="2"/>
    <n v="4"/>
    <s v="Marketing"/>
    <n v="1"/>
    <n v="38"/>
    <n v="2"/>
    <x v="0"/>
    <n v="83"/>
    <n v="3"/>
    <n v="5"/>
    <x v="5"/>
    <n v="1"/>
    <s v="Single"/>
    <n v="18947"/>
    <n v="22822"/>
    <n v="3"/>
    <s v="Y"/>
    <x v="1"/>
    <n v="12"/>
    <n v="3"/>
    <n v="4"/>
    <n v="80"/>
    <n v="0"/>
    <n v="22"/>
    <n v="2"/>
    <n v="2"/>
    <n v="2"/>
    <x v="1"/>
    <n v="2"/>
    <n v="2"/>
    <n v="1"/>
    <x v="3"/>
    <n v="0"/>
  </r>
  <r>
    <n v="33"/>
    <x v="1"/>
    <x v="1"/>
    <x v="0"/>
    <n v="924"/>
    <x v="1"/>
    <n v="2"/>
    <n v="3"/>
    <s v="Medical"/>
    <n v="1"/>
    <n v="39"/>
    <n v="3"/>
    <x v="1"/>
    <n v="78"/>
    <n v="3"/>
    <n v="1"/>
    <x v="2"/>
    <n v="4"/>
    <s v="Single"/>
    <n v="2496"/>
    <n v="6670"/>
    <n v="4"/>
    <s v="Y"/>
    <x v="1"/>
    <n v="11"/>
    <n v="3"/>
    <n v="4"/>
    <n v="80"/>
    <n v="0"/>
    <n v="7"/>
    <n v="3"/>
    <n v="3"/>
    <n v="1"/>
    <x v="1"/>
    <n v="1"/>
    <n v="0"/>
    <n v="0"/>
    <x v="0"/>
    <n v="0"/>
  </r>
  <r>
    <n v="44"/>
    <x v="0"/>
    <x v="1"/>
    <x v="0"/>
    <n v="1459"/>
    <x v="1"/>
    <n v="10"/>
    <n v="4"/>
    <s v="Other"/>
    <n v="1"/>
    <n v="40"/>
    <n v="4"/>
    <x v="1"/>
    <n v="41"/>
    <n v="3"/>
    <n v="2"/>
    <x v="4"/>
    <n v="4"/>
    <s v="Married"/>
    <n v="6465"/>
    <n v="19121"/>
    <n v="2"/>
    <s v="Y"/>
    <x v="0"/>
    <n v="13"/>
    <n v="3"/>
    <n v="4"/>
    <n v="80"/>
    <n v="0"/>
    <n v="9"/>
    <n v="5"/>
    <n v="4"/>
    <n v="4"/>
    <x v="2"/>
    <n v="2"/>
    <n v="1"/>
    <n v="3"/>
    <x v="0"/>
    <n v="0"/>
  </r>
  <r>
    <n v="30"/>
    <x v="1"/>
    <x v="1"/>
    <x v="0"/>
    <n v="125"/>
    <x v="1"/>
    <n v="9"/>
    <n v="2"/>
    <s v="Medical"/>
    <n v="1"/>
    <n v="41"/>
    <n v="4"/>
    <x v="1"/>
    <n v="83"/>
    <n v="2"/>
    <n v="1"/>
    <x v="2"/>
    <n v="3"/>
    <s v="Single"/>
    <n v="2206"/>
    <n v="16117"/>
    <n v="1"/>
    <s v="Y"/>
    <x v="1"/>
    <n v="13"/>
    <n v="3"/>
    <n v="1"/>
    <n v="80"/>
    <n v="0"/>
    <n v="10"/>
    <n v="5"/>
    <n v="3"/>
    <n v="10"/>
    <x v="0"/>
    <n v="0"/>
    <n v="1"/>
    <n v="8"/>
    <x v="2"/>
    <n v="0"/>
  </r>
  <r>
    <n v="39"/>
    <x v="1"/>
    <x v="0"/>
    <x v="0"/>
    <n v="895"/>
    <x v="0"/>
    <n v="5"/>
    <n v="3"/>
    <s v="Technical Degree"/>
    <n v="1"/>
    <n v="42"/>
    <n v="4"/>
    <x v="1"/>
    <n v="56"/>
    <n v="3"/>
    <n v="2"/>
    <x v="6"/>
    <n v="4"/>
    <s v="Married"/>
    <n v="2086"/>
    <n v="3335"/>
    <n v="3"/>
    <s v="Y"/>
    <x v="1"/>
    <n v="14"/>
    <n v="3"/>
    <n v="3"/>
    <n v="80"/>
    <n v="1"/>
    <n v="19"/>
    <n v="6"/>
    <n v="4"/>
    <n v="1"/>
    <x v="1"/>
    <n v="0"/>
    <n v="0"/>
    <n v="0"/>
    <x v="0"/>
    <n v="1"/>
  </r>
  <r>
    <n v="24"/>
    <x v="2"/>
    <x v="0"/>
    <x v="0"/>
    <n v="813"/>
    <x v="1"/>
    <n v="1"/>
    <n v="3"/>
    <s v="Medical"/>
    <n v="1"/>
    <n v="45"/>
    <n v="2"/>
    <x v="1"/>
    <n v="61"/>
    <n v="3"/>
    <n v="1"/>
    <x v="1"/>
    <n v="4"/>
    <s v="Married"/>
    <n v="2293"/>
    <n v="3020"/>
    <n v="2"/>
    <s v="Y"/>
    <x v="0"/>
    <n v="16"/>
    <n v="3"/>
    <n v="1"/>
    <n v="80"/>
    <n v="1"/>
    <n v="6"/>
    <n v="2"/>
    <n v="2"/>
    <n v="2"/>
    <x v="1"/>
    <n v="0"/>
    <n v="2"/>
    <n v="0"/>
    <x v="0"/>
    <n v="1"/>
  </r>
  <r>
    <n v="43"/>
    <x v="0"/>
    <x v="1"/>
    <x v="0"/>
    <n v="1273"/>
    <x v="1"/>
    <n v="2"/>
    <n v="2"/>
    <s v="Medical"/>
    <n v="1"/>
    <n v="46"/>
    <n v="4"/>
    <x v="0"/>
    <n v="72"/>
    <n v="4"/>
    <n v="1"/>
    <x v="1"/>
    <n v="3"/>
    <s v="Divorced"/>
    <n v="2645"/>
    <n v="21923"/>
    <n v="1"/>
    <s v="Y"/>
    <x v="1"/>
    <n v="12"/>
    <n v="3"/>
    <n v="4"/>
    <n v="80"/>
    <n v="2"/>
    <n v="6"/>
    <n v="3"/>
    <n v="2"/>
    <n v="5"/>
    <x v="2"/>
    <n v="3"/>
    <n v="1"/>
    <n v="4"/>
    <x v="2"/>
    <n v="0"/>
  </r>
  <r>
    <n v="50"/>
    <x v="0"/>
    <x v="0"/>
    <x v="0"/>
    <n v="869"/>
    <x v="0"/>
    <n v="3"/>
    <n v="2"/>
    <s v="Marketing"/>
    <n v="1"/>
    <n v="47"/>
    <n v="1"/>
    <x v="1"/>
    <n v="86"/>
    <n v="2"/>
    <n v="1"/>
    <x v="6"/>
    <n v="3"/>
    <s v="Married"/>
    <n v="2683"/>
    <n v="3810"/>
    <n v="1"/>
    <s v="Y"/>
    <x v="0"/>
    <n v="14"/>
    <n v="3"/>
    <n v="3"/>
    <n v="80"/>
    <n v="0"/>
    <n v="3"/>
    <n v="2"/>
    <n v="3"/>
    <n v="3"/>
    <x v="2"/>
    <n v="2"/>
    <n v="0"/>
    <n v="2"/>
    <x v="2"/>
    <n v="1"/>
  </r>
  <r>
    <n v="35"/>
    <x v="1"/>
    <x v="1"/>
    <x v="0"/>
    <n v="890"/>
    <x v="0"/>
    <n v="2"/>
    <n v="3"/>
    <s v="Marketing"/>
    <n v="1"/>
    <n v="49"/>
    <n v="4"/>
    <x v="0"/>
    <n v="97"/>
    <n v="3"/>
    <n v="1"/>
    <x v="6"/>
    <n v="4"/>
    <s v="Married"/>
    <n v="2014"/>
    <n v="9687"/>
    <n v="1"/>
    <s v="Y"/>
    <x v="1"/>
    <n v="13"/>
    <n v="3"/>
    <n v="1"/>
    <n v="80"/>
    <n v="0"/>
    <n v="2"/>
    <n v="3"/>
    <n v="3"/>
    <n v="2"/>
    <x v="1"/>
    <n v="2"/>
    <n v="2"/>
    <n v="2"/>
    <x v="0"/>
    <n v="0"/>
  </r>
  <r>
    <n v="36"/>
    <x v="1"/>
    <x v="1"/>
    <x v="0"/>
    <n v="852"/>
    <x v="1"/>
    <n v="5"/>
    <n v="4"/>
    <s v="Life Sciences"/>
    <n v="1"/>
    <n v="51"/>
    <n v="2"/>
    <x v="0"/>
    <n v="82"/>
    <n v="2"/>
    <n v="1"/>
    <x v="1"/>
    <n v="1"/>
    <s v="Married"/>
    <n v="3419"/>
    <n v="13072"/>
    <n v="9"/>
    <s v="Y"/>
    <x v="0"/>
    <n v="14"/>
    <n v="3"/>
    <n v="4"/>
    <n v="80"/>
    <n v="1"/>
    <n v="6"/>
    <n v="3"/>
    <n v="4"/>
    <n v="1"/>
    <x v="1"/>
    <n v="1"/>
    <n v="0"/>
    <n v="0"/>
    <x v="3"/>
    <n v="0"/>
  </r>
  <r>
    <n v="33"/>
    <x v="1"/>
    <x v="1"/>
    <x v="1"/>
    <n v="1141"/>
    <x v="0"/>
    <n v="1"/>
    <n v="3"/>
    <s v="Life Sciences"/>
    <n v="1"/>
    <n v="52"/>
    <n v="3"/>
    <x v="0"/>
    <n v="42"/>
    <n v="4"/>
    <n v="2"/>
    <x v="0"/>
    <n v="1"/>
    <s v="Married"/>
    <n v="5376"/>
    <n v="3193"/>
    <n v="2"/>
    <s v="Y"/>
    <x v="1"/>
    <n v="19"/>
    <n v="3"/>
    <n v="1"/>
    <n v="80"/>
    <n v="2"/>
    <n v="10"/>
    <n v="3"/>
    <n v="3"/>
    <n v="5"/>
    <x v="2"/>
    <n v="3"/>
    <n v="1"/>
    <n v="3"/>
    <x v="3"/>
    <n v="0"/>
  </r>
  <r>
    <n v="35"/>
    <x v="1"/>
    <x v="1"/>
    <x v="0"/>
    <n v="464"/>
    <x v="1"/>
    <n v="4"/>
    <n v="2"/>
    <s v="Other"/>
    <n v="1"/>
    <n v="53"/>
    <n v="3"/>
    <x v="1"/>
    <n v="75"/>
    <n v="3"/>
    <n v="1"/>
    <x v="2"/>
    <n v="4"/>
    <s v="Divorced"/>
    <n v="1951"/>
    <n v="10910"/>
    <n v="1"/>
    <s v="Y"/>
    <x v="1"/>
    <n v="12"/>
    <n v="3"/>
    <n v="3"/>
    <n v="80"/>
    <n v="1"/>
    <n v="1"/>
    <n v="3"/>
    <n v="3"/>
    <n v="1"/>
    <x v="1"/>
    <n v="0"/>
    <n v="0"/>
    <n v="0"/>
    <x v="0"/>
    <n v="0"/>
  </r>
  <r>
    <n v="27"/>
    <x v="2"/>
    <x v="1"/>
    <x v="0"/>
    <n v="1240"/>
    <x v="1"/>
    <n v="2"/>
    <n v="4"/>
    <s v="Life Sciences"/>
    <n v="1"/>
    <n v="54"/>
    <n v="4"/>
    <x v="0"/>
    <n v="33"/>
    <n v="3"/>
    <n v="1"/>
    <x v="2"/>
    <n v="1"/>
    <s v="Divorced"/>
    <n v="2341"/>
    <n v="19715"/>
    <n v="1"/>
    <s v="Y"/>
    <x v="1"/>
    <n v="13"/>
    <n v="3"/>
    <n v="4"/>
    <n v="80"/>
    <n v="1"/>
    <n v="1"/>
    <n v="6"/>
    <n v="3"/>
    <n v="1"/>
    <x v="1"/>
    <n v="0"/>
    <n v="0"/>
    <n v="0"/>
    <x v="3"/>
    <n v="0"/>
  </r>
  <r>
    <n v="26"/>
    <x v="2"/>
    <x v="0"/>
    <x v="0"/>
    <n v="1357"/>
    <x v="1"/>
    <n v="25"/>
    <n v="3"/>
    <s v="Life Sciences"/>
    <n v="1"/>
    <n v="55"/>
    <n v="1"/>
    <x v="1"/>
    <n v="48"/>
    <n v="1"/>
    <n v="1"/>
    <x v="2"/>
    <n v="3"/>
    <s v="Single"/>
    <n v="2293"/>
    <n v="10558"/>
    <n v="1"/>
    <s v="Y"/>
    <x v="1"/>
    <n v="12"/>
    <n v="3"/>
    <n v="3"/>
    <n v="80"/>
    <n v="0"/>
    <n v="1"/>
    <n v="2"/>
    <n v="2"/>
    <n v="1"/>
    <x v="1"/>
    <n v="0"/>
    <n v="0"/>
    <n v="1"/>
    <x v="2"/>
    <n v="1"/>
  </r>
  <r>
    <n v="27"/>
    <x v="2"/>
    <x v="1"/>
    <x v="1"/>
    <n v="994"/>
    <x v="0"/>
    <n v="8"/>
    <n v="3"/>
    <s v="Life Sciences"/>
    <n v="1"/>
    <n v="56"/>
    <n v="4"/>
    <x v="1"/>
    <n v="37"/>
    <n v="3"/>
    <n v="3"/>
    <x v="0"/>
    <n v="3"/>
    <s v="Single"/>
    <n v="8726"/>
    <n v="2975"/>
    <n v="1"/>
    <s v="Y"/>
    <x v="1"/>
    <n v="15"/>
    <n v="3"/>
    <n v="4"/>
    <n v="80"/>
    <n v="0"/>
    <n v="9"/>
    <n v="0"/>
    <n v="3"/>
    <n v="9"/>
    <x v="0"/>
    <n v="8"/>
    <n v="1"/>
    <n v="7"/>
    <x v="2"/>
    <n v="0"/>
  </r>
  <r>
    <n v="30"/>
    <x v="1"/>
    <x v="1"/>
    <x v="1"/>
    <n v="721"/>
    <x v="1"/>
    <n v="1"/>
    <n v="2"/>
    <s v="Medical"/>
    <n v="1"/>
    <n v="57"/>
    <n v="3"/>
    <x v="0"/>
    <n v="58"/>
    <n v="3"/>
    <n v="2"/>
    <x v="2"/>
    <n v="4"/>
    <s v="Single"/>
    <n v="4011"/>
    <n v="10781"/>
    <n v="1"/>
    <s v="Y"/>
    <x v="1"/>
    <n v="23"/>
    <n v="4"/>
    <n v="4"/>
    <n v="80"/>
    <n v="0"/>
    <n v="12"/>
    <n v="2"/>
    <n v="3"/>
    <n v="12"/>
    <x v="3"/>
    <n v="8"/>
    <n v="3"/>
    <n v="7"/>
    <x v="0"/>
    <n v="0"/>
  </r>
  <r>
    <n v="41"/>
    <x v="0"/>
    <x v="0"/>
    <x v="0"/>
    <n v="1360"/>
    <x v="1"/>
    <n v="12"/>
    <n v="3"/>
    <s v="Technical Degree"/>
    <n v="1"/>
    <n v="58"/>
    <n v="2"/>
    <x v="0"/>
    <n v="49"/>
    <n v="3"/>
    <n v="5"/>
    <x v="7"/>
    <n v="3"/>
    <s v="Married"/>
    <n v="19545"/>
    <n v="16280"/>
    <n v="1"/>
    <s v="Y"/>
    <x v="1"/>
    <n v="12"/>
    <n v="3"/>
    <n v="4"/>
    <n v="80"/>
    <n v="0"/>
    <n v="23"/>
    <n v="0"/>
    <n v="3"/>
    <n v="22"/>
    <x v="3"/>
    <n v="15"/>
    <n v="15"/>
    <n v="8"/>
    <x v="2"/>
    <n v="1"/>
  </r>
  <r>
    <n v="34"/>
    <x v="1"/>
    <x v="1"/>
    <x v="2"/>
    <n v="1065"/>
    <x v="0"/>
    <n v="23"/>
    <n v="4"/>
    <s v="Marketing"/>
    <n v="1"/>
    <n v="60"/>
    <n v="2"/>
    <x v="1"/>
    <n v="72"/>
    <n v="3"/>
    <n v="2"/>
    <x v="0"/>
    <n v="3"/>
    <s v="Single"/>
    <n v="4568"/>
    <n v="10034"/>
    <n v="0"/>
    <s v="Y"/>
    <x v="1"/>
    <n v="20"/>
    <n v="4"/>
    <n v="3"/>
    <n v="80"/>
    <n v="0"/>
    <n v="10"/>
    <n v="2"/>
    <n v="3"/>
    <n v="9"/>
    <x v="0"/>
    <n v="5"/>
    <n v="8"/>
    <n v="7"/>
    <x v="2"/>
    <n v="0"/>
  </r>
  <r>
    <n v="37"/>
    <x v="1"/>
    <x v="1"/>
    <x v="0"/>
    <n v="408"/>
    <x v="1"/>
    <n v="19"/>
    <n v="2"/>
    <s v="Life Sciences"/>
    <n v="1"/>
    <n v="61"/>
    <n v="2"/>
    <x v="1"/>
    <n v="73"/>
    <n v="3"/>
    <n v="1"/>
    <x v="1"/>
    <n v="2"/>
    <s v="Married"/>
    <n v="3022"/>
    <n v="10227"/>
    <n v="4"/>
    <s v="Y"/>
    <x v="1"/>
    <n v="21"/>
    <n v="4"/>
    <n v="1"/>
    <n v="80"/>
    <n v="0"/>
    <n v="8"/>
    <n v="1"/>
    <n v="3"/>
    <n v="1"/>
    <x v="1"/>
    <n v="0"/>
    <n v="0"/>
    <n v="0"/>
    <x v="1"/>
    <n v="0"/>
  </r>
  <r>
    <n v="46"/>
    <x v="0"/>
    <x v="1"/>
    <x v="1"/>
    <n v="1211"/>
    <x v="0"/>
    <n v="5"/>
    <n v="4"/>
    <s v="Marketing"/>
    <n v="1"/>
    <n v="62"/>
    <n v="1"/>
    <x v="1"/>
    <n v="98"/>
    <n v="3"/>
    <n v="2"/>
    <x v="0"/>
    <n v="4"/>
    <s v="Single"/>
    <n v="5772"/>
    <n v="20445"/>
    <n v="4"/>
    <s v="Y"/>
    <x v="0"/>
    <n v="21"/>
    <n v="4"/>
    <n v="3"/>
    <n v="80"/>
    <n v="0"/>
    <n v="14"/>
    <n v="4"/>
    <n v="3"/>
    <n v="9"/>
    <x v="0"/>
    <n v="6"/>
    <n v="0"/>
    <n v="8"/>
    <x v="0"/>
    <n v="0"/>
  </r>
  <r>
    <n v="35"/>
    <x v="1"/>
    <x v="1"/>
    <x v="0"/>
    <n v="1229"/>
    <x v="1"/>
    <n v="8"/>
    <n v="1"/>
    <s v="Life Sciences"/>
    <n v="1"/>
    <n v="63"/>
    <n v="4"/>
    <x v="1"/>
    <n v="36"/>
    <n v="4"/>
    <n v="1"/>
    <x v="2"/>
    <n v="4"/>
    <s v="Married"/>
    <n v="2269"/>
    <n v="4892"/>
    <n v="1"/>
    <s v="Y"/>
    <x v="1"/>
    <n v="19"/>
    <n v="3"/>
    <n v="4"/>
    <n v="80"/>
    <n v="0"/>
    <n v="1"/>
    <n v="2"/>
    <n v="3"/>
    <n v="1"/>
    <x v="1"/>
    <n v="0"/>
    <n v="0"/>
    <n v="1"/>
    <x v="0"/>
    <n v="0"/>
  </r>
  <r>
    <n v="48"/>
    <x v="0"/>
    <x v="0"/>
    <x v="0"/>
    <n v="626"/>
    <x v="1"/>
    <n v="1"/>
    <n v="2"/>
    <s v="Life Sciences"/>
    <n v="1"/>
    <n v="64"/>
    <n v="1"/>
    <x v="1"/>
    <n v="98"/>
    <n v="2"/>
    <n v="3"/>
    <x v="2"/>
    <n v="3"/>
    <s v="Single"/>
    <n v="5381"/>
    <n v="19294"/>
    <n v="9"/>
    <s v="Y"/>
    <x v="0"/>
    <n v="13"/>
    <n v="3"/>
    <n v="4"/>
    <n v="80"/>
    <n v="0"/>
    <n v="23"/>
    <n v="2"/>
    <n v="3"/>
    <n v="1"/>
    <x v="1"/>
    <n v="0"/>
    <n v="0"/>
    <n v="0"/>
    <x v="2"/>
    <n v="1"/>
  </r>
  <r>
    <n v="28"/>
    <x v="2"/>
    <x v="0"/>
    <x v="0"/>
    <n v="1434"/>
    <x v="1"/>
    <n v="5"/>
    <n v="4"/>
    <s v="Technical Degree"/>
    <n v="1"/>
    <n v="65"/>
    <n v="3"/>
    <x v="1"/>
    <n v="50"/>
    <n v="3"/>
    <n v="1"/>
    <x v="2"/>
    <n v="3"/>
    <s v="Single"/>
    <n v="3441"/>
    <n v="11179"/>
    <n v="1"/>
    <s v="Y"/>
    <x v="0"/>
    <n v="13"/>
    <n v="3"/>
    <n v="3"/>
    <n v="80"/>
    <n v="0"/>
    <n v="2"/>
    <n v="3"/>
    <n v="2"/>
    <n v="2"/>
    <x v="1"/>
    <n v="2"/>
    <n v="2"/>
    <n v="2"/>
    <x v="2"/>
    <n v="1"/>
  </r>
  <r>
    <n v="44"/>
    <x v="0"/>
    <x v="1"/>
    <x v="0"/>
    <n v="1488"/>
    <x v="0"/>
    <n v="1"/>
    <n v="5"/>
    <s v="Marketing"/>
    <n v="1"/>
    <n v="68"/>
    <n v="2"/>
    <x v="0"/>
    <n v="75"/>
    <n v="3"/>
    <n v="2"/>
    <x v="0"/>
    <n v="1"/>
    <s v="Divorced"/>
    <n v="5454"/>
    <n v="4009"/>
    <n v="5"/>
    <s v="Y"/>
    <x v="0"/>
    <n v="21"/>
    <n v="4"/>
    <n v="3"/>
    <n v="80"/>
    <n v="1"/>
    <n v="9"/>
    <n v="2"/>
    <n v="2"/>
    <n v="4"/>
    <x v="2"/>
    <n v="3"/>
    <n v="1"/>
    <n v="3"/>
    <x v="3"/>
    <n v="0"/>
  </r>
  <r>
    <n v="35"/>
    <x v="1"/>
    <x v="1"/>
    <x v="2"/>
    <n v="1097"/>
    <x v="1"/>
    <n v="11"/>
    <n v="2"/>
    <s v="Medical"/>
    <n v="1"/>
    <n v="70"/>
    <n v="3"/>
    <x v="1"/>
    <n v="79"/>
    <n v="2"/>
    <n v="3"/>
    <x v="4"/>
    <n v="1"/>
    <s v="Married"/>
    <n v="9884"/>
    <n v="8302"/>
    <n v="2"/>
    <s v="Y"/>
    <x v="0"/>
    <n v="13"/>
    <n v="3"/>
    <n v="3"/>
    <n v="80"/>
    <n v="1"/>
    <n v="10"/>
    <n v="3"/>
    <n v="3"/>
    <n v="4"/>
    <x v="2"/>
    <n v="0"/>
    <n v="2"/>
    <n v="3"/>
    <x v="3"/>
    <n v="0"/>
  </r>
  <r>
    <n v="26"/>
    <x v="2"/>
    <x v="1"/>
    <x v="0"/>
    <n v="1443"/>
    <x v="0"/>
    <n v="23"/>
    <n v="3"/>
    <s v="Marketing"/>
    <n v="1"/>
    <n v="72"/>
    <n v="3"/>
    <x v="0"/>
    <n v="47"/>
    <n v="2"/>
    <n v="2"/>
    <x v="0"/>
    <n v="4"/>
    <s v="Married"/>
    <n v="4157"/>
    <n v="21436"/>
    <n v="7"/>
    <s v="Y"/>
    <x v="0"/>
    <n v="19"/>
    <n v="3"/>
    <n v="3"/>
    <n v="80"/>
    <n v="1"/>
    <n v="5"/>
    <n v="2"/>
    <n v="2"/>
    <n v="2"/>
    <x v="1"/>
    <n v="2"/>
    <n v="0"/>
    <n v="0"/>
    <x v="0"/>
    <n v="0"/>
  </r>
  <r>
    <n v="33"/>
    <x v="1"/>
    <x v="1"/>
    <x v="1"/>
    <n v="515"/>
    <x v="1"/>
    <n v="1"/>
    <n v="2"/>
    <s v="Life Sciences"/>
    <n v="1"/>
    <n v="73"/>
    <n v="1"/>
    <x v="0"/>
    <n v="98"/>
    <n v="3"/>
    <n v="3"/>
    <x v="7"/>
    <n v="4"/>
    <s v="Single"/>
    <n v="13458"/>
    <n v="15146"/>
    <n v="1"/>
    <s v="Y"/>
    <x v="0"/>
    <n v="12"/>
    <n v="3"/>
    <n v="3"/>
    <n v="80"/>
    <n v="0"/>
    <n v="15"/>
    <n v="1"/>
    <n v="3"/>
    <n v="15"/>
    <x v="3"/>
    <n v="14"/>
    <n v="8"/>
    <n v="12"/>
    <x v="0"/>
    <n v="0"/>
  </r>
  <r>
    <n v="35"/>
    <x v="1"/>
    <x v="1"/>
    <x v="1"/>
    <n v="853"/>
    <x v="0"/>
    <n v="18"/>
    <n v="5"/>
    <s v="Life Sciences"/>
    <n v="1"/>
    <n v="74"/>
    <n v="2"/>
    <x v="1"/>
    <n v="71"/>
    <n v="3"/>
    <n v="3"/>
    <x v="0"/>
    <n v="1"/>
    <s v="Married"/>
    <n v="9069"/>
    <n v="11031"/>
    <n v="1"/>
    <s v="Y"/>
    <x v="1"/>
    <n v="22"/>
    <n v="4"/>
    <n v="4"/>
    <n v="80"/>
    <n v="1"/>
    <n v="9"/>
    <n v="3"/>
    <n v="2"/>
    <n v="9"/>
    <x v="0"/>
    <n v="8"/>
    <n v="1"/>
    <n v="8"/>
    <x v="3"/>
    <n v="0"/>
  </r>
  <r>
    <n v="35"/>
    <x v="1"/>
    <x v="1"/>
    <x v="0"/>
    <n v="1142"/>
    <x v="1"/>
    <n v="23"/>
    <n v="4"/>
    <s v="Medical"/>
    <n v="1"/>
    <n v="75"/>
    <n v="3"/>
    <x v="0"/>
    <n v="30"/>
    <n v="3"/>
    <n v="1"/>
    <x v="2"/>
    <n v="1"/>
    <s v="Married"/>
    <n v="4014"/>
    <n v="16002"/>
    <n v="3"/>
    <s v="Y"/>
    <x v="0"/>
    <n v="15"/>
    <n v="3"/>
    <n v="3"/>
    <n v="80"/>
    <n v="1"/>
    <n v="4"/>
    <n v="3"/>
    <n v="3"/>
    <n v="2"/>
    <x v="1"/>
    <n v="2"/>
    <n v="2"/>
    <n v="2"/>
    <x v="3"/>
    <n v="0"/>
  </r>
  <r>
    <n v="31"/>
    <x v="1"/>
    <x v="1"/>
    <x v="0"/>
    <n v="655"/>
    <x v="1"/>
    <n v="7"/>
    <n v="4"/>
    <s v="Life Sciences"/>
    <n v="1"/>
    <n v="76"/>
    <n v="4"/>
    <x v="1"/>
    <n v="48"/>
    <n v="3"/>
    <n v="2"/>
    <x v="2"/>
    <n v="4"/>
    <s v="Divorced"/>
    <n v="5915"/>
    <n v="9528"/>
    <n v="3"/>
    <s v="Y"/>
    <x v="1"/>
    <n v="22"/>
    <n v="4"/>
    <n v="4"/>
    <n v="80"/>
    <n v="1"/>
    <n v="10"/>
    <n v="3"/>
    <n v="2"/>
    <n v="7"/>
    <x v="0"/>
    <n v="7"/>
    <n v="1"/>
    <n v="7"/>
    <x v="0"/>
    <n v="0"/>
  </r>
  <r>
    <n v="37"/>
    <x v="1"/>
    <x v="1"/>
    <x v="0"/>
    <n v="1115"/>
    <x v="1"/>
    <n v="1"/>
    <n v="4"/>
    <s v="Life Sciences"/>
    <n v="1"/>
    <n v="77"/>
    <n v="1"/>
    <x v="1"/>
    <n v="51"/>
    <n v="2"/>
    <n v="2"/>
    <x v="3"/>
    <n v="3"/>
    <s v="Divorced"/>
    <n v="5993"/>
    <n v="2689"/>
    <n v="1"/>
    <s v="Y"/>
    <x v="1"/>
    <n v="18"/>
    <n v="3"/>
    <n v="3"/>
    <n v="80"/>
    <n v="1"/>
    <n v="7"/>
    <n v="2"/>
    <n v="4"/>
    <n v="7"/>
    <x v="0"/>
    <n v="5"/>
    <n v="0"/>
    <n v="7"/>
    <x v="2"/>
    <n v="0"/>
  </r>
  <r>
    <n v="32"/>
    <x v="1"/>
    <x v="1"/>
    <x v="0"/>
    <n v="427"/>
    <x v="1"/>
    <n v="1"/>
    <n v="3"/>
    <s v="Medical"/>
    <n v="1"/>
    <n v="78"/>
    <n v="1"/>
    <x v="1"/>
    <n v="33"/>
    <n v="3"/>
    <n v="2"/>
    <x v="3"/>
    <n v="4"/>
    <s v="Married"/>
    <n v="6162"/>
    <n v="10877"/>
    <n v="1"/>
    <s v="Y"/>
    <x v="0"/>
    <n v="22"/>
    <n v="4"/>
    <n v="2"/>
    <n v="80"/>
    <n v="1"/>
    <n v="9"/>
    <n v="3"/>
    <n v="3"/>
    <n v="9"/>
    <x v="0"/>
    <n v="8"/>
    <n v="7"/>
    <n v="8"/>
    <x v="0"/>
    <n v="0"/>
  </r>
  <r>
    <n v="38"/>
    <x v="1"/>
    <x v="1"/>
    <x v="1"/>
    <n v="653"/>
    <x v="1"/>
    <n v="29"/>
    <n v="5"/>
    <s v="Life Sciences"/>
    <n v="1"/>
    <n v="79"/>
    <n v="4"/>
    <x v="0"/>
    <n v="50"/>
    <n v="3"/>
    <n v="2"/>
    <x v="2"/>
    <n v="4"/>
    <s v="Single"/>
    <n v="2406"/>
    <n v="5456"/>
    <n v="1"/>
    <s v="Y"/>
    <x v="1"/>
    <n v="11"/>
    <n v="3"/>
    <n v="4"/>
    <n v="80"/>
    <n v="0"/>
    <n v="10"/>
    <n v="2"/>
    <n v="3"/>
    <n v="10"/>
    <x v="0"/>
    <n v="3"/>
    <n v="9"/>
    <n v="9"/>
    <x v="0"/>
    <n v="0"/>
  </r>
  <r>
    <n v="50"/>
    <x v="0"/>
    <x v="1"/>
    <x v="0"/>
    <n v="989"/>
    <x v="1"/>
    <n v="7"/>
    <n v="2"/>
    <s v="Medical"/>
    <n v="1"/>
    <n v="80"/>
    <n v="2"/>
    <x v="0"/>
    <n v="43"/>
    <n v="2"/>
    <n v="5"/>
    <x v="7"/>
    <n v="3"/>
    <s v="Divorced"/>
    <n v="18740"/>
    <n v="16701"/>
    <n v="5"/>
    <s v="Y"/>
    <x v="0"/>
    <n v="12"/>
    <n v="3"/>
    <n v="4"/>
    <n v="80"/>
    <n v="1"/>
    <n v="29"/>
    <n v="2"/>
    <n v="2"/>
    <n v="27"/>
    <x v="3"/>
    <n v="3"/>
    <n v="13"/>
    <n v="8"/>
    <x v="2"/>
    <n v="0"/>
  </r>
  <r>
    <n v="59"/>
    <x v="3"/>
    <x v="1"/>
    <x v="0"/>
    <n v="1435"/>
    <x v="0"/>
    <n v="25"/>
    <n v="3"/>
    <s v="Life Sciences"/>
    <n v="1"/>
    <n v="81"/>
    <n v="1"/>
    <x v="0"/>
    <n v="99"/>
    <n v="3"/>
    <n v="3"/>
    <x v="0"/>
    <n v="1"/>
    <s v="Single"/>
    <n v="7637"/>
    <n v="2354"/>
    <n v="7"/>
    <s v="Y"/>
    <x v="1"/>
    <n v="11"/>
    <n v="3"/>
    <n v="4"/>
    <n v="80"/>
    <n v="0"/>
    <n v="28"/>
    <n v="3"/>
    <n v="2"/>
    <n v="21"/>
    <x v="3"/>
    <n v="16"/>
    <n v="7"/>
    <n v="9"/>
    <x v="3"/>
    <n v="0"/>
  </r>
  <r>
    <n v="36"/>
    <x v="1"/>
    <x v="1"/>
    <x v="0"/>
    <n v="1223"/>
    <x v="1"/>
    <n v="8"/>
    <n v="3"/>
    <s v="Technical Degree"/>
    <n v="1"/>
    <n v="83"/>
    <n v="3"/>
    <x v="0"/>
    <n v="59"/>
    <n v="3"/>
    <n v="3"/>
    <x v="4"/>
    <n v="3"/>
    <s v="Divorced"/>
    <n v="10096"/>
    <n v="8202"/>
    <n v="1"/>
    <s v="Y"/>
    <x v="1"/>
    <n v="13"/>
    <n v="3"/>
    <n v="2"/>
    <n v="80"/>
    <n v="3"/>
    <n v="17"/>
    <n v="2"/>
    <n v="3"/>
    <n v="17"/>
    <x v="3"/>
    <n v="14"/>
    <n v="12"/>
    <n v="8"/>
    <x v="2"/>
    <n v="0"/>
  </r>
  <r>
    <n v="55"/>
    <x v="3"/>
    <x v="1"/>
    <x v="0"/>
    <n v="836"/>
    <x v="1"/>
    <n v="8"/>
    <n v="3"/>
    <s v="Medical"/>
    <n v="1"/>
    <n v="84"/>
    <n v="4"/>
    <x v="0"/>
    <n v="33"/>
    <n v="3"/>
    <n v="4"/>
    <x v="5"/>
    <n v="3"/>
    <s v="Divorced"/>
    <n v="14756"/>
    <n v="19730"/>
    <n v="2"/>
    <s v="Y"/>
    <x v="0"/>
    <n v="14"/>
    <n v="3"/>
    <n v="3"/>
    <n v="80"/>
    <n v="3"/>
    <n v="21"/>
    <n v="2"/>
    <n v="3"/>
    <n v="5"/>
    <x v="2"/>
    <n v="0"/>
    <n v="0"/>
    <n v="2"/>
    <x v="2"/>
    <n v="0"/>
  </r>
  <r>
    <n v="36"/>
    <x v="1"/>
    <x v="1"/>
    <x v="1"/>
    <n v="1195"/>
    <x v="1"/>
    <n v="11"/>
    <n v="3"/>
    <s v="Life Sciences"/>
    <n v="1"/>
    <n v="85"/>
    <n v="2"/>
    <x v="1"/>
    <n v="95"/>
    <n v="2"/>
    <n v="2"/>
    <x v="3"/>
    <n v="2"/>
    <s v="Single"/>
    <n v="6499"/>
    <n v="22656"/>
    <n v="1"/>
    <s v="Y"/>
    <x v="1"/>
    <n v="13"/>
    <n v="3"/>
    <n v="3"/>
    <n v="80"/>
    <n v="0"/>
    <n v="6"/>
    <n v="3"/>
    <n v="3"/>
    <n v="6"/>
    <x v="0"/>
    <n v="5"/>
    <n v="0"/>
    <n v="3"/>
    <x v="1"/>
    <n v="0"/>
  </r>
  <r>
    <n v="45"/>
    <x v="0"/>
    <x v="1"/>
    <x v="0"/>
    <n v="1339"/>
    <x v="1"/>
    <n v="7"/>
    <n v="3"/>
    <s v="Life Sciences"/>
    <n v="1"/>
    <n v="86"/>
    <n v="2"/>
    <x v="1"/>
    <n v="59"/>
    <n v="3"/>
    <n v="3"/>
    <x v="1"/>
    <n v="1"/>
    <s v="Divorced"/>
    <n v="9724"/>
    <n v="18787"/>
    <n v="2"/>
    <s v="Y"/>
    <x v="1"/>
    <n v="17"/>
    <n v="3"/>
    <n v="3"/>
    <n v="80"/>
    <n v="1"/>
    <n v="25"/>
    <n v="2"/>
    <n v="3"/>
    <n v="1"/>
    <x v="1"/>
    <n v="0"/>
    <n v="0"/>
    <n v="0"/>
    <x v="3"/>
    <n v="0"/>
  </r>
  <r>
    <n v="35"/>
    <x v="1"/>
    <x v="1"/>
    <x v="1"/>
    <n v="664"/>
    <x v="1"/>
    <n v="1"/>
    <n v="3"/>
    <s v="Medical"/>
    <n v="1"/>
    <n v="88"/>
    <n v="2"/>
    <x v="1"/>
    <n v="79"/>
    <n v="3"/>
    <n v="1"/>
    <x v="1"/>
    <n v="1"/>
    <s v="Married"/>
    <n v="2194"/>
    <n v="5868"/>
    <n v="4"/>
    <s v="Y"/>
    <x v="1"/>
    <n v="13"/>
    <n v="3"/>
    <n v="4"/>
    <n v="80"/>
    <n v="1"/>
    <n v="5"/>
    <n v="2"/>
    <n v="2"/>
    <n v="3"/>
    <x v="2"/>
    <n v="2"/>
    <n v="1"/>
    <n v="2"/>
    <x v="3"/>
    <n v="0"/>
  </r>
  <r>
    <n v="36"/>
    <x v="1"/>
    <x v="0"/>
    <x v="0"/>
    <n v="318"/>
    <x v="1"/>
    <n v="9"/>
    <n v="3"/>
    <s v="Medical"/>
    <n v="1"/>
    <n v="90"/>
    <n v="4"/>
    <x v="1"/>
    <n v="79"/>
    <n v="2"/>
    <n v="1"/>
    <x v="1"/>
    <n v="3"/>
    <s v="Married"/>
    <n v="3388"/>
    <n v="21777"/>
    <n v="0"/>
    <s v="Y"/>
    <x v="0"/>
    <n v="17"/>
    <n v="3"/>
    <n v="1"/>
    <n v="80"/>
    <n v="1"/>
    <n v="2"/>
    <n v="0"/>
    <n v="2"/>
    <n v="1"/>
    <x v="1"/>
    <n v="0"/>
    <n v="0"/>
    <n v="0"/>
    <x v="2"/>
    <n v="1"/>
  </r>
  <r>
    <n v="59"/>
    <x v="3"/>
    <x v="1"/>
    <x v="1"/>
    <n v="1225"/>
    <x v="0"/>
    <n v="1"/>
    <n v="1"/>
    <s v="Life Sciences"/>
    <n v="1"/>
    <n v="91"/>
    <n v="1"/>
    <x v="0"/>
    <n v="57"/>
    <n v="2"/>
    <n v="2"/>
    <x v="0"/>
    <n v="3"/>
    <s v="Single"/>
    <n v="5473"/>
    <n v="24668"/>
    <n v="7"/>
    <s v="Y"/>
    <x v="1"/>
    <n v="11"/>
    <n v="3"/>
    <n v="4"/>
    <n v="80"/>
    <n v="0"/>
    <n v="20"/>
    <n v="2"/>
    <n v="2"/>
    <n v="4"/>
    <x v="2"/>
    <n v="3"/>
    <n v="1"/>
    <n v="3"/>
    <x v="2"/>
    <n v="0"/>
  </r>
  <r>
    <n v="29"/>
    <x v="2"/>
    <x v="1"/>
    <x v="0"/>
    <n v="1328"/>
    <x v="1"/>
    <n v="2"/>
    <n v="3"/>
    <s v="Life Sciences"/>
    <n v="1"/>
    <n v="94"/>
    <n v="3"/>
    <x v="1"/>
    <n v="76"/>
    <n v="3"/>
    <n v="1"/>
    <x v="1"/>
    <n v="2"/>
    <s v="Married"/>
    <n v="2703"/>
    <n v="4956"/>
    <n v="0"/>
    <s v="Y"/>
    <x v="1"/>
    <n v="23"/>
    <n v="4"/>
    <n v="4"/>
    <n v="80"/>
    <n v="1"/>
    <n v="6"/>
    <n v="3"/>
    <n v="3"/>
    <n v="5"/>
    <x v="2"/>
    <n v="4"/>
    <n v="0"/>
    <n v="4"/>
    <x v="1"/>
    <n v="0"/>
  </r>
  <r>
    <n v="31"/>
    <x v="1"/>
    <x v="1"/>
    <x v="0"/>
    <n v="1082"/>
    <x v="1"/>
    <n v="1"/>
    <n v="4"/>
    <s v="Medical"/>
    <n v="1"/>
    <n v="95"/>
    <n v="3"/>
    <x v="1"/>
    <n v="87"/>
    <n v="3"/>
    <n v="1"/>
    <x v="1"/>
    <n v="2"/>
    <s v="Single"/>
    <n v="2501"/>
    <n v="18775"/>
    <n v="1"/>
    <s v="Y"/>
    <x v="1"/>
    <n v="17"/>
    <n v="3"/>
    <n v="2"/>
    <n v="80"/>
    <n v="0"/>
    <n v="1"/>
    <n v="4"/>
    <n v="3"/>
    <n v="1"/>
    <x v="1"/>
    <n v="1"/>
    <n v="1"/>
    <n v="0"/>
    <x v="1"/>
    <n v="0"/>
  </r>
  <r>
    <n v="32"/>
    <x v="1"/>
    <x v="1"/>
    <x v="0"/>
    <n v="548"/>
    <x v="1"/>
    <n v="1"/>
    <n v="3"/>
    <s v="Life Sciences"/>
    <n v="1"/>
    <n v="96"/>
    <n v="2"/>
    <x v="1"/>
    <n v="66"/>
    <n v="3"/>
    <n v="2"/>
    <x v="1"/>
    <n v="2"/>
    <s v="Married"/>
    <n v="6220"/>
    <n v="7346"/>
    <n v="1"/>
    <s v="Y"/>
    <x v="1"/>
    <n v="17"/>
    <n v="3"/>
    <n v="2"/>
    <n v="80"/>
    <n v="2"/>
    <n v="10"/>
    <n v="3"/>
    <n v="3"/>
    <n v="10"/>
    <x v="0"/>
    <n v="4"/>
    <n v="0"/>
    <n v="9"/>
    <x v="1"/>
    <n v="0"/>
  </r>
  <r>
    <n v="36"/>
    <x v="1"/>
    <x v="1"/>
    <x v="0"/>
    <n v="132"/>
    <x v="1"/>
    <n v="6"/>
    <n v="3"/>
    <s v="Life Sciences"/>
    <n v="1"/>
    <n v="97"/>
    <n v="2"/>
    <x v="0"/>
    <n v="55"/>
    <n v="4"/>
    <n v="1"/>
    <x v="2"/>
    <n v="4"/>
    <s v="Married"/>
    <n v="3038"/>
    <n v="22002"/>
    <n v="3"/>
    <s v="Y"/>
    <x v="1"/>
    <n v="12"/>
    <n v="3"/>
    <n v="2"/>
    <n v="80"/>
    <n v="0"/>
    <n v="5"/>
    <n v="3"/>
    <n v="3"/>
    <n v="1"/>
    <x v="1"/>
    <n v="0"/>
    <n v="0"/>
    <n v="0"/>
    <x v="0"/>
    <n v="0"/>
  </r>
  <r>
    <n v="31"/>
    <x v="1"/>
    <x v="1"/>
    <x v="0"/>
    <n v="746"/>
    <x v="1"/>
    <n v="8"/>
    <n v="4"/>
    <s v="Life Sciences"/>
    <n v="1"/>
    <n v="98"/>
    <n v="3"/>
    <x v="0"/>
    <n v="61"/>
    <n v="3"/>
    <n v="2"/>
    <x v="3"/>
    <n v="4"/>
    <s v="Single"/>
    <n v="4424"/>
    <n v="20682"/>
    <n v="1"/>
    <s v="Y"/>
    <x v="1"/>
    <n v="23"/>
    <n v="4"/>
    <n v="4"/>
    <n v="80"/>
    <n v="0"/>
    <n v="11"/>
    <n v="2"/>
    <n v="3"/>
    <n v="11"/>
    <x v="3"/>
    <n v="7"/>
    <n v="1"/>
    <n v="8"/>
    <x v="0"/>
    <n v="0"/>
  </r>
  <r>
    <n v="35"/>
    <x v="1"/>
    <x v="1"/>
    <x v="0"/>
    <n v="776"/>
    <x v="0"/>
    <n v="1"/>
    <n v="4"/>
    <s v="Marketing"/>
    <n v="1"/>
    <n v="100"/>
    <n v="3"/>
    <x v="1"/>
    <n v="32"/>
    <n v="2"/>
    <n v="2"/>
    <x v="0"/>
    <n v="1"/>
    <s v="Single"/>
    <n v="4312"/>
    <n v="23016"/>
    <n v="0"/>
    <s v="Y"/>
    <x v="1"/>
    <n v="14"/>
    <n v="3"/>
    <n v="2"/>
    <n v="80"/>
    <n v="0"/>
    <n v="16"/>
    <n v="2"/>
    <n v="3"/>
    <n v="15"/>
    <x v="3"/>
    <n v="13"/>
    <n v="2"/>
    <n v="8"/>
    <x v="3"/>
    <n v="0"/>
  </r>
  <r>
    <n v="45"/>
    <x v="0"/>
    <x v="1"/>
    <x v="0"/>
    <n v="193"/>
    <x v="1"/>
    <n v="6"/>
    <n v="4"/>
    <s v="Other"/>
    <n v="1"/>
    <n v="101"/>
    <n v="4"/>
    <x v="1"/>
    <n v="52"/>
    <n v="3"/>
    <n v="3"/>
    <x v="7"/>
    <n v="1"/>
    <s v="Married"/>
    <n v="13245"/>
    <n v="15067"/>
    <n v="4"/>
    <s v="Y"/>
    <x v="0"/>
    <n v="14"/>
    <n v="3"/>
    <n v="2"/>
    <n v="80"/>
    <n v="0"/>
    <n v="17"/>
    <n v="3"/>
    <n v="4"/>
    <n v="0"/>
    <x v="1"/>
    <n v="0"/>
    <n v="0"/>
    <n v="0"/>
    <x v="3"/>
    <n v="0"/>
  </r>
  <r>
    <n v="37"/>
    <x v="1"/>
    <x v="1"/>
    <x v="0"/>
    <n v="397"/>
    <x v="1"/>
    <n v="7"/>
    <n v="4"/>
    <s v="Medical"/>
    <n v="1"/>
    <n v="102"/>
    <n v="1"/>
    <x v="1"/>
    <n v="30"/>
    <n v="3"/>
    <n v="3"/>
    <x v="7"/>
    <n v="3"/>
    <s v="Single"/>
    <n v="13664"/>
    <n v="25258"/>
    <n v="4"/>
    <s v="Y"/>
    <x v="1"/>
    <n v="13"/>
    <n v="3"/>
    <n v="1"/>
    <n v="80"/>
    <n v="0"/>
    <n v="16"/>
    <n v="3"/>
    <n v="4"/>
    <n v="5"/>
    <x v="2"/>
    <n v="2"/>
    <n v="0"/>
    <n v="2"/>
    <x v="2"/>
    <n v="0"/>
  </r>
  <r>
    <n v="46"/>
    <x v="0"/>
    <x v="1"/>
    <x v="0"/>
    <n v="945"/>
    <x v="2"/>
    <n v="5"/>
    <n v="2"/>
    <s v="Medical"/>
    <n v="1"/>
    <n v="103"/>
    <n v="2"/>
    <x v="1"/>
    <n v="80"/>
    <n v="3"/>
    <n v="2"/>
    <x v="8"/>
    <n v="2"/>
    <s v="Divorced"/>
    <n v="5021"/>
    <n v="10425"/>
    <n v="8"/>
    <s v="Y"/>
    <x v="0"/>
    <n v="22"/>
    <n v="4"/>
    <n v="4"/>
    <n v="80"/>
    <n v="1"/>
    <n v="16"/>
    <n v="2"/>
    <n v="3"/>
    <n v="4"/>
    <x v="2"/>
    <n v="2"/>
    <n v="0"/>
    <n v="2"/>
    <x v="1"/>
    <n v="0"/>
  </r>
  <r>
    <n v="30"/>
    <x v="1"/>
    <x v="1"/>
    <x v="0"/>
    <n v="852"/>
    <x v="1"/>
    <n v="1"/>
    <n v="1"/>
    <s v="Life Sciences"/>
    <n v="1"/>
    <n v="104"/>
    <n v="4"/>
    <x v="1"/>
    <n v="55"/>
    <n v="2"/>
    <n v="2"/>
    <x v="2"/>
    <n v="4"/>
    <s v="Married"/>
    <n v="5126"/>
    <n v="15998"/>
    <n v="1"/>
    <s v="Y"/>
    <x v="0"/>
    <n v="12"/>
    <n v="3"/>
    <n v="3"/>
    <n v="80"/>
    <n v="2"/>
    <n v="10"/>
    <n v="1"/>
    <n v="2"/>
    <n v="10"/>
    <x v="0"/>
    <n v="8"/>
    <n v="3"/>
    <n v="0"/>
    <x v="0"/>
    <n v="0"/>
  </r>
  <r>
    <n v="35"/>
    <x v="1"/>
    <x v="1"/>
    <x v="0"/>
    <n v="1214"/>
    <x v="1"/>
    <n v="1"/>
    <n v="3"/>
    <s v="Medical"/>
    <n v="1"/>
    <n v="105"/>
    <n v="2"/>
    <x v="1"/>
    <n v="30"/>
    <n v="2"/>
    <n v="1"/>
    <x v="1"/>
    <n v="3"/>
    <s v="Single"/>
    <n v="2859"/>
    <n v="26278"/>
    <n v="1"/>
    <s v="Y"/>
    <x v="1"/>
    <n v="18"/>
    <n v="3"/>
    <n v="1"/>
    <n v="80"/>
    <n v="0"/>
    <n v="6"/>
    <n v="3"/>
    <n v="3"/>
    <n v="6"/>
    <x v="0"/>
    <n v="4"/>
    <n v="0"/>
    <n v="4"/>
    <x v="2"/>
    <n v="0"/>
  </r>
  <r>
    <n v="55"/>
    <x v="3"/>
    <x v="1"/>
    <x v="0"/>
    <n v="111"/>
    <x v="0"/>
    <n v="1"/>
    <n v="2"/>
    <s v="Life Sciences"/>
    <n v="1"/>
    <n v="106"/>
    <n v="1"/>
    <x v="1"/>
    <n v="70"/>
    <n v="3"/>
    <n v="3"/>
    <x v="0"/>
    <n v="4"/>
    <s v="Married"/>
    <n v="10239"/>
    <n v="18092"/>
    <n v="3"/>
    <s v="Y"/>
    <x v="1"/>
    <n v="14"/>
    <n v="3"/>
    <n v="4"/>
    <n v="80"/>
    <n v="1"/>
    <n v="24"/>
    <n v="4"/>
    <n v="3"/>
    <n v="1"/>
    <x v="1"/>
    <n v="0"/>
    <n v="1"/>
    <n v="0"/>
    <x v="0"/>
    <n v="0"/>
  </r>
  <r>
    <n v="38"/>
    <x v="1"/>
    <x v="1"/>
    <x v="2"/>
    <n v="573"/>
    <x v="1"/>
    <n v="6"/>
    <n v="3"/>
    <s v="Medical"/>
    <n v="1"/>
    <n v="107"/>
    <n v="2"/>
    <x v="0"/>
    <n v="79"/>
    <n v="1"/>
    <n v="2"/>
    <x v="1"/>
    <n v="4"/>
    <s v="Divorced"/>
    <n v="5329"/>
    <n v="15717"/>
    <n v="7"/>
    <s v="Y"/>
    <x v="0"/>
    <n v="12"/>
    <n v="3"/>
    <n v="4"/>
    <n v="80"/>
    <n v="3"/>
    <n v="17"/>
    <n v="3"/>
    <n v="3"/>
    <n v="13"/>
    <x v="3"/>
    <n v="11"/>
    <n v="1"/>
    <n v="9"/>
    <x v="0"/>
    <n v="0"/>
  </r>
  <r>
    <n v="34"/>
    <x v="1"/>
    <x v="1"/>
    <x v="0"/>
    <n v="1153"/>
    <x v="1"/>
    <n v="1"/>
    <n v="2"/>
    <s v="Medical"/>
    <n v="1"/>
    <n v="110"/>
    <n v="1"/>
    <x v="1"/>
    <n v="94"/>
    <n v="3"/>
    <n v="2"/>
    <x v="3"/>
    <n v="2"/>
    <s v="Married"/>
    <n v="4325"/>
    <n v="17736"/>
    <n v="1"/>
    <s v="Y"/>
    <x v="1"/>
    <n v="15"/>
    <n v="3"/>
    <n v="3"/>
    <n v="80"/>
    <n v="0"/>
    <n v="5"/>
    <n v="2"/>
    <n v="3"/>
    <n v="5"/>
    <x v="2"/>
    <n v="2"/>
    <n v="1"/>
    <n v="3"/>
    <x v="1"/>
    <n v="0"/>
  </r>
  <r>
    <n v="56"/>
    <x v="3"/>
    <x v="1"/>
    <x v="0"/>
    <n v="1400"/>
    <x v="1"/>
    <n v="7"/>
    <n v="3"/>
    <s v="Life Sciences"/>
    <n v="1"/>
    <n v="112"/>
    <n v="4"/>
    <x v="1"/>
    <n v="49"/>
    <n v="1"/>
    <n v="3"/>
    <x v="3"/>
    <n v="4"/>
    <s v="Single"/>
    <n v="7260"/>
    <n v="21698"/>
    <n v="4"/>
    <s v="Y"/>
    <x v="1"/>
    <n v="11"/>
    <n v="3"/>
    <n v="1"/>
    <n v="80"/>
    <n v="0"/>
    <n v="37"/>
    <n v="3"/>
    <n v="2"/>
    <n v="6"/>
    <x v="0"/>
    <n v="4"/>
    <n v="0"/>
    <n v="2"/>
    <x v="0"/>
    <n v="0"/>
  </r>
  <r>
    <n v="23"/>
    <x v="2"/>
    <x v="1"/>
    <x v="0"/>
    <n v="541"/>
    <x v="0"/>
    <n v="2"/>
    <n v="1"/>
    <s v="Technical Degree"/>
    <n v="1"/>
    <n v="113"/>
    <n v="3"/>
    <x v="1"/>
    <n v="62"/>
    <n v="3"/>
    <n v="1"/>
    <x v="6"/>
    <n v="1"/>
    <s v="Divorced"/>
    <n v="2322"/>
    <n v="9518"/>
    <n v="3"/>
    <s v="Y"/>
    <x v="1"/>
    <n v="13"/>
    <n v="3"/>
    <n v="3"/>
    <n v="80"/>
    <n v="1"/>
    <n v="3"/>
    <n v="3"/>
    <n v="3"/>
    <n v="0"/>
    <x v="1"/>
    <n v="0"/>
    <n v="0"/>
    <n v="0"/>
    <x v="3"/>
    <n v="0"/>
  </r>
  <r>
    <n v="51"/>
    <x v="3"/>
    <x v="1"/>
    <x v="0"/>
    <n v="432"/>
    <x v="1"/>
    <n v="9"/>
    <n v="4"/>
    <s v="Life Sciences"/>
    <n v="1"/>
    <n v="116"/>
    <n v="4"/>
    <x v="1"/>
    <n v="96"/>
    <n v="3"/>
    <n v="1"/>
    <x v="2"/>
    <n v="4"/>
    <s v="Married"/>
    <n v="2075"/>
    <n v="18725"/>
    <n v="3"/>
    <s v="Y"/>
    <x v="1"/>
    <n v="23"/>
    <n v="4"/>
    <n v="2"/>
    <n v="80"/>
    <n v="2"/>
    <n v="10"/>
    <n v="4"/>
    <n v="3"/>
    <n v="4"/>
    <x v="2"/>
    <n v="2"/>
    <n v="0"/>
    <n v="3"/>
    <x v="0"/>
    <n v="0"/>
  </r>
  <r>
    <n v="30"/>
    <x v="1"/>
    <x v="1"/>
    <x v="0"/>
    <n v="288"/>
    <x v="1"/>
    <n v="2"/>
    <n v="3"/>
    <s v="Life Sciences"/>
    <n v="1"/>
    <n v="117"/>
    <n v="3"/>
    <x v="1"/>
    <n v="99"/>
    <n v="2"/>
    <n v="2"/>
    <x v="4"/>
    <n v="4"/>
    <s v="Married"/>
    <n v="4152"/>
    <n v="15830"/>
    <n v="1"/>
    <s v="Y"/>
    <x v="1"/>
    <n v="19"/>
    <n v="3"/>
    <n v="1"/>
    <n v="80"/>
    <n v="3"/>
    <n v="11"/>
    <n v="3"/>
    <n v="3"/>
    <n v="11"/>
    <x v="3"/>
    <n v="10"/>
    <n v="10"/>
    <n v="8"/>
    <x v="0"/>
    <n v="0"/>
  </r>
  <r>
    <n v="46"/>
    <x v="0"/>
    <x v="0"/>
    <x v="0"/>
    <n v="669"/>
    <x v="0"/>
    <n v="9"/>
    <n v="2"/>
    <s v="Medical"/>
    <n v="1"/>
    <n v="118"/>
    <n v="3"/>
    <x v="1"/>
    <n v="64"/>
    <n v="2"/>
    <n v="3"/>
    <x v="0"/>
    <n v="4"/>
    <s v="Single"/>
    <n v="9619"/>
    <n v="13596"/>
    <n v="1"/>
    <s v="Y"/>
    <x v="1"/>
    <n v="16"/>
    <n v="3"/>
    <n v="4"/>
    <n v="80"/>
    <n v="0"/>
    <n v="9"/>
    <n v="3"/>
    <n v="3"/>
    <n v="9"/>
    <x v="0"/>
    <n v="8"/>
    <n v="4"/>
    <n v="7"/>
    <x v="0"/>
    <n v="1"/>
  </r>
  <r>
    <n v="40"/>
    <x v="1"/>
    <x v="1"/>
    <x v="1"/>
    <n v="530"/>
    <x v="1"/>
    <n v="1"/>
    <n v="4"/>
    <s v="Life Sciences"/>
    <n v="1"/>
    <n v="119"/>
    <n v="3"/>
    <x v="1"/>
    <n v="78"/>
    <n v="2"/>
    <n v="4"/>
    <x v="4"/>
    <n v="2"/>
    <s v="Married"/>
    <n v="13503"/>
    <n v="14115"/>
    <n v="1"/>
    <s v="Y"/>
    <x v="1"/>
    <n v="22"/>
    <n v="4"/>
    <n v="4"/>
    <n v="80"/>
    <n v="1"/>
    <n v="22"/>
    <n v="3"/>
    <n v="2"/>
    <n v="22"/>
    <x v="3"/>
    <n v="3"/>
    <n v="11"/>
    <n v="11"/>
    <x v="1"/>
    <n v="0"/>
  </r>
  <r>
    <n v="51"/>
    <x v="3"/>
    <x v="1"/>
    <x v="0"/>
    <n v="632"/>
    <x v="0"/>
    <n v="21"/>
    <n v="4"/>
    <s v="Marketing"/>
    <n v="1"/>
    <n v="120"/>
    <n v="3"/>
    <x v="1"/>
    <n v="71"/>
    <n v="3"/>
    <n v="2"/>
    <x v="0"/>
    <n v="4"/>
    <s v="Single"/>
    <n v="5441"/>
    <n v="8423"/>
    <n v="0"/>
    <s v="Y"/>
    <x v="0"/>
    <n v="22"/>
    <n v="4"/>
    <n v="4"/>
    <n v="80"/>
    <n v="0"/>
    <n v="11"/>
    <n v="2"/>
    <n v="1"/>
    <n v="10"/>
    <x v="0"/>
    <n v="7"/>
    <n v="1"/>
    <n v="0"/>
    <x v="0"/>
    <n v="0"/>
  </r>
  <r>
    <n v="30"/>
    <x v="1"/>
    <x v="1"/>
    <x v="0"/>
    <n v="1334"/>
    <x v="0"/>
    <n v="4"/>
    <n v="2"/>
    <s v="Medical"/>
    <n v="1"/>
    <n v="121"/>
    <n v="3"/>
    <x v="0"/>
    <n v="63"/>
    <n v="2"/>
    <n v="2"/>
    <x v="0"/>
    <n v="2"/>
    <s v="Divorced"/>
    <n v="5209"/>
    <n v="19760"/>
    <n v="1"/>
    <s v="Y"/>
    <x v="0"/>
    <n v="12"/>
    <n v="3"/>
    <n v="2"/>
    <n v="80"/>
    <n v="3"/>
    <n v="11"/>
    <n v="4"/>
    <n v="2"/>
    <n v="11"/>
    <x v="3"/>
    <n v="8"/>
    <n v="2"/>
    <n v="7"/>
    <x v="1"/>
    <n v="0"/>
  </r>
  <r>
    <n v="46"/>
    <x v="0"/>
    <x v="1"/>
    <x v="1"/>
    <n v="638"/>
    <x v="1"/>
    <n v="1"/>
    <n v="3"/>
    <s v="Medical"/>
    <n v="1"/>
    <n v="124"/>
    <n v="3"/>
    <x v="1"/>
    <n v="40"/>
    <n v="2"/>
    <n v="3"/>
    <x v="4"/>
    <n v="1"/>
    <s v="Married"/>
    <n v="10673"/>
    <n v="3142"/>
    <n v="2"/>
    <s v="Y"/>
    <x v="0"/>
    <n v="13"/>
    <n v="3"/>
    <n v="3"/>
    <n v="80"/>
    <n v="1"/>
    <n v="21"/>
    <n v="5"/>
    <n v="2"/>
    <n v="10"/>
    <x v="0"/>
    <n v="9"/>
    <n v="9"/>
    <n v="5"/>
    <x v="3"/>
    <n v="0"/>
  </r>
  <r>
    <n v="32"/>
    <x v="1"/>
    <x v="1"/>
    <x v="0"/>
    <n v="1093"/>
    <x v="0"/>
    <n v="6"/>
    <n v="4"/>
    <s v="Medical"/>
    <n v="1"/>
    <n v="125"/>
    <n v="2"/>
    <x v="1"/>
    <n v="87"/>
    <n v="3"/>
    <n v="2"/>
    <x v="0"/>
    <n v="3"/>
    <s v="Single"/>
    <n v="5010"/>
    <n v="24301"/>
    <n v="1"/>
    <s v="Y"/>
    <x v="1"/>
    <n v="16"/>
    <n v="3"/>
    <n v="1"/>
    <n v="80"/>
    <n v="0"/>
    <n v="12"/>
    <n v="0"/>
    <n v="3"/>
    <n v="11"/>
    <x v="3"/>
    <n v="8"/>
    <n v="5"/>
    <n v="7"/>
    <x v="2"/>
    <n v="0"/>
  </r>
  <r>
    <n v="54"/>
    <x v="3"/>
    <x v="1"/>
    <x v="0"/>
    <n v="1217"/>
    <x v="1"/>
    <n v="2"/>
    <n v="4"/>
    <s v="Technical Degree"/>
    <n v="1"/>
    <n v="126"/>
    <n v="1"/>
    <x v="0"/>
    <n v="60"/>
    <n v="3"/>
    <n v="3"/>
    <x v="7"/>
    <n v="3"/>
    <s v="Married"/>
    <n v="13549"/>
    <n v="24001"/>
    <n v="9"/>
    <s v="Y"/>
    <x v="1"/>
    <n v="12"/>
    <n v="3"/>
    <n v="1"/>
    <n v="80"/>
    <n v="1"/>
    <n v="16"/>
    <n v="5"/>
    <n v="1"/>
    <n v="4"/>
    <x v="2"/>
    <n v="3"/>
    <n v="0"/>
    <n v="3"/>
    <x v="2"/>
    <n v="0"/>
  </r>
  <r>
    <n v="24"/>
    <x v="2"/>
    <x v="1"/>
    <x v="0"/>
    <n v="1353"/>
    <x v="0"/>
    <n v="3"/>
    <n v="2"/>
    <s v="Other"/>
    <n v="1"/>
    <n v="128"/>
    <n v="1"/>
    <x v="0"/>
    <n v="33"/>
    <n v="3"/>
    <n v="2"/>
    <x v="0"/>
    <n v="3"/>
    <s v="Married"/>
    <n v="4999"/>
    <n v="17519"/>
    <n v="0"/>
    <s v="Y"/>
    <x v="1"/>
    <n v="21"/>
    <n v="4"/>
    <n v="1"/>
    <n v="80"/>
    <n v="1"/>
    <n v="4"/>
    <n v="2"/>
    <n v="2"/>
    <n v="3"/>
    <x v="2"/>
    <n v="2"/>
    <n v="0"/>
    <n v="2"/>
    <x v="2"/>
    <n v="0"/>
  </r>
  <r>
    <n v="28"/>
    <x v="2"/>
    <x v="1"/>
    <x v="2"/>
    <n v="120"/>
    <x v="0"/>
    <n v="4"/>
    <n v="3"/>
    <s v="Medical"/>
    <n v="1"/>
    <n v="129"/>
    <n v="2"/>
    <x v="1"/>
    <n v="43"/>
    <n v="3"/>
    <n v="2"/>
    <x v="0"/>
    <n v="3"/>
    <s v="Married"/>
    <n v="4221"/>
    <n v="8863"/>
    <n v="1"/>
    <s v="Y"/>
    <x v="1"/>
    <n v="15"/>
    <n v="3"/>
    <n v="2"/>
    <n v="80"/>
    <n v="0"/>
    <n v="5"/>
    <n v="3"/>
    <n v="4"/>
    <n v="5"/>
    <x v="2"/>
    <n v="4"/>
    <n v="0"/>
    <n v="4"/>
    <x v="2"/>
    <n v="0"/>
  </r>
  <r>
    <n v="58"/>
    <x v="3"/>
    <x v="1"/>
    <x v="0"/>
    <n v="682"/>
    <x v="0"/>
    <n v="10"/>
    <n v="4"/>
    <s v="Medical"/>
    <n v="1"/>
    <n v="131"/>
    <n v="4"/>
    <x v="1"/>
    <n v="37"/>
    <n v="3"/>
    <n v="4"/>
    <x v="0"/>
    <n v="3"/>
    <s v="Single"/>
    <n v="13872"/>
    <n v="24409"/>
    <n v="0"/>
    <s v="Y"/>
    <x v="1"/>
    <n v="13"/>
    <n v="3"/>
    <n v="3"/>
    <n v="80"/>
    <n v="0"/>
    <n v="38"/>
    <n v="1"/>
    <n v="2"/>
    <n v="37"/>
    <x v="3"/>
    <n v="10"/>
    <n v="1"/>
    <n v="8"/>
    <x v="2"/>
    <n v="0"/>
  </r>
  <r>
    <n v="44"/>
    <x v="0"/>
    <x v="1"/>
    <x v="2"/>
    <n v="489"/>
    <x v="1"/>
    <n v="23"/>
    <n v="3"/>
    <s v="Medical"/>
    <n v="1"/>
    <n v="132"/>
    <n v="2"/>
    <x v="1"/>
    <n v="67"/>
    <n v="3"/>
    <n v="2"/>
    <x v="2"/>
    <n v="2"/>
    <s v="Married"/>
    <n v="2042"/>
    <n v="25043"/>
    <n v="4"/>
    <s v="Y"/>
    <x v="1"/>
    <n v="12"/>
    <n v="3"/>
    <n v="3"/>
    <n v="80"/>
    <n v="1"/>
    <n v="17"/>
    <n v="3"/>
    <n v="4"/>
    <n v="3"/>
    <x v="2"/>
    <n v="2"/>
    <n v="1"/>
    <n v="2"/>
    <x v="1"/>
    <n v="0"/>
  </r>
  <r>
    <n v="37"/>
    <x v="1"/>
    <x v="0"/>
    <x v="0"/>
    <n v="807"/>
    <x v="2"/>
    <n v="6"/>
    <n v="4"/>
    <s v="Human Resources"/>
    <n v="1"/>
    <n v="133"/>
    <n v="3"/>
    <x v="1"/>
    <n v="63"/>
    <n v="3"/>
    <n v="1"/>
    <x v="8"/>
    <n v="1"/>
    <s v="Divorced"/>
    <n v="2073"/>
    <n v="23648"/>
    <n v="4"/>
    <s v="Y"/>
    <x v="0"/>
    <n v="22"/>
    <n v="4"/>
    <n v="4"/>
    <n v="80"/>
    <n v="0"/>
    <n v="7"/>
    <n v="3"/>
    <n v="3"/>
    <n v="3"/>
    <x v="2"/>
    <n v="2"/>
    <n v="0"/>
    <n v="2"/>
    <x v="3"/>
    <n v="1"/>
  </r>
  <r>
    <n v="32"/>
    <x v="1"/>
    <x v="1"/>
    <x v="0"/>
    <n v="827"/>
    <x v="1"/>
    <n v="1"/>
    <n v="1"/>
    <s v="Life Sciences"/>
    <n v="1"/>
    <n v="134"/>
    <n v="4"/>
    <x v="1"/>
    <n v="71"/>
    <n v="3"/>
    <n v="1"/>
    <x v="1"/>
    <n v="1"/>
    <s v="Single"/>
    <n v="2956"/>
    <n v="15178"/>
    <n v="1"/>
    <s v="Y"/>
    <x v="1"/>
    <n v="13"/>
    <n v="3"/>
    <n v="4"/>
    <n v="80"/>
    <n v="0"/>
    <n v="1"/>
    <n v="2"/>
    <n v="3"/>
    <n v="1"/>
    <x v="1"/>
    <n v="0"/>
    <n v="0"/>
    <n v="0"/>
    <x v="3"/>
    <n v="0"/>
  </r>
  <r>
    <n v="20"/>
    <x v="2"/>
    <x v="0"/>
    <x v="1"/>
    <n v="871"/>
    <x v="1"/>
    <n v="6"/>
    <n v="3"/>
    <s v="Life Sciences"/>
    <n v="1"/>
    <n v="137"/>
    <n v="4"/>
    <x v="0"/>
    <n v="66"/>
    <n v="2"/>
    <n v="1"/>
    <x v="2"/>
    <n v="4"/>
    <s v="Single"/>
    <n v="2926"/>
    <n v="19783"/>
    <n v="1"/>
    <s v="Y"/>
    <x v="0"/>
    <n v="18"/>
    <n v="3"/>
    <n v="2"/>
    <n v="80"/>
    <n v="0"/>
    <n v="1"/>
    <n v="5"/>
    <n v="3"/>
    <n v="1"/>
    <x v="1"/>
    <n v="0"/>
    <n v="1"/>
    <n v="0"/>
    <x v="0"/>
    <n v="1"/>
  </r>
  <r>
    <n v="34"/>
    <x v="1"/>
    <x v="1"/>
    <x v="0"/>
    <n v="665"/>
    <x v="1"/>
    <n v="6"/>
    <n v="4"/>
    <s v="Other"/>
    <n v="1"/>
    <n v="138"/>
    <n v="1"/>
    <x v="0"/>
    <n v="41"/>
    <n v="3"/>
    <n v="2"/>
    <x v="1"/>
    <n v="3"/>
    <s v="Single"/>
    <n v="4809"/>
    <n v="12482"/>
    <n v="1"/>
    <s v="Y"/>
    <x v="1"/>
    <n v="14"/>
    <n v="3"/>
    <n v="3"/>
    <n v="80"/>
    <n v="0"/>
    <n v="16"/>
    <n v="3"/>
    <n v="3"/>
    <n v="16"/>
    <x v="3"/>
    <n v="13"/>
    <n v="2"/>
    <n v="10"/>
    <x v="2"/>
    <n v="0"/>
  </r>
  <r>
    <n v="37"/>
    <x v="1"/>
    <x v="1"/>
    <x v="2"/>
    <n v="1040"/>
    <x v="1"/>
    <n v="2"/>
    <n v="2"/>
    <s v="Life Sciences"/>
    <n v="1"/>
    <n v="139"/>
    <n v="3"/>
    <x v="1"/>
    <n v="100"/>
    <n v="2"/>
    <n v="2"/>
    <x v="4"/>
    <n v="4"/>
    <s v="Divorced"/>
    <n v="5163"/>
    <n v="15850"/>
    <n v="5"/>
    <s v="Y"/>
    <x v="1"/>
    <n v="14"/>
    <n v="3"/>
    <n v="4"/>
    <n v="80"/>
    <n v="1"/>
    <n v="17"/>
    <n v="2"/>
    <n v="4"/>
    <n v="1"/>
    <x v="1"/>
    <n v="0"/>
    <n v="0"/>
    <n v="0"/>
    <x v="0"/>
    <n v="0"/>
  </r>
  <r>
    <n v="59"/>
    <x v="3"/>
    <x v="1"/>
    <x v="2"/>
    <n v="1420"/>
    <x v="2"/>
    <n v="2"/>
    <n v="4"/>
    <s v="Human Resources"/>
    <n v="1"/>
    <n v="140"/>
    <n v="3"/>
    <x v="0"/>
    <n v="32"/>
    <n v="2"/>
    <n v="5"/>
    <x v="5"/>
    <n v="4"/>
    <s v="Married"/>
    <n v="18844"/>
    <n v="21922"/>
    <n v="9"/>
    <s v="Y"/>
    <x v="1"/>
    <n v="21"/>
    <n v="4"/>
    <n v="4"/>
    <n v="80"/>
    <n v="1"/>
    <n v="30"/>
    <n v="3"/>
    <n v="3"/>
    <n v="3"/>
    <x v="2"/>
    <n v="2"/>
    <n v="2"/>
    <n v="2"/>
    <x v="0"/>
    <n v="0"/>
  </r>
  <r>
    <n v="50"/>
    <x v="0"/>
    <x v="1"/>
    <x v="1"/>
    <n v="1115"/>
    <x v="1"/>
    <n v="1"/>
    <n v="3"/>
    <s v="Life Sciences"/>
    <n v="1"/>
    <n v="141"/>
    <n v="1"/>
    <x v="0"/>
    <n v="73"/>
    <n v="3"/>
    <n v="5"/>
    <x v="7"/>
    <n v="2"/>
    <s v="Married"/>
    <n v="18172"/>
    <n v="9755"/>
    <n v="3"/>
    <s v="Y"/>
    <x v="0"/>
    <n v="19"/>
    <n v="3"/>
    <n v="1"/>
    <n v="80"/>
    <n v="0"/>
    <n v="28"/>
    <n v="1"/>
    <n v="2"/>
    <n v="8"/>
    <x v="0"/>
    <n v="3"/>
    <n v="0"/>
    <n v="7"/>
    <x v="1"/>
    <n v="0"/>
  </r>
  <r>
    <n v="25"/>
    <x v="2"/>
    <x v="0"/>
    <x v="0"/>
    <n v="240"/>
    <x v="0"/>
    <n v="5"/>
    <n v="3"/>
    <s v="Marketing"/>
    <n v="1"/>
    <n v="142"/>
    <n v="3"/>
    <x v="1"/>
    <n v="46"/>
    <n v="2"/>
    <n v="2"/>
    <x v="0"/>
    <n v="3"/>
    <s v="Single"/>
    <n v="5744"/>
    <n v="26959"/>
    <n v="1"/>
    <s v="Y"/>
    <x v="0"/>
    <n v="11"/>
    <n v="3"/>
    <n v="4"/>
    <n v="80"/>
    <n v="0"/>
    <n v="6"/>
    <n v="1"/>
    <n v="3"/>
    <n v="6"/>
    <x v="0"/>
    <n v="4"/>
    <n v="0"/>
    <n v="3"/>
    <x v="2"/>
    <n v="1"/>
  </r>
  <r>
    <n v="25"/>
    <x v="2"/>
    <x v="1"/>
    <x v="0"/>
    <n v="1280"/>
    <x v="1"/>
    <n v="7"/>
    <n v="1"/>
    <s v="Medical"/>
    <n v="1"/>
    <n v="143"/>
    <n v="4"/>
    <x v="1"/>
    <n v="64"/>
    <n v="2"/>
    <n v="1"/>
    <x v="1"/>
    <n v="4"/>
    <s v="Married"/>
    <n v="2889"/>
    <n v="26897"/>
    <n v="1"/>
    <s v="Y"/>
    <x v="1"/>
    <n v="11"/>
    <n v="3"/>
    <n v="3"/>
    <n v="80"/>
    <n v="2"/>
    <n v="2"/>
    <n v="2"/>
    <n v="3"/>
    <n v="2"/>
    <x v="1"/>
    <n v="2"/>
    <n v="2"/>
    <n v="1"/>
    <x v="0"/>
    <n v="0"/>
  </r>
  <r>
    <n v="22"/>
    <x v="2"/>
    <x v="1"/>
    <x v="0"/>
    <n v="534"/>
    <x v="1"/>
    <n v="15"/>
    <n v="3"/>
    <s v="Medical"/>
    <n v="1"/>
    <n v="144"/>
    <n v="2"/>
    <x v="0"/>
    <n v="59"/>
    <n v="3"/>
    <n v="1"/>
    <x v="2"/>
    <n v="4"/>
    <s v="Single"/>
    <n v="2871"/>
    <n v="23785"/>
    <n v="1"/>
    <s v="Y"/>
    <x v="1"/>
    <n v="15"/>
    <n v="3"/>
    <n v="3"/>
    <n v="80"/>
    <n v="0"/>
    <n v="1"/>
    <n v="5"/>
    <n v="3"/>
    <n v="0"/>
    <x v="1"/>
    <n v="0"/>
    <n v="0"/>
    <n v="0"/>
    <x v="0"/>
    <n v="0"/>
  </r>
  <r>
    <n v="51"/>
    <x v="3"/>
    <x v="1"/>
    <x v="1"/>
    <n v="1456"/>
    <x v="1"/>
    <n v="1"/>
    <n v="4"/>
    <s v="Medical"/>
    <n v="1"/>
    <n v="145"/>
    <n v="1"/>
    <x v="0"/>
    <n v="30"/>
    <n v="2"/>
    <n v="3"/>
    <x v="4"/>
    <n v="1"/>
    <s v="Single"/>
    <n v="7484"/>
    <n v="25796"/>
    <n v="3"/>
    <s v="Y"/>
    <x v="1"/>
    <n v="20"/>
    <n v="4"/>
    <n v="3"/>
    <n v="80"/>
    <n v="0"/>
    <n v="23"/>
    <n v="1"/>
    <n v="2"/>
    <n v="13"/>
    <x v="3"/>
    <n v="12"/>
    <n v="12"/>
    <n v="8"/>
    <x v="3"/>
    <n v="0"/>
  </r>
  <r>
    <n v="34"/>
    <x v="1"/>
    <x v="0"/>
    <x v="1"/>
    <n v="658"/>
    <x v="1"/>
    <n v="7"/>
    <n v="3"/>
    <s v="Life Sciences"/>
    <n v="1"/>
    <n v="147"/>
    <n v="1"/>
    <x v="1"/>
    <n v="66"/>
    <n v="1"/>
    <n v="2"/>
    <x v="2"/>
    <n v="3"/>
    <s v="Single"/>
    <n v="6074"/>
    <n v="22887"/>
    <n v="1"/>
    <s v="Y"/>
    <x v="0"/>
    <n v="24"/>
    <n v="4"/>
    <n v="4"/>
    <n v="80"/>
    <n v="0"/>
    <n v="9"/>
    <n v="3"/>
    <n v="3"/>
    <n v="9"/>
    <x v="0"/>
    <n v="7"/>
    <n v="0"/>
    <n v="6"/>
    <x v="2"/>
    <n v="1"/>
  </r>
  <r>
    <n v="54"/>
    <x v="3"/>
    <x v="1"/>
    <x v="2"/>
    <n v="142"/>
    <x v="2"/>
    <n v="26"/>
    <n v="3"/>
    <s v="Human Resources"/>
    <n v="1"/>
    <n v="148"/>
    <n v="4"/>
    <x v="0"/>
    <n v="30"/>
    <n v="4"/>
    <n v="4"/>
    <x v="5"/>
    <n v="4"/>
    <s v="Single"/>
    <n v="17328"/>
    <n v="13871"/>
    <n v="2"/>
    <s v="Y"/>
    <x v="0"/>
    <n v="12"/>
    <n v="3"/>
    <n v="3"/>
    <n v="80"/>
    <n v="0"/>
    <n v="23"/>
    <n v="3"/>
    <n v="3"/>
    <n v="5"/>
    <x v="2"/>
    <n v="3"/>
    <n v="4"/>
    <n v="4"/>
    <x v="0"/>
    <n v="0"/>
  </r>
  <r>
    <n v="24"/>
    <x v="2"/>
    <x v="1"/>
    <x v="0"/>
    <n v="1127"/>
    <x v="1"/>
    <n v="18"/>
    <n v="1"/>
    <s v="Life Sciences"/>
    <n v="1"/>
    <n v="150"/>
    <n v="2"/>
    <x v="1"/>
    <n v="52"/>
    <n v="3"/>
    <n v="1"/>
    <x v="2"/>
    <n v="3"/>
    <s v="Married"/>
    <n v="2774"/>
    <n v="13257"/>
    <n v="0"/>
    <s v="Y"/>
    <x v="1"/>
    <n v="12"/>
    <n v="3"/>
    <n v="3"/>
    <n v="80"/>
    <n v="1"/>
    <n v="6"/>
    <n v="2"/>
    <n v="3"/>
    <n v="5"/>
    <x v="2"/>
    <n v="3"/>
    <n v="1"/>
    <n v="2"/>
    <x v="2"/>
    <n v="0"/>
  </r>
  <r>
    <n v="34"/>
    <x v="1"/>
    <x v="1"/>
    <x v="0"/>
    <n v="1031"/>
    <x v="1"/>
    <n v="6"/>
    <n v="4"/>
    <s v="Life Sciences"/>
    <n v="1"/>
    <n v="151"/>
    <n v="3"/>
    <x v="0"/>
    <n v="45"/>
    <n v="2"/>
    <n v="2"/>
    <x v="1"/>
    <n v="2"/>
    <s v="Divorced"/>
    <n v="4505"/>
    <n v="15000"/>
    <n v="6"/>
    <s v="Y"/>
    <x v="1"/>
    <n v="15"/>
    <n v="3"/>
    <n v="3"/>
    <n v="80"/>
    <n v="1"/>
    <n v="12"/>
    <n v="3"/>
    <n v="3"/>
    <n v="1"/>
    <x v="1"/>
    <n v="0"/>
    <n v="0"/>
    <n v="0"/>
    <x v="1"/>
    <n v="0"/>
  </r>
  <r>
    <n v="37"/>
    <x v="1"/>
    <x v="1"/>
    <x v="0"/>
    <n v="1189"/>
    <x v="0"/>
    <n v="3"/>
    <n v="3"/>
    <s v="Life Sciences"/>
    <n v="1"/>
    <n v="152"/>
    <n v="3"/>
    <x v="1"/>
    <n v="87"/>
    <n v="3"/>
    <n v="3"/>
    <x v="0"/>
    <n v="4"/>
    <s v="Single"/>
    <n v="7428"/>
    <n v="14506"/>
    <n v="2"/>
    <s v="Y"/>
    <x v="1"/>
    <n v="12"/>
    <n v="3"/>
    <n v="1"/>
    <n v="80"/>
    <n v="0"/>
    <n v="12"/>
    <n v="3"/>
    <n v="3"/>
    <n v="5"/>
    <x v="2"/>
    <n v="3"/>
    <n v="1"/>
    <n v="3"/>
    <x v="0"/>
    <n v="0"/>
  </r>
  <r>
    <n v="34"/>
    <x v="1"/>
    <x v="1"/>
    <x v="0"/>
    <n v="1354"/>
    <x v="1"/>
    <n v="5"/>
    <n v="3"/>
    <s v="Medical"/>
    <n v="1"/>
    <n v="153"/>
    <n v="3"/>
    <x v="0"/>
    <n v="45"/>
    <n v="2"/>
    <n v="3"/>
    <x v="5"/>
    <n v="1"/>
    <s v="Single"/>
    <n v="11631"/>
    <n v="5615"/>
    <n v="2"/>
    <s v="Y"/>
    <x v="1"/>
    <n v="12"/>
    <n v="3"/>
    <n v="4"/>
    <n v="80"/>
    <n v="0"/>
    <n v="14"/>
    <n v="6"/>
    <n v="3"/>
    <n v="11"/>
    <x v="3"/>
    <n v="10"/>
    <n v="5"/>
    <n v="8"/>
    <x v="3"/>
    <n v="0"/>
  </r>
  <r>
    <n v="36"/>
    <x v="1"/>
    <x v="1"/>
    <x v="1"/>
    <n v="1467"/>
    <x v="0"/>
    <n v="11"/>
    <n v="2"/>
    <s v="Technical Degree"/>
    <n v="1"/>
    <n v="154"/>
    <n v="2"/>
    <x v="0"/>
    <n v="92"/>
    <n v="3"/>
    <n v="3"/>
    <x v="0"/>
    <n v="4"/>
    <s v="Married"/>
    <n v="9738"/>
    <n v="22952"/>
    <n v="0"/>
    <s v="Y"/>
    <x v="1"/>
    <n v="14"/>
    <n v="3"/>
    <n v="3"/>
    <n v="80"/>
    <n v="1"/>
    <n v="10"/>
    <n v="6"/>
    <n v="3"/>
    <n v="9"/>
    <x v="0"/>
    <n v="7"/>
    <n v="2"/>
    <n v="8"/>
    <x v="0"/>
    <n v="0"/>
  </r>
  <r>
    <n v="36"/>
    <x v="1"/>
    <x v="1"/>
    <x v="0"/>
    <n v="922"/>
    <x v="1"/>
    <n v="3"/>
    <n v="2"/>
    <s v="Life Sciences"/>
    <n v="1"/>
    <n v="155"/>
    <n v="1"/>
    <x v="0"/>
    <n v="39"/>
    <n v="3"/>
    <n v="1"/>
    <x v="2"/>
    <n v="4"/>
    <s v="Divorced"/>
    <n v="2835"/>
    <n v="2561"/>
    <n v="5"/>
    <s v="Y"/>
    <x v="1"/>
    <n v="22"/>
    <n v="4"/>
    <n v="1"/>
    <n v="80"/>
    <n v="1"/>
    <n v="7"/>
    <n v="2"/>
    <n v="3"/>
    <n v="1"/>
    <x v="1"/>
    <n v="0"/>
    <n v="0"/>
    <n v="0"/>
    <x v="0"/>
    <n v="0"/>
  </r>
  <r>
    <n v="43"/>
    <x v="0"/>
    <x v="1"/>
    <x v="1"/>
    <n v="394"/>
    <x v="0"/>
    <n v="26"/>
    <n v="2"/>
    <s v="Life Sciences"/>
    <n v="1"/>
    <n v="158"/>
    <n v="3"/>
    <x v="1"/>
    <n v="92"/>
    <n v="3"/>
    <n v="4"/>
    <x v="5"/>
    <n v="4"/>
    <s v="Married"/>
    <n v="16959"/>
    <n v="19494"/>
    <n v="1"/>
    <s v="Y"/>
    <x v="0"/>
    <n v="12"/>
    <n v="3"/>
    <n v="4"/>
    <n v="80"/>
    <n v="2"/>
    <n v="25"/>
    <n v="3"/>
    <n v="4"/>
    <n v="25"/>
    <x v="3"/>
    <n v="12"/>
    <n v="4"/>
    <n v="12"/>
    <x v="0"/>
    <n v="0"/>
  </r>
  <r>
    <n v="30"/>
    <x v="1"/>
    <x v="1"/>
    <x v="1"/>
    <n v="1312"/>
    <x v="1"/>
    <n v="23"/>
    <n v="3"/>
    <s v="Life Sciences"/>
    <n v="1"/>
    <n v="159"/>
    <n v="1"/>
    <x v="1"/>
    <n v="96"/>
    <n v="1"/>
    <n v="1"/>
    <x v="1"/>
    <n v="3"/>
    <s v="Divorced"/>
    <n v="2613"/>
    <n v="22310"/>
    <n v="1"/>
    <s v="Y"/>
    <x v="1"/>
    <n v="25"/>
    <n v="4"/>
    <n v="3"/>
    <n v="80"/>
    <n v="3"/>
    <n v="10"/>
    <n v="2"/>
    <n v="2"/>
    <n v="10"/>
    <x v="0"/>
    <n v="7"/>
    <n v="0"/>
    <n v="9"/>
    <x v="2"/>
    <n v="0"/>
  </r>
  <r>
    <n v="33"/>
    <x v="1"/>
    <x v="1"/>
    <x v="2"/>
    <n v="750"/>
    <x v="0"/>
    <n v="22"/>
    <n v="2"/>
    <s v="Marketing"/>
    <n v="1"/>
    <n v="160"/>
    <n v="3"/>
    <x v="1"/>
    <n v="95"/>
    <n v="3"/>
    <n v="2"/>
    <x v="0"/>
    <n v="2"/>
    <s v="Married"/>
    <n v="6146"/>
    <n v="15480"/>
    <n v="0"/>
    <s v="Y"/>
    <x v="1"/>
    <n v="13"/>
    <n v="3"/>
    <n v="1"/>
    <n v="80"/>
    <n v="1"/>
    <n v="8"/>
    <n v="2"/>
    <n v="4"/>
    <n v="7"/>
    <x v="0"/>
    <n v="7"/>
    <n v="0"/>
    <n v="7"/>
    <x v="1"/>
    <n v="0"/>
  </r>
  <r>
    <n v="56"/>
    <x v="3"/>
    <x v="0"/>
    <x v="0"/>
    <n v="441"/>
    <x v="1"/>
    <n v="14"/>
    <n v="4"/>
    <s v="Life Sciences"/>
    <n v="1"/>
    <n v="161"/>
    <n v="2"/>
    <x v="0"/>
    <n v="72"/>
    <n v="3"/>
    <n v="1"/>
    <x v="1"/>
    <n v="2"/>
    <s v="Married"/>
    <n v="4963"/>
    <n v="4510"/>
    <n v="9"/>
    <s v="Y"/>
    <x v="0"/>
    <n v="18"/>
    <n v="3"/>
    <n v="1"/>
    <n v="80"/>
    <n v="3"/>
    <n v="7"/>
    <n v="2"/>
    <n v="3"/>
    <n v="5"/>
    <x v="2"/>
    <n v="4"/>
    <n v="4"/>
    <n v="3"/>
    <x v="1"/>
    <n v="1"/>
  </r>
  <r>
    <n v="51"/>
    <x v="3"/>
    <x v="1"/>
    <x v="0"/>
    <n v="684"/>
    <x v="1"/>
    <n v="6"/>
    <n v="3"/>
    <s v="Life Sciences"/>
    <n v="1"/>
    <n v="162"/>
    <n v="1"/>
    <x v="1"/>
    <n v="51"/>
    <n v="3"/>
    <n v="5"/>
    <x v="7"/>
    <n v="3"/>
    <s v="Single"/>
    <n v="19537"/>
    <n v="6462"/>
    <n v="7"/>
    <s v="Y"/>
    <x v="1"/>
    <n v="13"/>
    <n v="3"/>
    <n v="3"/>
    <n v="80"/>
    <n v="0"/>
    <n v="23"/>
    <n v="5"/>
    <n v="3"/>
    <n v="20"/>
    <x v="3"/>
    <n v="18"/>
    <n v="15"/>
    <n v="15"/>
    <x v="2"/>
    <n v="0"/>
  </r>
  <r>
    <n v="31"/>
    <x v="1"/>
    <x v="0"/>
    <x v="0"/>
    <n v="249"/>
    <x v="0"/>
    <n v="6"/>
    <n v="4"/>
    <s v="Life Sciences"/>
    <n v="1"/>
    <n v="163"/>
    <n v="2"/>
    <x v="1"/>
    <n v="76"/>
    <n v="1"/>
    <n v="2"/>
    <x v="0"/>
    <n v="3"/>
    <s v="Married"/>
    <n v="6172"/>
    <n v="20739"/>
    <n v="4"/>
    <s v="Y"/>
    <x v="0"/>
    <n v="18"/>
    <n v="3"/>
    <n v="2"/>
    <n v="80"/>
    <n v="0"/>
    <n v="12"/>
    <n v="3"/>
    <n v="2"/>
    <n v="7"/>
    <x v="0"/>
    <n v="7"/>
    <n v="7"/>
    <n v="7"/>
    <x v="2"/>
    <n v="1"/>
  </r>
  <r>
    <n v="26"/>
    <x v="2"/>
    <x v="1"/>
    <x v="0"/>
    <n v="841"/>
    <x v="1"/>
    <n v="6"/>
    <n v="3"/>
    <s v="Other"/>
    <n v="1"/>
    <n v="164"/>
    <n v="3"/>
    <x v="0"/>
    <n v="46"/>
    <n v="2"/>
    <n v="1"/>
    <x v="1"/>
    <n v="2"/>
    <s v="Married"/>
    <n v="2368"/>
    <n v="23300"/>
    <n v="1"/>
    <s v="Y"/>
    <x v="1"/>
    <n v="19"/>
    <n v="3"/>
    <n v="3"/>
    <n v="80"/>
    <n v="0"/>
    <n v="5"/>
    <n v="3"/>
    <n v="2"/>
    <n v="5"/>
    <x v="2"/>
    <n v="4"/>
    <n v="4"/>
    <n v="3"/>
    <x v="1"/>
    <n v="0"/>
  </r>
  <r>
    <n v="58"/>
    <x v="3"/>
    <x v="0"/>
    <x v="0"/>
    <n v="147"/>
    <x v="1"/>
    <n v="23"/>
    <n v="4"/>
    <s v="Medical"/>
    <n v="1"/>
    <n v="165"/>
    <n v="4"/>
    <x v="0"/>
    <n v="94"/>
    <n v="3"/>
    <n v="3"/>
    <x v="4"/>
    <n v="4"/>
    <s v="Married"/>
    <n v="10312"/>
    <n v="3465"/>
    <n v="1"/>
    <s v="Y"/>
    <x v="1"/>
    <n v="12"/>
    <n v="3"/>
    <n v="4"/>
    <n v="80"/>
    <n v="1"/>
    <n v="40"/>
    <n v="3"/>
    <n v="2"/>
    <n v="40"/>
    <x v="3"/>
    <n v="10"/>
    <n v="15"/>
    <n v="6"/>
    <x v="0"/>
    <n v="1"/>
  </r>
  <r>
    <n v="19"/>
    <x v="2"/>
    <x v="0"/>
    <x v="0"/>
    <n v="528"/>
    <x v="0"/>
    <n v="22"/>
    <n v="1"/>
    <s v="Marketing"/>
    <n v="1"/>
    <n v="167"/>
    <n v="4"/>
    <x v="1"/>
    <n v="50"/>
    <n v="3"/>
    <n v="1"/>
    <x v="6"/>
    <n v="3"/>
    <s v="Single"/>
    <n v="1675"/>
    <n v="26820"/>
    <n v="1"/>
    <s v="Y"/>
    <x v="0"/>
    <n v="19"/>
    <n v="3"/>
    <n v="4"/>
    <n v="80"/>
    <n v="0"/>
    <n v="0"/>
    <n v="2"/>
    <n v="2"/>
    <n v="0"/>
    <x v="1"/>
    <n v="0"/>
    <n v="0"/>
    <n v="0"/>
    <x v="2"/>
    <n v="1"/>
  </r>
  <r>
    <n v="22"/>
    <x v="2"/>
    <x v="1"/>
    <x v="0"/>
    <n v="594"/>
    <x v="1"/>
    <n v="2"/>
    <n v="1"/>
    <s v="Technical Degree"/>
    <n v="1"/>
    <n v="169"/>
    <n v="3"/>
    <x v="1"/>
    <n v="100"/>
    <n v="3"/>
    <n v="1"/>
    <x v="2"/>
    <n v="4"/>
    <s v="Married"/>
    <n v="2523"/>
    <n v="19299"/>
    <n v="0"/>
    <s v="Y"/>
    <x v="1"/>
    <n v="14"/>
    <n v="3"/>
    <n v="3"/>
    <n v="80"/>
    <n v="1"/>
    <n v="3"/>
    <n v="2"/>
    <n v="3"/>
    <n v="2"/>
    <x v="1"/>
    <n v="1"/>
    <n v="2"/>
    <n v="1"/>
    <x v="0"/>
    <n v="0"/>
  </r>
  <r>
    <n v="49"/>
    <x v="0"/>
    <x v="1"/>
    <x v="0"/>
    <n v="470"/>
    <x v="1"/>
    <n v="20"/>
    <n v="4"/>
    <s v="Medical"/>
    <n v="1"/>
    <n v="170"/>
    <n v="3"/>
    <x v="0"/>
    <n v="96"/>
    <n v="3"/>
    <n v="2"/>
    <x v="3"/>
    <n v="1"/>
    <s v="Married"/>
    <n v="6567"/>
    <n v="5549"/>
    <n v="1"/>
    <s v="Y"/>
    <x v="1"/>
    <n v="14"/>
    <n v="3"/>
    <n v="3"/>
    <n v="80"/>
    <n v="0"/>
    <n v="16"/>
    <n v="2"/>
    <n v="2"/>
    <n v="15"/>
    <x v="3"/>
    <n v="11"/>
    <n v="5"/>
    <n v="11"/>
    <x v="3"/>
    <n v="0"/>
  </r>
  <r>
    <n v="43"/>
    <x v="0"/>
    <x v="1"/>
    <x v="1"/>
    <n v="957"/>
    <x v="1"/>
    <n v="28"/>
    <n v="3"/>
    <s v="Medical"/>
    <n v="1"/>
    <n v="171"/>
    <n v="2"/>
    <x v="0"/>
    <n v="72"/>
    <n v="4"/>
    <n v="1"/>
    <x v="1"/>
    <n v="3"/>
    <s v="Single"/>
    <n v="4739"/>
    <n v="16090"/>
    <n v="4"/>
    <s v="Y"/>
    <x v="1"/>
    <n v="12"/>
    <n v="3"/>
    <n v="4"/>
    <n v="80"/>
    <n v="0"/>
    <n v="18"/>
    <n v="2"/>
    <n v="3"/>
    <n v="3"/>
    <x v="2"/>
    <n v="2"/>
    <n v="1"/>
    <n v="2"/>
    <x v="2"/>
    <n v="0"/>
  </r>
  <r>
    <n v="50"/>
    <x v="0"/>
    <x v="1"/>
    <x v="1"/>
    <n v="809"/>
    <x v="0"/>
    <n v="12"/>
    <n v="3"/>
    <s v="Marketing"/>
    <n v="1"/>
    <n v="174"/>
    <n v="3"/>
    <x v="0"/>
    <n v="77"/>
    <n v="3"/>
    <n v="3"/>
    <x v="0"/>
    <n v="4"/>
    <s v="Single"/>
    <n v="9208"/>
    <n v="6645"/>
    <n v="4"/>
    <s v="Y"/>
    <x v="1"/>
    <n v="11"/>
    <n v="3"/>
    <n v="4"/>
    <n v="80"/>
    <n v="0"/>
    <n v="16"/>
    <n v="3"/>
    <n v="3"/>
    <n v="2"/>
    <x v="1"/>
    <n v="2"/>
    <n v="2"/>
    <n v="1"/>
    <x v="0"/>
    <n v="0"/>
  </r>
  <r>
    <n v="31"/>
    <x v="1"/>
    <x v="0"/>
    <x v="0"/>
    <n v="542"/>
    <x v="0"/>
    <n v="20"/>
    <n v="3"/>
    <s v="Life Sciences"/>
    <n v="1"/>
    <n v="175"/>
    <n v="2"/>
    <x v="0"/>
    <n v="71"/>
    <n v="1"/>
    <n v="2"/>
    <x v="0"/>
    <n v="3"/>
    <s v="Married"/>
    <n v="4559"/>
    <n v="24788"/>
    <n v="3"/>
    <s v="Y"/>
    <x v="0"/>
    <n v="11"/>
    <n v="3"/>
    <n v="3"/>
    <n v="80"/>
    <n v="1"/>
    <n v="4"/>
    <n v="2"/>
    <n v="3"/>
    <n v="2"/>
    <x v="1"/>
    <n v="2"/>
    <n v="2"/>
    <n v="2"/>
    <x v="2"/>
    <n v="1"/>
  </r>
  <r>
    <n v="41"/>
    <x v="0"/>
    <x v="1"/>
    <x v="0"/>
    <n v="802"/>
    <x v="0"/>
    <n v="9"/>
    <n v="1"/>
    <s v="Life Sciences"/>
    <n v="1"/>
    <n v="176"/>
    <n v="3"/>
    <x v="1"/>
    <n v="96"/>
    <n v="3"/>
    <n v="3"/>
    <x v="0"/>
    <n v="3"/>
    <s v="Divorced"/>
    <n v="8189"/>
    <n v="21196"/>
    <n v="3"/>
    <s v="Y"/>
    <x v="0"/>
    <n v="13"/>
    <n v="3"/>
    <n v="3"/>
    <n v="80"/>
    <n v="1"/>
    <n v="12"/>
    <n v="2"/>
    <n v="3"/>
    <n v="9"/>
    <x v="0"/>
    <n v="7"/>
    <n v="0"/>
    <n v="7"/>
    <x v="2"/>
    <n v="0"/>
  </r>
  <r>
    <n v="26"/>
    <x v="2"/>
    <x v="1"/>
    <x v="0"/>
    <n v="1355"/>
    <x v="2"/>
    <n v="25"/>
    <n v="1"/>
    <s v="Life Sciences"/>
    <n v="1"/>
    <n v="177"/>
    <n v="3"/>
    <x v="0"/>
    <n v="61"/>
    <n v="3"/>
    <n v="1"/>
    <x v="8"/>
    <n v="3"/>
    <s v="Married"/>
    <n v="2942"/>
    <n v="8916"/>
    <n v="1"/>
    <s v="Y"/>
    <x v="1"/>
    <n v="23"/>
    <n v="4"/>
    <n v="4"/>
    <n v="80"/>
    <n v="1"/>
    <n v="8"/>
    <n v="3"/>
    <n v="3"/>
    <n v="8"/>
    <x v="0"/>
    <n v="7"/>
    <n v="5"/>
    <n v="7"/>
    <x v="2"/>
    <n v="0"/>
  </r>
  <r>
    <n v="36"/>
    <x v="1"/>
    <x v="1"/>
    <x v="0"/>
    <n v="216"/>
    <x v="1"/>
    <n v="6"/>
    <n v="2"/>
    <s v="Medical"/>
    <n v="1"/>
    <n v="178"/>
    <n v="2"/>
    <x v="1"/>
    <n v="84"/>
    <n v="3"/>
    <n v="2"/>
    <x v="3"/>
    <n v="2"/>
    <s v="Divorced"/>
    <n v="4941"/>
    <n v="2819"/>
    <n v="6"/>
    <s v="Y"/>
    <x v="1"/>
    <n v="20"/>
    <n v="4"/>
    <n v="4"/>
    <n v="80"/>
    <n v="2"/>
    <n v="7"/>
    <n v="0"/>
    <n v="3"/>
    <n v="3"/>
    <x v="2"/>
    <n v="2"/>
    <n v="0"/>
    <n v="1"/>
    <x v="1"/>
    <n v="0"/>
  </r>
  <r>
    <n v="51"/>
    <x v="3"/>
    <x v="0"/>
    <x v="1"/>
    <n v="1150"/>
    <x v="1"/>
    <n v="8"/>
    <n v="4"/>
    <s v="Life Sciences"/>
    <n v="1"/>
    <n v="179"/>
    <n v="1"/>
    <x v="1"/>
    <n v="53"/>
    <n v="1"/>
    <n v="3"/>
    <x v="3"/>
    <n v="4"/>
    <s v="Single"/>
    <n v="10650"/>
    <n v="25150"/>
    <n v="2"/>
    <s v="Y"/>
    <x v="1"/>
    <n v="15"/>
    <n v="3"/>
    <n v="4"/>
    <n v="80"/>
    <n v="0"/>
    <n v="18"/>
    <n v="2"/>
    <n v="3"/>
    <n v="4"/>
    <x v="2"/>
    <n v="2"/>
    <n v="0"/>
    <n v="3"/>
    <x v="0"/>
    <n v="1"/>
  </r>
  <r>
    <n v="39"/>
    <x v="1"/>
    <x v="1"/>
    <x v="0"/>
    <n v="1329"/>
    <x v="0"/>
    <n v="4"/>
    <n v="4"/>
    <s v="Life Sciences"/>
    <n v="1"/>
    <n v="182"/>
    <n v="4"/>
    <x v="0"/>
    <n v="47"/>
    <n v="2"/>
    <n v="2"/>
    <x v="0"/>
    <n v="3"/>
    <s v="Married"/>
    <n v="5902"/>
    <n v="14590"/>
    <n v="4"/>
    <s v="Y"/>
    <x v="1"/>
    <n v="14"/>
    <n v="3"/>
    <n v="3"/>
    <n v="80"/>
    <n v="1"/>
    <n v="17"/>
    <n v="1"/>
    <n v="4"/>
    <n v="15"/>
    <x v="3"/>
    <n v="11"/>
    <n v="5"/>
    <n v="9"/>
    <x v="2"/>
    <n v="0"/>
  </r>
  <r>
    <n v="25"/>
    <x v="2"/>
    <x v="1"/>
    <x v="0"/>
    <n v="959"/>
    <x v="0"/>
    <n v="28"/>
    <n v="3"/>
    <s v="Life Sciences"/>
    <n v="1"/>
    <n v="183"/>
    <n v="1"/>
    <x v="1"/>
    <n v="41"/>
    <n v="2"/>
    <n v="2"/>
    <x v="0"/>
    <n v="3"/>
    <s v="Married"/>
    <n v="8639"/>
    <n v="24835"/>
    <n v="2"/>
    <s v="Y"/>
    <x v="1"/>
    <n v="18"/>
    <n v="3"/>
    <n v="4"/>
    <n v="80"/>
    <n v="0"/>
    <n v="6"/>
    <n v="3"/>
    <n v="3"/>
    <n v="2"/>
    <x v="1"/>
    <n v="2"/>
    <n v="2"/>
    <n v="2"/>
    <x v="2"/>
    <n v="0"/>
  </r>
  <r>
    <n v="30"/>
    <x v="1"/>
    <x v="1"/>
    <x v="0"/>
    <n v="1240"/>
    <x v="2"/>
    <n v="9"/>
    <n v="3"/>
    <s v="Human Resources"/>
    <n v="1"/>
    <n v="184"/>
    <n v="3"/>
    <x v="1"/>
    <n v="48"/>
    <n v="3"/>
    <n v="2"/>
    <x v="8"/>
    <n v="4"/>
    <s v="Married"/>
    <n v="6347"/>
    <n v="13982"/>
    <n v="0"/>
    <s v="Y"/>
    <x v="0"/>
    <n v="19"/>
    <n v="3"/>
    <n v="4"/>
    <n v="80"/>
    <n v="0"/>
    <n v="12"/>
    <n v="2"/>
    <n v="1"/>
    <n v="11"/>
    <x v="3"/>
    <n v="9"/>
    <n v="4"/>
    <n v="7"/>
    <x v="0"/>
    <n v="0"/>
  </r>
  <r>
    <n v="32"/>
    <x v="1"/>
    <x v="0"/>
    <x v="0"/>
    <n v="1033"/>
    <x v="1"/>
    <n v="9"/>
    <n v="3"/>
    <s v="Medical"/>
    <n v="1"/>
    <n v="190"/>
    <n v="1"/>
    <x v="0"/>
    <n v="41"/>
    <n v="3"/>
    <n v="1"/>
    <x v="2"/>
    <n v="1"/>
    <s v="Single"/>
    <n v="4200"/>
    <n v="10224"/>
    <n v="7"/>
    <s v="Y"/>
    <x v="1"/>
    <n v="22"/>
    <n v="4"/>
    <n v="1"/>
    <n v="80"/>
    <n v="0"/>
    <n v="10"/>
    <n v="2"/>
    <n v="4"/>
    <n v="5"/>
    <x v="2"/>
    <n v="4"/>
    <n v="0"/>
    <n v="4"/>
    <x v="3"/>
    <n v="1"/>
  </r>
  <r>
    <n v="45"/>
    <x v="0"/>
    <x v="1"/>
    <x v="0"/>
    <n v="1316"/>
    <x v="1"/>
    <n v="29"/>
    <n v="3"/>
    <s v="Medical"/>
    <n v="1"/>
    <n v="192"/>
    <n v="3"/>
    <x v="1"/>
    <n v="83"/>
    <n v="3"/>
    <n v="1"/>
    <x v="1"/>
    <n v="4"/>
    <s v="Single"/>
    <n v="3452"/>
    <n v="9752"/>
    <n v="5"/>
    <s v="Y"/>
    <x v="1"/>
    <n v="13"/>
    <n v="3"/>
    <n v="2"/>
    <n v="80"/>
    <n v="0"/>
    <n v="9"/>
    <n v="2"/>
    <n v="2"/>
    <n v="6"/>
    <x v="0"/>
    <n v="5"/>
    <n v="0"/>
    <n v="3"/>
    <x v="0"/>
    <n v="0"/>
  </r>
  <r>
    <n v="38"/>
    <x v="1"/>
    <x v="1"/>
    <x v="0"/>
    <n v="364"/>
    <x v="1"/>
    <n v="3"/>
    <n v="5"/>
    <s v="Technical Degree"/>
    <n v="1"/>
    <n v="193"/>
    <n v="4"/>
    <x v="0"/>
    <n v="32"/>
    <n v="3"/>
    <n v="2"/>
    <x v="1"/>
    <n v="3"/>
    <s v="Single"/>
    <n v="4317"/>
    <n v="2302"/>
    <n v="3"/>
    <s v="Y"/>
    <x v="0"/>
    <n v="20"/>
    <n v="4"/>
    <n v="2"/>
    <n v="80"/>
    <n v="0"/>
    <n v="19"/>
    <n v="2"/>
    <n v="3"/>
    <n v="3"/>
    <x v="2"/>
    <n v="2"/>
    <n v="2"/>
    <n v="2"/>
    <x v="2"/>
    <n v="0"/>
  </r>
  <r>
    <n v="30"/>
    <x v="1"/>
    <x v="1"/>
    <x v="0"/>
    <n v="438"/>
    <x v="1"/>
    <n v="18"/>
    <n v="3"/>
    <s v="Life Sciences"/>
    <n v="1"/>
    <n v="194"/>
    <n v="1"/>
    <x v="0"/>
    <n v="75"/>
    <n v="3"/>
    <n v="1"/>
    <x v="1"/>
    <n v="3"/>
    <s v="Single"/>
    <n v="2632"/>
    <n v="23910"/>
    <n v="1"/>
    <s v="Y"/>
    <x v="1"/>
    <n v="14"/>
    <n v="3"/>
    <n v="3"/>
    <n v="80"/>
    <n v="0"/>
    <n v="5"/>
    <n v="4"/>
    <n v="2"/>
    <n v="5"/>
    <x v="2"/>
    <n v="4"/>
    <n v="0"/>
    <n v="4"/>
    <x v="2"/>
    <n v="0"/>
  </r>
  <r>
    <n v="32"/>
    <x v="1"/>
    <x v="1"/>
    <x v="1"/>
    <n v="689"/>
    <x v="0"/>
    <n v="9"/>
    <n v="2"/>
    <s v="Medical"/>
    <n v="1"/>
    <n v="195"/>
    <n v="4"/>
    <x v="1"/>
    <n v="35"/>
    <n v="1"/>
    <n v="2"/>
    <x v="0"/>
    <n v="4"/>
    <s v="Divorced"/>
    <n v="4668"/>
    <n v="22812"/>
    <n v="0"/>
    <s v="Y"/>
    <x v="1"/>
    <n v="17"/>
    <n v="3"/>
    <n v="4"/>
    <n v="80"/>
    <n v="3"/>
    <n v="9"/>
    <n v="2"/>
    <n v="4"/>
    <n v="8"/>
    <x v="0"/>
    <n v="7"/>
    <n v="0"/>
    <n v="7"/>
    <x v="0"/>
    <n v="0"/>
  </r>
  <r>
    <n v="30"/>
    <x v="1"/>
    <x v="1"/>
    <x v="0"/>
    <n v="201"/>
    <x v="1"/>
    <n v="5"/>
    <n v="3"/>
    <s v="Technical Degree"/>
    <n v="1"/>
    <n v="197"/>
    <n v="4"/>
    <x v="0"/>
    <n v="84"/>
    <n v="3"/>
    <n v="1"/>
    <x v="1"/>
    <n v="1"/>
    <s v="Divorced"/>
    <n v="3204"/>
    <n v="10415"/>
    <n v="5"/>
    <s v="Y"/>
    <x v="1"/>
    <n v="14"/>
    <n v="3"/>
    <n v="4"/>
    <n v="80"/>
    <n v="1"/>
    <n v="8"/>
    <n v="3"/>
    <n v="3"/>
    <n v="3"/>
    <x v="2"/>
    <n v="2"/>
    <n v="2"/>
    <n v="2"/>
    <x v="3"/>
    <n v="0"/>
  </r>
  <r>
    <n v="30"/>
    <x v="1"/>
    <x v="1"/>
    <x v="0"/>
    <n v="1427"/>
    <x v="1"/>
    <n v="2"/>
    <n v="1"/>
    <s v="Medical"/>
    <n v="1"/>
    <n v="198"/>
    <n v="2"/>
    <x v="1"/>
    <n v="35"/>
    <n v="2"/>
    <n v="1"/>
    <x v="2"/>
    <n v="4"/>
    <s v="Single"/>
    <n v="2720"/>
    <n v="11162"/>
    <n v="0"/>
    <s v="Y"/>
    <x v="1"/>
    <n v="13"/>
    <n v="3"/>
    <n v="4"/>
    <n v="80"/>
    <n v="0"/>
    <n v="6"/>
    <n v="3"/>
    <n v="3"/>
    <n v="5"/>
    <x v="2"/>
    <n v="3"/>
    <n v="1"/>
    <n v="2"/>
    <x v="0"/>
    <n v="0"/>
  </r>
  <r>
    <n v="41"/>
    <x v="0"/>
    <x v="1"/>
    <x v="1"/>
    <n v="857"/>
    <x v="1"/>
    <n v="10"/>
    <n v="3"/>
    <s v="Life Sciences"/>
    <n v="1"/>
    <n v="199"/>
    <n v="4"/>
    <x v="1"/>
    <n v="91"/>
    <n v="2"/>
    <n v="4"/>
    <x v="5"/>
    <n v="1"/>
    <s v="Divorced"/>
    <n v="17181"/>
    <n v="12888"/>
    <n v="4"/>
    <s v="Y"/>
    <x v="1"/>
    <n v="13"/>
    <n v="3"/>
    <n v="2"/>
    <n v="80"/>
    <n v="1"/>
    <n v="21"/>
    <n v="2"/>
    <n v="2"/>
    <n v="7"/>
    <x v="0"/>
    <n v="6"/>
    <n v="7"/>
    <n v="7"/>
    <x v="3"/>
    <n v="0"/>
  </r>
  <r>
    <n v="41"/>
    <x v="0"/>
    <x v="1"/>
    <x v="0"/>
    <n v="933"/>
    <x v="1"/>
    <n v="9"/>
    <n v="4"/>
    <s v="Life Sciences"/>
    <n v="1"/>
    <n v="200"/>
    <n v="3"/>
    <x v="1"/>
    <n v="94"/>
    <n v="3"/>
    <n v="1"/>
    <x v="2"/>
    <n v="1"/>
    <s v="Married"/>
    <n v="2238"/>
    <n v="6961"/>
    <n v="2"/>
    <s v="Y"/>
    <x v="1"/>
    <n v="21"/>
    <n v="4"/>
    <n v="4"/>
    <n v="80"/>
    <n v="1"/>
    <n v="7"/>
    <n v="2"/>
    <n v="3"/>
    <n v="5"/>
    <x v="2"/>
    <n v="0"/>
    <n v="1"/>
    <n v="4"/>
    <x v="3"/>
    <n v="0"/>
  </r>
  <r>
    <n v="19"/>
    <x v="2"/>
    <x v="1"/>
    <x v="0"/>
    <n v="1181"/>
    <x v="1"/>
    <n v="3"/>
    <n v="1"/>
    <s v="Medical"/>
    <n v="1"/>
    <n v="201"/>
    <n v="2"/>
    <x v="0"/>
    <n v="79"/>
    <n v="3"/>
    <n v="1"/>
    <x v="2"/>
    <n v="2"/>
    <s v="Single"/>
    <n v="1483"/>
    <n v="16102"/>
    <n v="1"/>
    <s v="Y"/>
    <x v="1"/>
    <n v="14"/>
    <n v="3"/>
    <n v="4"/>
    <n v="80"/>
    <n v="0"/>
    <n v="1"/>
    <n v="3"/>
    <n v="3"/>
    <n v="1"/>
    <x v="1"/>
    <n v="0"/>
    <n v="0"/>
    <n v="0"/>
    <x v="1"/>
    <n v="0"/>
  </r>
  <r>
    <n v="40"/>
    <x v="1"/>
    <x v="1"/>
    <x v="1"/>
    <n v="1395"/>
    <x v="1"/>
    <n v="26"/>
    <n v="3"/>
    <s v="Medical"/>
    <n v="1"/>
    <n v="202"/>
    <n v="2"/>
    <x v="0"/>
    <n v="54"/>
    <n v="3"/>
    <n v="2"/>
    <x v="1"/>
    <n v="2"/>
    <s v="Divorced"/>
    <n v="5605"/>
    <n v="8504"/>
    <n v="1"/>
    <s v="Y"/>
    <x v="1"/>
    <n v="11"/>
    <n v="3"/>
    <n v="1"/>
    <n v="80"/>
    <n v="1"/>
    <n v="20"/>
    <n v="2"/>
    <n v="3"/>
    <n v="20"/>
    <x v="3"/>
    <n v="7"/>
    <n v="2"/>
    <n v="13"/>
    <x v="1"/>
    <n v="0"/>
  </r>
  <r>
    <n v="35"/>
    <x v="1"/>
    <x v="1"/>
    <x v="0"/>
    <n v="662"/>
    <x v="0"/>
    <n v="1"/>
    <n v="5"/>
    <s v="Marketing"/>
    <n v="1"/>
    <n v="204"/>
    <n v="3"/>
    <x v="1"/>
    <n v="94"/>
    <n v="3"/>
    <n v="3"/>
    <x v="0"/>
    <n v="2"/>
    <s v="Married"/>
    <n v="7295"/>
    <n v="11439"/>
    <n v="1"/>
    <s v="Y"/>
    <x v="1"/>
    <n v="13"/>
    <n v="3"/>
    <n v="1"/>
    <n v="80"/>
    <n v="2"/>
    <n v="10"/>
    <n v="3"/>
    <n v="3"/>
    <n v="10"/>
    <x v="0"/>
    <n v="8"/>
    <n v="0"/>
    <n v="6"/>
    <x v="1"/>
    <n v="0"/>
  </r>
  <r>
    <n v="53"/>
    <x v="3"/>
    <x v="1"/>
    <x v="0"/>
    <n v="1436"/>
    <x v="0"/>
    <n v="6"/>
    <n v="2"/>
    <s v="Marketing"/>
    <n v="1"/>
    <n v="205"/>
    <n v="2"/>
    <x v="1"/>
    <n v="34"/>
    <n v="3"/>
    <n v="2"/>
    <x v="6"/>
    <n v="3"/>
    <s v="Married"/>
    <n v="2306"/>
    <n v="16047"/>
    <n v="2"/>
    <s v="Y"/>
    <x v="0"/>
    <n v="20"/>
    <n v="4"/>
    <n v="4"/>
    <n v="80"/>
    <n v="1"/>
    <n v="13"/>
    <n v="3"/>
    <n v="1"/>
    <n v="7"/>
    <x v="0"/>
    <n v="7"/>
    <n v="4"/>
    <n v="5"/>
    <x v="2"/>
    <n v="0"/>
  </r>
  <r>
    <n v="45"/>
    <x v="0"/>
    <x v="1"/>
    <x v="0"/>
    <n v="194"/>
    <x v="1"/>
    <n v="9"/>
    <n v="3"/>
    <s v="Life Sciences"/>
    <n v="1"/>
    <n v="206"/>
    <n v="2"/>
    <x v="1"/>
    <n v="60"/>
    <n v="3"/>
    <n v="2"/>
    <x v="2"/>
    <n v="2"/>
    <s v="Divorced"/>
    <n v="2348"/>
    <n v="10901"/>
    <n v="8"/>
    <s v="Y"/>
    <x v="1"/>
    <n v="18"/>
    <n v="3"/>
    <n v="3"/>
    <n v="80"/>
    <n v="1"/>
    <n v="20"/>
    <n v="2"/>
    <n v="1"/>
    <n v="17"/>
    <x v="3"/>
    <n v="9"/>
    <n v="0"/>
    <n v="15"/>
    <x v="1"/>
    <n v="0"/>
  </r>
  <r>
    <n v="32"/>
    <x v="1"/>
    <x v="1"/>
    <x v="1"/>
    <n v="967"/>
    <x v="0"/>
    <n v="8"/>
    <n v="3"/>
    <s v="Marketing"/>
    <n v="1"/>
    <n v="207"/>
    <n v="2"/>
    <x v="0"/>
    <n v="43"/>
    <n v="3"/>
    <n v="3"/>
    <x v="0"/>
    <n v="4"/>
    <s v="Single"/>
    <n v="8998"/>
    <n v="15589"/>
    <n v="1"/>
    <s v="Y"/>
    <x v="1"/>
    <n v="14"/>
    <n v="3"/>
    <n v="4"/>
    <n v="80"/>
    <n v="0"/>
    <n v="9"/>
    <n v="2"/>
    <n v="3"/>
    <n v="9"/>
    <x v="0"/>
    <n v="8"/>
    <n v="3"/>
    <n v="7"/>
    <x v="0"/>
    <n v="0"/>
  </r>
  <r>
    <n v="29"/>
    <x v="2"/>
    <x v="1"/>
    <x v="2"/>
    <n v="1496"/>
    <x v="1"/>
    <n v="1"/>
    <n v="1"/>
    <s v="Technical Degree"/>
    <n v="1"/>
    <n v="208"/>
    <n v="4"/>
    <x v="1"/>
    <n v="41"/>
    <n v="3"/>
    <n v="2"/>
    <x v="3"/>
    <n v="3"/>
    <s v="Married"/>
    <n v="4319"/>
    <n v="26283"/>
    <n v="1"/>
    <s v="Y"/>
    <x v="1"/>
    <n v="13"/>
    <n v="3"/>
    <n v="1"/>
    <n v="80"/>
    <n v="1"/>
    <n v="10"/>
    <n v="1"/>
    <n v="3"/>
    <n v="10"/>
    <x v="0"/>
    <n v="7"/>
    <n v="0"/>
    <n v="9"/>
    <x v="2"/>
    <n v="0"/>
  </r>
  <r>
    <n v="51"/>
    <x v="3"/>
    <x v="1"/>
    <x v="0"/>
    <n v="1169"/>
    <x v="1"/>
    <n v="7"/>
    <n v="4"/>
    <s v="Medical"/>
    <n v="1"/>
    <n v="211"/>
    <n v="2"/>
    <x v="1"/>
    <n v="34"/>
    <n v="2"/>
    <n v="2"/>
    <x v="3"/>
    <n v="3"/>
    <s v="Married"/>
    <n v="6132"/>
    <n v="13983"/>
    <n v="2"/>
    <s v="Y"/>
    <x v="1"/>
    <n v="17"/>
    <n v="3"/>
    <n v="3"/>
    <n v="80"/>
    <n v="0"/>
    <n v="10"/>
    <n v="2"/>
    <n v="3"/>
    <n v="1"/>
    <x v="1"/>
    <n v="0"/>
    <n v="0"/>
    <n v="0"/>
    <x v="2"/>
    <n v="0"/>
  </r>
  <r>
    <n v="58"/>
    <x v="3"/>
    <x v="1"/>
    <x v="0"/>
    <n v="1145"/>
    <x v="1"/>
    <n v="9"/>
    <n v="3"/>
    <s v="Medical"/>
    <n v="1"/>
    <n v="214"/>
    <n v="2"/>
    <x v="0"/>
    <n v="75"/>
    <n v="2"/>
    <n v="1"/>
    <x v="1"/>
    <n v="2"/>
    <s v="Married"/>
    <n v="3346"/>
    <n v="11873"/>
    <n v="4"/>
    <s v="Y"/>
    <x v="0"/>
    <n v="20"/>
    <n v="4"/>
    <n v="2"/>
    <n v="80"/>
    <n v="1"/>
    <n v="9"/>
    <n v="3"/>
    <n v="2"/>
    <n v="1"/>
    <x v="1"/>
    <n v="0"/>
    <n v="0"/>
    <n v="0"/>
    <x v="1"/>
    <n v="0"/>
  </r>
  <r>
    <n v="40"/>
    <x v="1"/>
    <x v="1"/>
    <x v="0"/>
    <n v="630"/>
    <x v="0"/>
    <n v="4"/>
    <n v="4"/>
    <s v="Marketing"/>
    <n v="1"/>
    <n v="215"/>
    <n v="3"/>
    <x v="1"/>
    <n v="67"/>
    <n v="2"/>
    <n v="3"/>
    <x v="0"/>
    <n v="4"/>
    <s v="Married"/>
    <n v="10855"/>
    <n v="8552"/>
    <n v="7"/>
    <s v="Y"/>
    <x v="1"/>
    <n v="11"/>
    <n v="3"/>
    <n v="1"/>
    <n v="80"/>
    <n v="1"/>
    <n v="15"/>
    <n v="2"/>
    <n v="2"/>
    <n v="12"/>
    <x v="3"/>
    <n v="11"/>
    <n v="2"/>
    <n v="11"/>
    <x v="0"/>
    <n v="0"/>
  </r>
  <r>
    <n v="34"/>
    <x v="1"/>
    <x v="1"/>
    <x v="1"/>
    <n v="303"/>
    <x v="0"/>
    <n v="2"/>
    <n v="4"/>
    <s v="Marketing"/>
    <n v="1"/>
    <n v="216"/>
    <n v="3"/>
    <x v="0"/>
    <n v="75"/>
    <n v="3"/>
    <n v="1"/>
    <x v="6"/>
    <n v="3"/>
    <s v="Married"/>
    <n v="2231"/>
    <n v="11314"/>
    <n v="6"/>
    <s v="Y"/>
    <x v="1"/>
    <n v="18"/>
    <n v="3"/>
    <n v="4"/>
    <n v="80"/>
    <n v="1"/>
    <n v="6"/>
    <n v="3"/>
    <n v="3"/>
    <n v="4"/>
    <x v="2"/>
    <n v="3"/>
    <n v="1"/>
    <n v="2"/>
    <x v="2"/>
    <n v="0"/>
  </r>
  <r>
    <n v="22"/>
    <x v="2"/>
    <x v="1"/>
    <x v="0"/>
    <n v="1256"/>
    <x v="1"/>
    <n v="19"/>
    <n v="1"/>
    <s v="Medical"/>
    <n v="1"/>
    <n v="217"/>
    <n v="3"/>
    <x v="1"/>
    <n v="80"/>
    <n v="3"/>
    <n v="1"/>
    <x v="1"/>
    <n v="4"/>
    <s v="Married"/>
    <n v="2323"/>
    <n v="11992"/>
    <n v="1"/>
    <s v="Y"/>
    <x v="1"/>
    <n v="24"/>
    <n v="4"/>
    <n v="1"/>
    <n v="80"/>
    <n v="2"/>
    <n v="2"/>
    <n v="6"/>
    <n v="3"/>
    <n v="2"/>
    <x v="1"/>
    <n v="2"/>
    <n v="2"/>
    <n v="2"/>
    <x v="0"/>
    <n v="0"/>
  </r>
  <r>
    <n v="27"/>
    <x v="2"/>
    <x v="1"/>
    <x v="2"/>
    <n v="691"/>
    <x v="1"/>
    <n v="9"/>
    <n v="3"/>
    <s v="Medical"/>
    <n v="1"/>
    <n v="218"/>
    <n v="4"/>
    <x v="1"/>
    <n v="57"/>
    <n v="3"/>
    <n v="1"/>
    <x v="1"/>
    <n v="2"/>
    <s v="Divorced"/>
    <n v="2024"/>
    <n v="5970"/>
    <n v="6"/>
    <s v="Y"/>
    <x v="1"/>
    <n v="18"/>
    <n v="3"/>
    <n v="4"/>
    <n v="80"/>
    <n v="1"/>
    <n v="6"/>
    <n v="1"/>
    <n v="1"/>
    <n v="2"/>
    <x v="1"/>
    <n v="2"/>
    <n v="2"/>
    <n v="2"/>
    <x v="1"/>
    <n v="0"/>
  </r>
  <r>
    <n v="28"/>
    <x v="2"/>
    <x v="1"/>
    <x v="0"/>
    <n v="440"/>
    <x v="1"/>
    <n v="21"/>
    <n v="3"/>
    <s v="Medical"/>
    <n v="1"/>
    <n v="221"/>
    <n v="3"/>
    <x v="1"/>
    <n v="42"/>
    <n v="3"/>
    <n v="1"/>
    <x v="1"/>
    <n v="4"/>
    <s v="Married"/>
    <n v="2713"/>
    <n v="6672"/>
    <n v="1"/>
    <s v="Y"/>
    <x v="1"/>
    <n v="11"/>
    <n v="3"/>
    <n v="3"/>
    <n v="80"/>
    <n v="1"/>
    <n v="5"/>
    <n v="2"/>
    <n v="1"/>
    <n v="5"/>
    <x v="2"/>
    <n v="2"/>
    <n v="0"/>
    <n v="2"/>
    <x v="0"/>
    <n v="0"/>
  </r>
  <r>
    <n v="57"/>
    <x v="3"/>
    <x v="1"/>
    <x v="0"/>
    <n v="334"/>
    <x v="1"/>
    <n v="24"/>
    <n v="2"/>
    <s v="Life Sciences"/>
    <n v="1"/>
    <n v="223"/>
    <n v="3"/>
    <x v="1"/>
    <n v="83"/>
    <n v="4"/>
    <n v="3"/>
    <x v="4"/>
    <n v="4"/>
    <s v="Divorced"/>
    <n v="9439"/>
    <n v="23402"/>
    <n v="3"/>
    <s v="Y"/>
    <x v="0"/>
    <n v="16"/>
    <n v="3"/>
    <n v="2"/>
    <n v="80"/>
    <n v="1"/>
    <n v="12"/>
    <n v="2"/>
    <n v="1"/>
    <n v="5"/>
    <x v="2"/>
    <n v="3"/>
    <n v="1"/>
    <n v="4"/>
    <x v="0"/>
    <n v="0"/>
  </r>
  <r>
    <n v="27"/>
    <x v="2"/>
    <x v="1"/>
    <x v="2"/>
    <n v="1450"/>
    <x v="1"/>
    <n v="3"/>
    <n v="3"/>
    <s v="Medical"/>
    <n v="1"/>
    <n v="224"/>
    <n v="3"/>
    <x v="1"/>
    <n v="79"/>
    <n v="2"/>
    <n v="1"/>
    <x v="1"/>
    <n v="3"/>
    <s v="Divorced"/>
    <n v="2566"/>
    <n v="25326"/>
    <n v="1"/>
    <s v="Y"/>
    <x v="0"/>
    <n v="15"/>
    <n v="3"/>
    <n v="4"/>
    <n v="80"/>
    <n v="1"/>
    <n v="1"/>
    <n v="2"/>
    <n v="2"/>
    <n v="1"/>
    <x v="1"/>
    <n v="1"/>
    <n v="0"/>
    <n v="1"/>
    <x v="2"/>
    <n v="0"/>
  </r>
  <r>
    <n v="50"/>
    <x v="0"/>
    <x v="1"/>
    <x v="0"/>
    <n v="1452"/>
    <x v="1"/>
    <n v="11"/>
    <n v="3"/>
    <s v="Life Sciences"/>
    <n v="1"/>
    <n v="226"/>
    <n v="3"/>
    <x v="0"/>
    <n v="53"/>
    <n v="3"/>
    <n v="5"/>
    <x v="5"/>
    <n v="2"/>
    <s v="Single"/>
    <n v="19926"/>
    <n v="17053"/>
    <n v="3"/>
    <s v="Y"/>
    <x v="1"/>
    <n v="15"/>
    <n v="3"/>
    <n v="2"/>
    <n v="80"/>
    <n v="0"/>
    <n v="21"/>
    <n v="5"/>
    <n v="3"/>
    <n v="5"/>
    <x v="2"/>
    <n v="4"/>
    <n v="4"/>
    <n v="4"/>
    <x v="1"/>
    <n v="0"/>
  </r>
  <r>
    <n v="41"/>
    <x v="0"/>
    <x v="1"/>
    <x v="0"/>
    <n v="465"/>
    <x v="1"/>
    <n v="14"/>
    <n v="3"/>
    <s v="Life Sciences"/>
    <n v="1"/>
    <n v="227"/>
    <n v="1"/>
    <x v="1"/>
    <n v="56"/>
    <n v="3"/>
    <n v="1"/>
    <x v="1"/>
    <n v="3"/>
    <s v="Divorced"/>
    <n v="2451"/>
    <n v="4609"/>
    <n v="4"/>
    <s v="Y"/>
    <x v="1"/>
    <n v="12"/>
    <n v="3"/>
    <n v="1"/>
    <n v="80"/>
    <n v="1"/>
    <n v="13"/>
    <n v="2"/>
    <n v="3"/>
    <n v="9"/>
    <x v="0"/>
    <n v="8"/>
    <n v="1"/>
    <n v="8"/>
    <x v="2"/>
    <n v="0"/>
  </r>
  <r>
    <n v="30"/>
    <x v="1"/>
    <x v="1"/>
    <x v="0"/>
    <n v="1339"/>
    <x v="0"/>
    <n v="5"/>
    <n v="3"/>
    <s v="Life Sciences"/>
    <n v="1"/>
    <n v="228"/>
    <n v="2"/>
    <x v="0"/>
    <n v="41"/>
    <n v="3"/>
    <n v="3"/>
    <x v="0"/>
    <n v="4"/>
    <s v="Married"/>
    <n v="9419"/>
    <n v="8053"/>
    <n v="2"/>
    <s v="Y"/>
    <x v="1"/>
    <n v="12"/>
    <n v="3"/>
    <n v="3"/>
    <n v="80"/>
    <n v="1"/>
    <n v="12"/>
    <n v="2"/>
    <n v="3"/>
    <n v="10"/>
    <x v="0"/>
    <n v="9"/>
    <n v="7"/>
    <n v="4"/>
    <x v="0"/>
    <n v="0"/>
  </r>
  <r>
    <n v="38"/>
    <x v="1"/>
    <x v="1"/>
    <x v="0"/>
    <n v="702"/>
    <x v="0"/>
    <n v="1"/>
    <n v="4"/>
    <s v="Life Sciences"/>
    <n v="1"/>
    <n v="230"/>
    <n v="1"/>
    <x v="0"/>
    <n v="59"/>
    <n v="2"/>
    <n v="2"/>
    <x v="0"/>
    <n v="4"/>
    <s v="Single"/>
    <n v="8686"/>
    <n v="12930"/>
    <n v="4"/>
    <s v="Y"/>
    <x v="1"/>
    <n v="22"/>
    <n v="4"/>
    <n v="3"/>
    <n v="80"/>
    <n v="0"/>
    <n v="12"/>
    <n v="2"/>
    <n v="4"/>
    <n v="8"/>
    <x v="0"/>
    <n v="3"/>
    <n v="0"/>
    <n v="7"/>
    <x v="0"/>
    <n v="0"/>
  </r>
  <r>
    <n v="32"/>
    <x v="1"/>
    <x v="1"/>
    <x v="0"/>
    <n v="120"/>
    <x v="1"/>
    <n v="6"/>
    <n v="5"/>
    <s v="Life Sciences"/>
    <n v="1"/>
    <n v="231"/>
    <n v="3"/>
    <x v="1"/>
    <n v="43"/>
    <n v="3"/>
    <n v="1"/>
    <x v="1"/>
    <n v="3"/>
    <s v="Single"/>
    <n v="3038"/>
    <n v="12430"/>
    <n v="3"/>
    <s v="Y"/>
    <x v="1"/>
    <n v="20"/>
    <n v="4"/>
    <n v="1"/>
    <n v="80"/>
    <n v="0"/>
    <n v="8"/>
    <n v="2"/>
    <n v="3"/>
    <n v="5"/>
    <x v="2"/>
    <n v="4"/>
    <n v="1"/>
    <n v="4"/>
    <x v="2"/>
    <n v="0"/>
  </r>
  <r>
    <n v="27"/>
    <x v="2"/>
    <x v="1"/>
    <x v="0"/>
    <n v="1157"/>
    <x v="1"/>
    <n v="17"/>
    <n v="3"/>
    <s v="Technical Degree"/>
    <n v="1"/>
    <n v="233"/>
    <n v="3"/>
    <x v="1"/>
    <n v="51"/>
    <n v="3"/>
    <n v="1"/>
    <x v="1"/>
    <n v="2"/>
    <s v="Married"/>
    <n v="3058"/>
    <n v="13364"/>
    <n v="0"/>
    <s v="Y"/>
    <x v="0"/>
    <n v="16"/>
    <n v="3"/>
    <n v="4"/>
    <n v="80"/>
    <n v="1"/>
    <n v="6"/>
    <n v="3"/>
    <n v="2"/>
    <n v="5"/>
    <x v="2"/>
    <n v="2"/>
    <n v="1"/>
    <n v="1"/>
    <x v="1"/>
    <n v="0"/>
  </r>
  <r>
    <n v="19"/>
    <x v="2"/>
    <x v="0"/>
    <x v="1"/>
    <n v="602"/>
    <x v="0"/>
    <n v="1"/>
    <n v="1"/>
    <s v="Technical Degree"/>
    <n v="1"/>
    <n v="235"/>
    <n v="3"/>
    <x v="0"/>
    <n v="100"/>
    <n v="1"/>
    <n v="1"/>
    <x v="6"/>
    <n v="1"/>
    <s v="Single"/>
    <n v="2325"/>
    <n v="20989"/>
    <n v="0"/>
    <s v="Y"/>
    <x v="1"/>
    <n v="21"/>
    <n v="4"/>
    <n v="1"/>
    <n v="80"/>
    <n v="0"/>
    <n v="1"/>
    <n v="5"/>
    <n v="4"/>
    <n v="0"/>
    <x v="1"/>
    <n v="0"/>
    <n v="0"/>
    <n v="0"/>
    <x v="3"/>
    <n v="1"/>
  </r>
  <r>
    <n v="36"/>
    <x v="1"/>
    <x v="1"/>
    <x v="1"/>
    <n v="1480"/>
    <x v="1"/>
    <n v="3"/>
    <n v="2"/>
    <s v="Medical"/>
    <n v="1"/>
    <n v="238"/>
    <n v="4"/>
    <x v="1"/>
    <n v="30"/>
    <n v="3"/>
    <n v="1"/>
    <x v="2"/>
    <n v="2"/>
    <s v="Single"/>
    <n v="2088"/>
    <n v="15062"/>
    <n v="4"/>
    <s v="Y"/>
    <x v="1"/>
    <n v="12"/>
    <n v="3"/>
    <n v="3"/>
    <n v="80"/>
    <n v="0"/>
    <n v="13"/>
    <n v="3"/>
    <n v="2"/>
    <n v="8"/>
    <x v="0"/>
    <n v="7"/>
    <n v="7"/>
    <n v="2"/>
    <x v="1"/>
    <n v="0"/>
  </r>
  <r>
    <n v="30"/>
    <x v="1"/>
    <x v="1"/>
    <x v="2"/>
    <n v="111"/>
    <x v="1"/>
    <n v="9"/>
    <n v="3"/>
    <s v="Medical"/>
    <n v="1"/>
    <n v="239"/>
    <n v="3"/>
    <x v="1"/>
    <n v="66"/>
    <n v="3"/>
    <n v="2"/>
    <x v="2"/>
    <n v="1"/>
    <s v="Divorced"/>
    <n v="3072"/>
    <n v="11012"/>
    <n v="1"/>
    <s v="Y"/>
    <x v="1"/>
    <n v="11"/>
    <n v="3"/>
    <n v="3"/>
    <n v="80"/>
    <n v="2"/>
    <n v="12"/>
    <n v="4"/>
    <n v="3"/>
    <n v="12"/>
    <x v="3"/>
    <n v="9"/>
    <n v="6"/>
    <n v="10"/>
    <x v="3"/>
    <n v="0"/>
  </r>
  <r>
    <n v="45"/>
    <x v="0"/>
    <x v="1"/>
    <x v="0"/>
    <n v="1268"/>
    <x v="0"/>
    <n v="4"/>
    <n v="2"/>
    <s v="Life Sciences"/>
    <n v="1"/>
    <n v="240"/>
    <n v="3"/>
    <x v="0"/>
    <n v="30"/>
    <n v="3"/>
    <n v="2"/>
    <x v="0"/>
    <n v="1"/>
    <s v="Divorced"/>
    <n v="5006"/>
    <n v="6319"/>
    <n v="4"/>
    <s v="Y"/>
    <x v="0"/>
    <n v="11"/>
    <n v="3"/>
    <n v="1"/>
    <n v="80"/>
    <n v="1"/>
    <n v="9"/>
    <n v="3"/>
    <n v="4"/>
    <n v="5"/>
    <x v="2"/>
    <n v="4"/>
    <n v="0"/>
    <n v="3"/>
    <x v="3"/>
    <n v="0"/>
  </r>
  <r>
    <n v="56"/>
    <x v="3"/>
    <x v="1"/>
    <x v="0"/>
    <n v="713"/>
    <x v="1"/>
    <n v="8"/>
    <n v="3"/>
    <s v="Life Sciences"/>
    <n v="1"/>
    <n v="241"/>
    <n v="3"/>
    <x v="0"/>
    <n v="67"/>
    <n v="3"/>
    <n v="1"/>
    <x v="1"/>
    <n v="1"/>
    <s v="Divorced"/>
    <n v="4257"/>
    <n v="13939"/>
    <n v="4"/>
    <s v="Y"/>
    <x v="0"/>
    <n v="18"/>
    <n v="3"/>
    <n v="3"/>
    <n v="80"/>
    <n v="1"/>
    <n v="19"/>
    <n v="3"/>
    <n v="3"/>
    <n v="2"/>
    <x v="1"/>
    <n v="2"/>
    <n v="2"/>
    <n v="2"/>
    <x v="3"/>
    <n v="0"/>
  </r>
  <r>
    <n v="33"/>
    <x v="1"/>
    <x v="1"/>
    <x v="0"/>
    <n v="134"/>
    <x v="1"/>
    <n v="2"/>
    <n v="3"/>
    <s v="Life Sciences"/>
    <n v="1"/>
    <n v="242"/>
    <n v="3"/>
    <x v="1"/>
    <n v="90"/>
    <n v="3"/>
    <n v="1"/>
    <x v="1"/>
    <n v="4"/>
    <s v="Single"/>
    <n v="2500"/>
    <n v="10515"/>
    <n v="0"/>
    <s v="Y"/>
    <x v="1"/>
    <n v="14"/>
    <n v="3"/>
    <n v="1"/>
    <n v="80"/>
    <n v="0"/>
    <n v="4"/>
    <n v="2"/>
    <n v="4"/>
    <n v="3"/>
    <x v="2"/>
    <n v="1"/>
    <n v="0"/>
    <n v="2"/>
    <x v="0"/>
    <n v="0"/>
  </r>
  <r>
    <n v="19"/>
    <x v="2"/>
    <x v="0"/>
    <x v="0"/>
    <n v="303"/>
    <x v="1"/>
    <n v="2"/>
    <n v="3"/>
    <s v="Life Sciences"/>
    <n v="1"/>
    <n v="243"/>
    <n v="2"/>
    <x v="1"/>
    <n v="47"/>
    <n v="2"/>
    <n v="1"/>
    <x v="2"/>
    <n v="4"/>
    <s v="Single"/>
    <n v="1102"/>
    <n v="9241"/>
    <n v="1"/>
    <s v="Y"/>
    <x v="1"/>
    <n v="22"/>
    <n v="4"/>
    <n v="3"/>
    <n v="80"/>
    <n v="0"/>
    <n v="1"/>
    <n v="3"/>
    <n v="2"/>
    <n v="1"/>
    <x v="1"/>
    <n v="0"/>
    <n v="1"/>
    <n v="0"/>
    <x v="0"/>
    <n v="1"/>
  </r>
  <r>
    <n v="46"/>
    <x v="0"/>
    <x v="1"/>
    <x v="0"/>
    <n v="526"/>
    <x v="0"/>
    <n v="1"/>
    <n v="2"/>
    <s v="Marketing"/>
    <n v="1"/>
    <n v="244"/>
    <n v="2"/>
    <x v="0"/>
    <n v="92"/>
    <n v="3"/>
    <n v="3"/>
    <x v="0"/>
    <n v="1"/>
    <s v="Divorced"/>
    <n v="10453"/>
    <n v="2137"/>
    <n v="1"/>
    <s v="Y"/>
    <x v="1"/>
    <n v="25"/>
    <n v="4"/>
    <n v="3"/>
    <n v="80"/>
    <n v="3"/>
    <n v="24"/>
    <n v="2"/>
    <n v="3"/>
    <n v="24"/>
    <x v="3"/>
    <n v="13"/>
    <n v="15"/>
    <n v="7"/>
    <x v="3"/>
    <n v="0"/>
  </r>
  <r>
    <n v="38"/>
    <x v="1"/>
    <x v="1"/>
    <x v="0"/>
    <n v="1380"/>
    <x v="1"/>
    <n v="9"/>
    <n v="2"/>
    <s v="Life Sciences"/>
    <n v="1"/>
    <n v="245"/>
    <n v="3"/>
    <x v="0"/>
    <n v="75"/>
    <n v="3"/>
    <n v="1"/>
    <x v="2"/>
    <n v="4"/>
    <s v="Single"/>
    <n v="2288"/>
    <n v="6319"/>
    <n v="1"/>
    <s v="Y"/>
    <x v="1"/>
    <n v="12"/>
    <n v="3"/>
    <n v="3"/>
    <n v="80"/>
    <n v="0"/>
    <n v="2"/>
    <n v="3"/>
    <n v="3"/>
    <n v="2"/>
    <x v="1"/>
    <n v="2"/>
    <n v="2"/>
    <n v="1"/>
    <x v="0"/>
    <n v="0"/>
  </r>
  <r>
    <n v="31"/>
    <x v="1"/>
    <x v="1"/>
    <x v="0"/>
    <n v="140"/>
    <x v="1"/>
    <n v="12"/>
    <n v="1"/>
    <s v="Medical"/>
    <n v="1"/>
    <n v="246"/>
    <n v="3"/>
    <x v="0"/>
    <n v="95"/>
    <n v="3"/>
    <n v="1"/>
    <x v="1"/>
    <n v="4"/>
    <s v="Married"/>
    <n v="3929"/>
    <n v="6984"/>
    <n v="8"/>
    <s v="Y"/>
    <x v="0"/>
    <n v="23"/>
    <n v="4"/>
    <n v="3"/>
    <n v="80"/>
    <n v="1"/>
    <n v="7"/>
    <n v="0"/>
    <n v="3"/>
    <n v="4"/>
    <x v="2"/>
    <n v="2"/>
    <n v="0"/>
    <n v="2"/>
    <x v="0"/>
    <n v="0"/>
  </r>
  <r>
    <n v="34"/>
    <x v="1"/>
    <x v="1"/>
    <x v="0"/>
    <n v="629"/>
    <x v="1"/>
    <n v="27"/>
    <n v="2"/>
    <s v="Medical"/>
    <n v="1"/>
    <n v="247"/>
    <n v="4"/>
    <x v="0"/>
    <n v="95"/>
    <n v="3"/>
    <n v="1"/>
    <x v="1"/>
    <n v="2"/>
    <s v="Single"/>
    <n v="2311"/>
    <n v="5711"/>
    <n v="2"/>
    <s v="Y"/>
    <x v="1"/>
    <n v="15"/>
    <n v="3"/>
    <n v="4"/>
    <n v="80"/>
    <n v="0"/>
    <n v="9"/>
    <n v="3"/>
    <n v="3"/>
    <n v="3"/>
    <x v="2"/>
    <n v="2"/>
    <n v="1"/>
    <n v="2"/>
    <x v="1"/>
    <n v="0"/>
  </r>
  <r>
    <n v="41"/>
    <x v="0"/>
    <x v="0"/>
    <x v="0"/>
    <n v="1356"/>
    <x v="0"/>
    <n v="20"/>
    <n v="2"/>
    <s v="Marketing"/>
    <n v="1"/>
    <n v="248"/>
    <n v="2"/>
    <x v="0"/>
    <n v="70"/>
    <n v="3"/>
    <n v="1"/>
    <x v="6"/>
    <n v="2"/>
    <s v="Single"/>
    <n v="3140"/>
    <n v="21728"/>
    <n v="1"/>
    <s v="Y"/>
    <x v="0"/>
    <n v="22"/>
    <n v="4"/>
    <n v="4"/>
    <n v="80"/>
    <n v="0"/>
    <n v="4"/>
    <n v="5"/>
    <n v="2"/>
    <n v="4"/>
    <x v="2"/>
    <n v="3"/>
    <n v="0"/>
    <n v="2"/>
    <x v="1"/>
    <n v="1"/>
  </r>
  <r>
    <n v="50"/>
    <x v="0"/>
    <x v="1"/>
    <x v="0"/>
    <n v="328"/>
    <x v="1"/>
    <n v="1"/>
    <n v="3"/>
    <s v="Medical"/>
    <n v="1"/>
    <n v="249"/>
    <n v="3"/>
    <x v="1"/>
    <n v="86"/>
    <n v="2"/>
    <n v="1"/>
    <x v="2"/>
    <n v="3"/>
    <s v="Married"/>
    <n v="3690"/>
    <n v="3425"/>
    <n v="2"/>
    <s v="Y"/>
    <x v="1"/>
    <n v="15"/>
    <n v="3"/>
    <n v="4"/>
    <n v="80"/>
    <n v="1"/>
    <n v="5"/>
    <n v="2"/>
    <n v="2"/>
    <n v="3"/>
    <x v="2"/>
    <n v="2"/>
    <n v="0"/>
    <n v="2"/>
    <x v="2"/>
    <n v="0"/>
  </r>
  <r>
    <n v="53"/>
    <x v="3"/>
    <x v="1"/>
    <x v="0"/>
    <n v="1084"/>
    <x v="1"/>
    <n v="13"/>
    <n v="2"/>
    <s v="Medical"/>
    <n v="1"/>
    <n v="250"/>
    <n v="4"/>
    <x v="0"/>
    <n v="57"/>
    <n v="4"/>
    <n v="2"/>
    <x v="3"/>
    <n v="1"/>
    <s v="Divorced"/>
    <n v="4450"/>
    <n v="26250"/>
    <n v="1"/>
    <s v="Y"/>
    <x v="1"/>
    <n v="11"/>
    <n v="3"/>
    <n v="3"/>
    <n v="80"/>
    <n v="2"/>
    <n v="5"/>
    <n v="3"/>
    <n v="3"/>
    <n v="4"/>
    <x v="2"/>
    <n v="2"/>
    <n v="1"/>
    <n v="3"/>
    <x v="3"/>
    <n v="0"/>
  </r>
  <r>
    <n v="33"/>
    <x v="1"/>
    <x v="1"/>
    <x v="0"/>
    <n v="931"/>
    <x v="1"/>
    <n v="14"/>
    <n v="3"/>
    <s v="Medical"/>
    <n v="1"/>
    <n v="252"/>
    <n v="4"/>
    <x v="0"/>
    <n v="72"/>
    <n v="3"/>
    <n v="1"/>
    <x v="1"/>
    <n v="2"/>
    <s v="Married"/>
    <n v="2756"/>
    <n v="4673"/>
    <n v="1"/>
    <s v="Y"/>
    <x v="1"/>
    <n v="13"/>
    <n v="3"/>
    <n v="4"/>
    <n v="80"/>
    <n v="1"/>
    <n v="8"/>
    <n v="5"/>
    <n v="3"/>
    <n v="8"/>
    <x v="0"/>
    <n v="7"/>
    <n v="1"/>
    <n v="6"/>
    <x v="1"/>
    <n v="0"/>
  </r>
  <r>
    <n v="40"/>
    <x v="1"/>
    <x v="1"/>
    <x v="0"/>
    <n v="989"/>
    <x v="1"/>
    <n v="4"/>
    <n v="1"/>
    <s v="Medical"/>
    <n v="1"/>
    <n v="253"/>
    <n v="4"/>
    <x v="0"/>
    <n v="46"/>
    <n v="3"/>
    <n v="5"/>
    <x v="5"/>
    <n v="3"/>
    <s v="Married"/>
    <n v="19033"/>
    <n v="6499"/>
    <n v="1"/>
    <s v="Y"/>
    <x v="1"/>
    <n v="14"/>
    <n v="3"/>
    <n v="2"/>
    <n v="80"/>
    <n v="1"/>
    <n v="21"/>
    <n v="2"/>
    <n v="3"/>
    <n v="20"/>
    <x v="3"/>
    <n v="8"/>
    <n v="9"/>
    <n v="9"/>
    <x v="2"/>
    <n v="0"/>
  </r>
  <r>
    <n v="55"/>
    <x v="3"/>
    <x v="1"/>
    <x v="0"/>
    <n v="692"/>
    <x v="1"/>
    <n v="14"/>
    <n v="4"/>
    <s v="Medical"/>
    <n v="1"/>
    <n v="254"/>
    <n v="3"/>
    <x v="1"/>
    <n v="61"/>
    <n v="4"/>
    <n v="5"/>
    <x v="7"/>
    <n v="2"/>
    <s v="Single"/>
    <n v="18722"/>
    <n v="13339"/>
    <n v="8"/>
    <s v="Y"/>
    <x v="1"/>
    <n v="11"/>
    <n v="3"/>
    <n v="4"/>
    <n v="80"/>
    <n v="0"/>
    <n v="36"/>
    <n v="3"/>
    <n v="3"/>
    <n v="24"/>
    <x v="3"/>
    <n v="15"/>
    <n v="2"/>
    <n v="15"/>
    <x v="1"/>
    <n v="0"/>
  </r>
  <r>
    <n v="34"/>
    <x v="1"/>
    <x v="1"/>
    <x v="1"/>
    <n v="1069"/>
    <x v="1"/>
    <n v="2"/>
    <n v="1"/>
    <s v="Life Sciences"/>
    <n v="1"/>
    <n v="256"/>
    <n v="4"/>
    <x v="1"/>
    <n v="45"/>
    <n v="2"/>
    <n v="2"/>
    <x v="3"/>
    <n v="3"/>
    <s v="Married"/>
    <n v="9547"/>
    <n v="14074"/>
    <n v="1"/>
    <s v="Y"/>
    <x v="1"/>
    <n v="17"/>
    <n v="3"/>
    <n v="3"/>
    <n v="80"/>
    <n v="0"/>
    <n v="10"/>
    <n v="2"/>
    <n v="2"/>
    <n v="10"/>
    <x v="0"/>
    <n v="9"/>
    <n v="1"/>
    <n v="9"/>
    <x v="2"/>
    <n v="0"/>
  </r>
  <r>
    <n v="51"/>
    <x v="3"/>
    <x v="1"/>
    <x v="0"/>
    <n v="313"/>
    <x v="1"/>
    <n v="3"/>
    <n v="3"/>
    <s v="Medical"/>
    <n v="1"/>
    <n v="258"/>
    <n v="4"/>
    <x v="0"/>
    <n v="98"/>
    <n v="3"/>
    <n v="4"/>
    <x v="4"/>
    <n v="2"/>
    <s v="Single"/>
    <n v="13734"/>
    <n v="7192"/>
    <n v="3"/>
    <s v="Y"/>
    <x v="1"/>
    <n v="18"/>
    <n v="3"/>
    <n v="3"/>
    <n v="80"/>
    <n v="0"/>
    <n v="21"/>
    <n v="6"/>
    <n v="3"/>
    <n v="7"/>
    <x v="0"/>
    <n v="7"/>
    <n v="1"/>
    <n v="0"/>
    <x v="1"/>
    <n v="0"/>
  </r>
  <r>
    <n v="52"/>
    <x v="3"/>
    <x v="1"/>
    <x v="0"/>
    <n v="699"/>
    <x v="1"/>
    <n v="1"/>
    <n v="4"/>
    <s v="Life Sciences"/>
    <n v="1"/>
    <n v="259"/>
    <n v="3"/>
    <x v="1"/>
    <n v="65"/>
    <n v="2"/>
    <n v="5"/>
    <x v="5"/>
    <n v="3"/>
    <s v="Married"/>
    <n v="19999"/>
    <n v="5678"/>
    <n v="0"/>
    <s v="Y"/>
    <x v="1"/>
    <n v="14"/>
    <n v="3"/>
    <n v="1"/>
    <n v="80"/>
    <n v="1"/>
    <n v="34"/>
    <n v="5"/>
    <n v="3"/>
    <n v="33"/>
    <x v="3"/>
    <n v="18"/>
    <n v="11"/>
    <n v="9"/>
    <x v="2"/>
    <n v="0"/>
  </r>
  <r>
    <n v="27"/>
    <x v="2"/>
    <x v="1"/>
    <x v="0"/>
    <n v="894"/>
    <x v="1"/>
    <n v="9"/>
    <n v="3"/>
    <s v="Medical"/>
    <n v="1"/>
    <n v="260"/>
    <n v="4"/>
    <x v="0"/>
    <n v="99"/>
    <n v="3"/>
    <n v="1"/>
    <x v="1"/>
    <n v="2"/>
    <s v="Single"/>
    <n v="2279"/>
    <n v="11781"/>
    <n v="1"/>
    <s v="Y"/>
    <x v="1"/>
    <n v="16"/>
    <n v="3"/>
    <n v="4"/>
    <n v="80"/>
    <n v="0"/>
    <n v="7"/>
    <n v="2"/>
    <n v="2"/>
    <n v="7"/>
    <x v="0"/>
    <n v="7"/>
    <n v="0"/>
    <n v="3"/>
    <x v="1"/>
    <n v="0"/>
  </r>
  <r>
    <n v="35"/>
    <x v="1"/>
    <x v="0"/>
    <x v="0"/>
    <n v="556"/>
    <x v="1"/>
    <n v="23"/>
    <n v="2"/>
    <s v="Life Sciences"/>
    <n v="1"/>
    <n v="261"/>
    <n v="2"/>
    <x v="1"/>
    <n v="50"/>
    <n v="2"/>
    <n v="2"/>
    <x v="3"/>
    <n v="3"/>
    <s v="Married"/>
    <n v="5916"/>
    <n v="15497"/>
    <n v="3"/>
    <s v="Y"/>
    <x v="0"/>
    <n v="13"/>
    <n v="3"/>
    <n v="1"/>
    <n v="80"/>
    <n v="0"/>
    <n v="8"/>
    <n v="1"/>
    <n v="3"/>
    <n v="1"/>
    <x v="1"/>
    <n v="0"/>
    <n v="0"/>
    <n v="1"/>
    <x v="2"/>
    <n v="1"/>
  </r>
  <r>
    <n v="43"/>
    <x v="0"/>
    <x v="1"/>
    <x v="2"/>
    <n v="1344"/>
    <x v="1"/>
    <n v="7"/>
    <n v="3"/>
    <s v="Medical"/>
    <n v="1"/>
    <n v="262"/>
    <n v="4"/>
    <x v="1"/>
    <n v="37"/>
    <n v="4"/>
    <n v="1"/>
    <x v="1"/>
    <n v="4"/>
    <s v="Divorced"/>
    <n v="2089"/>
    <n v="5228"/>
    <n v="4"/>
    <s v="Y"/>
    <x v="1"/>
    <n v="14"/>
    <n v="3"/>
    <n v="4"/>
    <n v="80"/>
    <n v="3"/>
    <n v="7"/>
    <n v="3"/>
    <n v="4"/>
    <n v="5"/>
    <x v="2"/>
    <n v="4"/>
    <n v="2"/>
    <n v="2"/>
    <x v="0"/>
    <n v="0"/>
  </r>
  <r>
    <n v="45"/>
    <x v="0"/>
    <x v="1"/>
    <x v="2"/>
    <n v="1195"/>
    <x v="1"/>
    <n v="2"/>
    <n v="2"/>
    <s v="Medical"/>
    <n v="1"/>
    <n v="264"/>
    <n v="1"/>
    <x v="1"/>
    <n v="65"/>
    <n v="2"/>
    <n v="4"/>
    <x v="5"/>
    <n v="4"/>
    <s v="Married"/>
    <n v="16792"/>
    <n v="20462"/>
    <n v="9"/>
    <s v="Y"/>
    <x v="1"/>
    <n v="23"/>
    <n v="4"/>
    <n v="4"/>
    <n v="80"/>
    <n v="1"/>
    <n v="22"/>
    <n v="1"/>
    <n v="3"/>
    <n v="20"/>
    <x v="3"/>
    <n v="8"/>
    <n v="11"/>
    <n v="8"/>
    <x v="0"/>
    <n v="0"/>
  </r>
  <r>
    <n v="37"/>
    <x v="1"/>
    <x v="1"/>
    <x v="0"/>
    <n v="290"/>
    <x v="1"/>
    <n v="21"/>
    <n v="3"/>
    <s v="Life Sciences"/>
    <n v="1"/>
    <n v="267"/>
    <n v="2"/>
    <x v="1"/>
    <n v="65"/>
    <n v="4"/>
    <n v="1"/>
    <x v="1"/>
    <n v="1"/>
    <s v="Married"/>
    <n v="3564"/>
    <n v="22977"/>
    <n v="1"/>
    <s v="Y"/>
    <x v="0"/>
    <n v="12"/>
    <n v="3"/>
    <n v="1"/>
    <n v="80"/>
    <n v="1"/>
    <n v="8"/>
    <n v="3"/>
    <n v="2"/>
    <n v="8"/>
    <x v="0"/>
    <n v="7"/>
    <n v="1"/>
    <n v="7"/>
    <x v="3"/>
    <n v="0"/>
  </r>
  <r>
    <n v="35"/>
    <x v="1"/>
    <x v="1"/>
    <x v="1"/>
    <n v="138"/>
    <x v="1"/>
    <n v="2"/>
    <n v="3"/>
    <s v="Medical"/>
    <n v="1"/>
    <n v="269"/>
    <n v="2"/>
    <x v="0"/>
    <n v="37"/>
    <n v="3"/>
    <n v="2"/>
    <x v="2"/>
    <n v="2"/>
    <s v="Single"/>
    <n v="4425"/>
    <n v="15986"/>
    <n v="5"/>
    <s v="Y"/>
    <x v="1"/>
    <n v="11"/>
    <n v="3"/>
    <n v="4"/>
    <n v="80"/>
    <n v="0"/>
    <n v="10"/>
    <n v="5"/>
    <n v="3"/>
    <n v="6"/>
    <x v="0"/>
    <n v="2"/>
    <n v="1"/>
    <n v="2"/>
    <x v="1"/>
    <n v="0"/>
  </r>
  <r>
    <n v="42"/>
    <x v="0"/>
    <x v="1"/>
    <x v="2"/>
    <n v="926"/>
    <x v="1"/>
    <n v="21"/>
    <n v="2"/>
    <s v="Medical"/>
    <n v="1"/>
    <n v="270"/>
    <n v="3"/>
    <x v="0"/>
    <n v="36"/>
    <n v="3"/>
    <n v="2"/>
    <x v="3"/>
    <n v="3"/>
    <s v="Divorced"/>
    <n v="5265"/>
    <n v="16439"/>
    <n v="2"/>
    <s v="Y"/>
    <x v="1"/>
    <n v="16"/>
    <n v="3"/>
    <n v="2"/>
    <n v="80"/>
    <n v="1"/>
    <n v="11"/>
    <n v="5"/>
    <n v="3"/>
    <n v="5"/>
    <x v="2"/>
    <n v="3"/>
    <n v="0"/>
    <n v="2"/>
    <x v="2"/>
    <n v="0"/>
  </r>
  <r>
    <n v="38"/>
    <x v="1"/>
    <x v="1"/>
    <x v="0"/>
    <n v="1261"/>
    <x v="1"/>
    <n v="2"/>
    <n v="4"/>
    <s v="Life Sciences"/>
    <n v="1"/>
    <n v="271"/>
    <n v="4"/>
    <x v="1"/>
    <n v="88"/>
    <n v="3"/>
    <n v="2"/>
    <x v="3"/>
    <n v="3"/>
    <s v="Married"/>
    <n v="6553"/>
    <n v="7259"/>
    <n v="9"/>
    <s v="Y"/>
    <x v="1"/>
    <n v="14"/>
    <n v="3"/>
    <n v="2"/>
    <n v="80"/>
    <n v="0"/>
    <n v="14"/>
    <n v="3"/>
    <n v="3"/>
    <n v="1"/>
    <x v="1"/>
    <n v="0"/>
    <n v="0"/>
    <n v="0"/>
    <x v="2"/>
    <n v="0"/>
  </r>
  <r>
    <n v="38"/>
    <x v="1"/>
    <x v="1"/>
    <x v="0"/>
    <n v="1084"/>
    <x v="1"/>
    <n v="29"/>
    <n v="3"/>
    <s v="Technical Degree"/>
    <n v="1"/>
    <n v="273"/>
    <n v="4"/>
    <x v="1"/>
    <n v="54"/>
    <n v="3"/>
    <n v="2"/>
    <x v="3"/>
    <n v="4"/>
    <s v="Married"/>
    <n v="6261"/>
    <n v="4185"/>
    <n v="3"/>
    <s v="Y"/>
    <x v="1"/>
    <n v="18"/>
    <n v="3"/>
    <n v="1"/>
    <n v="80"/>
    <n v="1"/>
    <n v="9"/>
    <n v="3"/>
    <n v="1"/>
    <n v="7"/>
    <x v="0"/>
    <n v="7"/>
    <n v="1"/>
    <n v="7"/>
    <x v="0"/>
    <n v="0"/>
  </r>
  <r>
    <n v="27"/>
    <x v="2"/>
    <x v="1"/>
    <x v="1"/>
    <n v="472"/>
    <x v="1"/>
    <n v="1"/>
    <n v="1"/>
    <s v="Technical Degree"/>
    <n v="1"/>
    <n v="274"/>
    <n v="3"/>
    <x v="1"/>
    <n v="60"/>
    <n v="2"/>
    <n v="2"/>
    <x v="3"/>
    <n v="1"/>
    <s v="Married"/>
    <n v="4298"/>
    <n v="9679"/>
    <n v="5"/>
    <s v="Y"/>
    <x v="1"/>
    <n v="19"/>
    <n v="3"/>
    <n v="3"/>
    <n v="80"/>
    <n v="1"/>
    <n v="6"/>
    <n v="1"/>
    <n v="3"/>
    <n v="2"/>
    <x v="1"/>
    <n v="2"/>
    <n v="2"/>
    <n v="0"/>
    <x v="3"/>
    <n v="0"/>
  </r>
  <r>
    <n v="49"/>
    <x v="0"/>
    <x v="1"/>
    <x v="2"/>
    <n v="1002"/>
    <x v="1"/>
    <n v="18"/>
    <n v="4"/>
    <s v="Life Sciences"/>
    <n v="1"/>
    <n v="275"/>
    <n v="4"/>
    <x v="1"/>
    <n v="92"/>
    <n v="3"/>
    <n v="2"/>
    <x v="3"/>
    <n v="4"/>
    <s v="Divorced"/>
    <n v="6804"/>
    <n v="23793"/>
    <n v="1"/>
    <s v="Y"/>
    <x v="0"/>
    <n v="15"/>
    <n v="3"/>
    <n v="1"/>
    <n v="80"/>
    <n v="2"/>
    <n v="7"/>
    <n v="0"/>
    <n v="3"/>
    <n v="7"/>
    <x v="0"/>
    <n v="7"/>
    <n v="1"/>
    <n v="7"/>
    <x v="0"/>
    <n v="0"/>
  </r>
  <r>
    <n v="34"/>
    <x v="1"/>
    <x v="1"/>
    <x v="1"/>
    <n v="878"/>
    <x v="1"/>
    <n v="10"/>
    <n v="4"/>
    <s v="Medical"/>
    <n v="1"/>
    <n v="277"/>
    <n v="4"/>
    <x v="1"/>
    <n v="43"/>
    <n v="3"/>
    <n v="1"/>
    <x v="1"/>
    <n v="3"/>
    <s v="Divorced"/>
    <n v="3815"/>
    <n v="5972"/>
    <n v="1"/>
    <s v="Y"/>
    <x v="0"/>
    <n v="17"/>
    <n v="3"/>
    <n v="4"/>
    <n v="80"/>
    <n v="1"/>
    <n v="5"/>
    <n v="4"/>
    <n v="4"/>
    <n v="5"/>
    <x v="2"/>
    <n v="3"/>
    <n v="2"/>
    <n v="0"/>
    <x v="2"/>
    <n v="0"/>
  </r>
  <r>
    <n v="40"/>
    <x v="1"/>
    <x v="1"/>
    <x v="0"/>
    <n v="905"/>
    <x v="1"/>
    <n v="19"/>
    <n v="2"/>
    <s v="Medical"/>
    <n v="1"/>
    <n v="281"/>
    <n v="3"/>
    <x v="1"/>
    <n v="99"/>
    <n v="3"/>
    <n v="2"/>
    <x v="2"/>
    <n v="4"/>
    <s v="Married"/>
    <n v="2741"/>
    <n v="16523"/>
    <n v="8"/>
    <s v="Y"/>
    <x v="0"/>
    <n v="15"/>
    <n v="3"/>
    <n v="3"/>
    <n v="80"/>
    <n v="1"/>
    <n v="15"/>
    <n v="2"/>
    <n v="4"/>
    <n v="7"/>
    <x v="0"/>
    <n v="2"/>
    <n v="3"/>
    <n v="7"/>
    <x v="0"/>
    <n v="0"/>
  </r>
  <r>
    <n v="38"/>
    <x v="1"/>
    <x v="0"/>
    <x v="0"/>
    <n v="1180"/>
    <x v="1"/>
    <n v="29"/>
    <n v="1"/>
    <s v="Medical"/>
    <n v="1"/>
    <n v="282"/>
    <n v="2"/>
    <x v="1"/>
    <n v="70"/>
    <n v="3"/>
    <n v="2"/>
    <x v="4"/>
    <n v="1"/>
    <s v="Married"/>
    <n v="6673"/>
    <n v="11354"/>
    <n v="7"/>
    <s v="Y"/>
    <x v="0"/>
    <n v="19"/>
    <n v="3"/>
    <n v="2"/>
    <n v="80"/>
    <n v="0"/>
    <n v="17"/>
    <n v="2"/>
    <n v="3"/>
    <n v="1"/>
    <x v="1"/>
    <n v="0"/>
    <n v="0"/>
    <n v="0"/>
    <x v="3"/>
    <n v="1"/>
  </r>
  <r>
    <n v="29"/>
    <x v="2"/>
    <x v="0"/>
    <x v="0"/>
    <n v="121"/>
    <x v="0"/>
    <n v="27"/>
    <n v="3"/>
    <s v="Marketing"/>
    <n v="1"/>
    <n v="283"/>
    <n v="2"/>
    <x v="0"/>
    <n v="35"/>
    <n v="3"/>
    <n v="3"/>
    <x v="0"/>
    <n v="4"/>
    <s v="Married"/>
    <n v="7639"/>
    <n v="24525"/>
    <n v="1"/>
    <s v="Y"/>
    <x v="1"/>
    <n v="22"/>
    <n v="4"/>
    <n v="4"/>
    <n v="80"/>
    <n v="3"/>
    <n v="10"/>
    <n v="3"/>
    <n v="2"/>
    <n v="10"/>
    <x v="0"/>
    <n v="4"/>
    <n v="1"/>
    <n v="9"/>
    <x v="0"/>
    <n v="1"/>
  </r>
  <r>
    <n v="22"/>
    <x v="2"/>
    <x v="1"/>
    <x v="0"/>
    <n v="1136"/>
    <x v="1"/>
    <n v="5"/>
    <n v="3"/>
    <s v="Life Sciences"/>
    <n v="1"/>
    <n v="284"/>
    <n v="4"/>
    <x v="1"/>
    <n v="60"/>
    <n v="4"/>
    <n v="1"/>
    <x v="1"/>
    <n v="2"/>
    <s v="Divorced"/>
    <n v="2328"/>
    <n v="12392"/>
    <n v="1"/>
    <s v="Y"/>
    <x v="0"/>
    <n v="16"/>
    <n v="3"/>
    <n v="1"/>
    <n v="80"/>
    <n v="1"/>
    <n v="4"/>
    <n v="2"/>
    <n v="2"/>
    <n v="4"/>
    <x v="2"/>
    <n v="2"/>
    <n v="2"/>
    <n v="2"/>
    <x v="1"/>
    <n v="0"/>
  </r>
  <r>
    <n v="36"/>
    <x v="1"/>
    <x v="1"/>
    <x v="1"/>
    <n v="635"/>
    <x v="1"/>
    <n v="18"/>
    <n v="1"/>
    <s v="Medical"/>
    <n v="1"/>
    <n v="286"/>
    <n v="2"/>
    <x v="0"/>
    <n v="73"/>
    <n v="3"/>
    <n v="1"/>
    <x v="2"/>
    <n v="4"/>
    <s v="Single"/>
    <n v="2153"/>
    <n v="7703"/>
    <n v="1"/>
    <s v="Y"/>
    <x v="1"/>
    <n v="13"/>
    <n v="3"/>
    <n v="1"/>
    <n v="80"/>
    <n v="0"/>
    <n v="8"/>
    <n v="2"/>
    <n v="3"/>
    <n v="8"/>
    <x v="0"/>
    <n v="1"/>
    <n v="1"/>
    <n v="7"/>
    <x v="0"/>
    <n v="0"/>
  </r>
  <r>
    <n v="40"/>
    <x v="1"/>
    <x v="1"/>
    <x v="2"/>
    <n v="1151"/>
    <x v="1"/>
    <n v="9"/>
    <n v="5"/>
    <s v="Life Sciences"/>
    <n v="1"/>
    <n v="287"/>
    <n v="4"/>
    <x v="1"/>
    <n v="63"/>
    <n v="2"/>
    <n v="2"/>
    <x v="4"/>
    <n v="4"/>
    <s v="Married"/>
    <n v="4876"/>
    <n v="14242"/>
    <n v="9"/>
    <s v="Y"/>
    <x v="1"/>
    <n v="14"/>
    <n v="3"/>
    <n v="4"/>
    <n v="80"/>
    <n v="1"/>
    <n v="5"/>
    <n v="5"/>
    <n v="1"/>
    <n v="3"/>
    <x v="2"/>
    <n v="2"/>
    <n v="0"/>
    <n v="2"/>
    <x v="0"/>
    <n v="0"/>
  </r>
  <r>
    <n v="46"/>
    <x v="0"/>
    <x v="1"/>
    <x v="0"/>
    <n v="644"/>
    <x v="1"/>
    <n v="1"/>
    <n v="4"/>
    <s v="Medical"/>
    <n v="1"/>
    <n v="288"/>
    <n v="4"/>
    <x v="1"/>
    <n v="97"/>
    <n v="3"/>
    <n v="3"/>
    <x v="4"/>
    <n v="1"/>
    <s v="Divorced"/>
    <n v="9396"/>
    <n v="12368"/>
    <n v="7"/>
    <s v="Y"/>
    <x v="1"/>
    <n v="16"/>
    <n v="3"/>
    <n v="3"/>
    <n v="80"/>
    <n v="1"/>
    <n v="17"/>
    <n v="3"/>
    <n v="3"/>
    <n v="4"/>
    <x v="2"/>
    <n v="2"/>
    <n v="0"/>
    <n v="3"/>
    <x v="3"/>
    <n v="0"/>
  </r>
  <r>
    <n v="32"/>
    <x v="1"/>
    <x v="0"/>
    <x v="0"/>
    <n v="1045"/>
    <x v="0"/>
    <n v="4"/>
    <n v="4"/>
    <s v="Medical"/>
    <n v="1"/>
    <n v="291"/>
    <n v="4"/>
    <x v="1"/>
    <n v="32"/>
    <n v="1"/>
    <n v="3"/>
    <x v="0"/>
    <n v="4"/>
    <s v="Married"/>
    <n v="10400"/>
    <n v="25812"/>
    <n v="1"/>
    <s v="Y"/>
    <x v="1"/>
    <n v="11"/>
    <n v="3"/>
    <n v="3"/>
    <n v="80"/>
    <n v="0"/>
    <n v="14"/>
    <n v="2"/>
    <n v="2"/>
    <n v="14"/>
    <x v="3"/>
    <n v="8"/>
    <n v="9"/>
    <n v="8"/>
    <x v="0"/>
    <n v="1"/>
  </r>
  <r>
    <n v="30"/>
    <x v="1"/>
    <x v="1"/>
    <x v="2"/>
    <n v="829"/>
    <x v="1"/>
    <n v="1"/>
    <n v="1"/>
    <s v="Life Sciences"/>
    <n v="1"/>
    <n v="292"/>
    <n v="3"/>
    <x v="1"/>
    <n v="88"/>
    <n v="2"/>
    <n v="3"/>
    <x v="3"/>
    <n v="3"/>
    <s v="Single"/>
    <n v="8474"/>
    <n v="20925"/>
    <n v="1"/>
    <s v="Y"/>
    <x v="1"/>
    <n v="22"/>
    <n v="4"/>
    <n v="3"/>
    <n v="80"/>
    <n v="0"/>
    <n v="12"/>
    <n v="2"/>
    <n v="3"/>
    <n v="11"/>
    <x v="3"/>
    <n v="8"/>
    <n v="5"/>
    <n v="8"/>
    <x v="2"/>
    <n v="0"/>
  </r>
  <r>
    <n v="27"/>
    <x v="2"/>
    <x v="1"/>
    <x v="1"/>
    <n v="1242"/>
    <x v="0"/>
    <n v="20"/>
    <n v="3"/>
    <s v="Life Sciences"/>
    <n v="1"/>
    <n v="293"/>
    <n v="4"/>
    <x v="0"/>
    <n v="90"/>
    <n v="3"/>
    <n v="2"/>
    <x v="0"/>
    <n v="3"/>
    <s v="Single"/>
    <n v="9981"/>
    <n v="12916"/>
    <n v="1"/>
    <s v="Y"/>
    <x v="1"/>
    <n v="14"/>
    <n v="3"/>
    <n v="4"/>
    <n v="80"/>
    <n v="0"/>
    <n v="7"/>
    <n v="2"/>
    <n v="3"/>
    <n v="7"/>
    <x v="0"/>
    <n v="7"/>
    <n v="0"/>
    <n v="7"/>
    <x v="2"/>
    <n v="0"/>
  </r>
  <r>
    <n v="51"/>
    <x v="3"/>
    <x v="1"/>
    <x v="0"/>
    <n v="1469"/>
    <x v="1"/>
    <n v="8"/>
    <n v="4"/>
    <s v="Life Sciences"/>
    <n v="1"/>
    <n v="296"/>
    <n v="2"/>
    <x v="1"/>
    <n v="81"/>
    <n v="2"/>
    <n v="3"/>
    <x v="7"/>
    <n v="2"/>
    <s v="Married"/>
    <n v="12490"/>
    <n v="15736"/>
    <n v="5"/>
    <s v="Y"/>
    <x v="1"/>
    <n v="16"/>
    <n v="3"/>
    <n v="4"/>
    <n v="80"/>
    <n v="2"/>
    <n v="16"/>
    <n v="5"/>
    <n v="1"/>
    <n v="10"/>
    <x v="0"/>
    <n v="9"/>
    <n v="4"/>
    <n v="7"/>
    <x v="1"/>
    <n v="0"/>
  </r>
  <r>
    <n v="30"/>
    <x v="1"/>
    <x v="0"/>
    <x v="0"/>
    <n v="1005"/>
    <x v="1"/>
    <n v="3"/>
    <n v="3"/>
    <s v="Technical Degree"/>
    <n v="1"/>
    <n v="297"/>
    <n v="4"/>
    <x v="0"/>
    <n v="88"/>
    <n v="3"/>
    <n v="1"/>
    <x v="1"/>
    <n v="1"/>
    <s v="Single"/>
    <n v="2657"/>
    <n v="8556"/>
    <n v="5"/>
    <s v="Y"/>
    <x v="0"/>
    <n v="11"/>
    <n v="3"/>
    <n v="3"/>
    <n v="80"/>
    <n v="0"/>
    <n v="8"/>
    <n v="5"/>
    <n v="3"/>
    <n v="5"/>
    <x v="2"/>
    <n v="2"/>
    <n v="0"/>
    <n v="4"/>
    <x v="3"/>
    <n v="1"/>
  </r>
  <r>
    <n v="41"/>
    <x v="0"/>
    <x v="1"/>
    <x v="0"/>
    <n v="896"/>
    <x v="0"/>
    <n v="6"/>
    <n v="3"/>
    <s v="Life Sciences"/>
    <n v="1"/>
    <n v="298"/>
    <n v="4"/>
    <x v="0"/>
    <n v="75"/>
    <n v="3"/>
    <n v="3"/>
    <x v="5"/>
    <n v="4"/>
    <s v="Single"/>
    <n v="13591"/>
    <n v="14674"/>
    <n v="3"/>
    <s v="Y"/>
    <x v="0"/>
    <n v="18"/>
    <n v="3"/>
    <n v="3"/>
    <n v="80"/>
    <n v="0"/>
    <n v="16"/>
    <n v="3"/>
    <n v="3"/>
    <n v="1"/>
    <x v="1"/>
    <n v="0"/>
    <n v="0"/>
    <n v="0"/>
    <x v="0"/>
    <n v="0"/>
  </r>
  <r>
    <n v="30"/>
    <x v="1"/>
    <x v="0"/>
    <x v="1"/>
    <n v="334"/>
    <x v="0"/>
    <n v="26"/>
    <n v="4"/>
    <s v="Marketing"/>
    <n v="1"/>
    <n v="299"/>
    <n v="3"/>
    <x v="0"/>
    <n v="52"/>
    <n v="2"/>
    <n v="2"/>
    <x v="0"/>
    <n v="1"/>
    <s v="Single"/>
    <n v="6696"/>
    <n v="22967"/>
    <n v="5"/>
    <s v="Y"/>
    <x v="1"/>
    <n v="15"/>
    <n v="3"/>
    <n v="3"/>
    <n v="80"/>
    <n v="0"/>
    <n v="9"/>
    <n v="5"/>
    <n v="2"/>
    <n v="6"/>
    <x v="0"/>
    <n v="3"/>
    <n v="0"/>
    <n v="1"/>
    <x v="3"/>
    <n v="1"/>
  </r>
  <r>
    <n v="29"/>
    <x v="2"/>
    <x v="0"/>
    <x v="0"/>
    <n v="992"/>
    <x v="1"/>
    <n v="1"/>
    <n v="3"/>
    <s v="Technical Degree"/>
    <n v="1"/>
    <n v="300"/>
    <n v="3"/>
    <x v="1"/>
    <n v="85"/>
    <n v="3"/>
    <n v="1"/>
    <x v="1"/>
    <n v="3"/>
    <s v="Single"/>
    <n v="2058"/>
    <n v="19757"/>
    <n v="0"/>
    <s v="Y"/>
    <x v="1"/>
    <n v="14"/>
    <n v="3"/>
    <n v="4"/>
    <n v="80"/>
    <n v="0"/>
    <n v="7"/>
    <n v="1"/>
    <n v="2"/>
    <n v="6"/>
    <x v="0"/>
    <n v="2"/>
    <n v="1"/>
    <n v="5"/>
    <x v="2"/>
    <n v="1"/>
  </r>
  <r>
    <n v="45"/>
    <x v="0"/>
    <x v="1"/>
    <x v="2"/>
    <n v="1052"/>
    <x v="0"/>
    <n v="6"/>
    <n v="3"/>
    <s v="Medical"/>
    <n v="1"/>
    <n v="302"/>
    <n v="4"/>
    <x v="0"/>
    <n v="57"/>
    <n v="2"/>
    <n v="3"/>
    <x v="0"/>
    <n v="4"/>
    <s v="Single"/>
    <n v="8865"/>
    <n v="16840"/>
    <n v="6"/>
    <s v="Y"/>
    <x v="1"/>
    <n v="12"/>
    <n v="3"/>
    <n v="4"/>
    <n v="80"/>
    <n v="0"/>
    <n v="23"/>
    <n v="2"/>
    <n v="3"/>
    <n v="19"/>
    <x v="3"/>
    <n v="7"/>
    <n v="12"/>
    <n v="8"/>
    <x v="0"/>
    <n v="0"/>
  </r>
  <r>
    <n v="54"/>
    <x v="3"/>
    <x v="1"/>
    <x v="0"/>
    <n v="1147"/>
    <x v="0"/>
    <n v="3"/>
    <n v="3"/>
    <s v="Marketing"/>
    <n v="1"/>
    <n v="303"/>
    <n v="4"/>
    <x v="0"/>
    <n v="52"/>
    <n v="3"/>
    <n v="2"/>
    <x v="0"/>
    <n v="1"/>
    <s v="Married"/>
    <n v="5940"/>
    <n v="17011"/>
    <n v="2"/>
    <s v="Y"/>
    <x v="1"/>
    <n v="14"/>
    <n v="3"/>
    <n v="4"/>
    <n v="80"/>
    <n v="1"/>
    <n v="16"/>
    <n v="4"/>
    <n v="3"/>
    <n v="6"/>
    <x v="0"/>
    <n v="2"/>
    <n v="0"/>
    <n v="5"/>
    <x v="3"/>
    <n v="0"/>
  </r>
  <r>
    <n v="36"/>
    <x v="1"/>
    <x v="1"/>
    <x v="0"/>
    <n v="1396"/>
    <x v="1"/>
    <n v="5"/>
    <n v="2"/>
    <s v="Life Sciences"/>
    <n v="1"/>
    <n v="304"/>
    <n v="4"/>
    <x v="1"/>
    <n v="62"/>
    <n v="3"/>
    <n v="2"/>
    <x v="2"/>
    <n v="2"/>
    <s v="Single"/>
    <n v="5914"/>
    <n v="9945"/>
    <n v="8"/>
    <s v="Y"/>
    <x v="1"/>
    <n v="16"/>
    <n v="3"/>
    <n v="4"/>
    <n v="80"/>
    <n v="0"/>
    <n v="16"/>
    <n v="3"/>
    <n v="4"/>
    <n v="13"/>
    <x v="3"/>
    <n v="11"/>
    <n v="3"/>
    <n v="7"/>
    <x v="1"/>
    <n v="0"/>
  </r>
  <r>
    <n v="33"/>
    <x v="1"/>
    <x v="1"/>
    <x v="0"/>
    <n v="147"/>
    <x v="1"/>
    <n v="4"/>
    <n v="4"/>
    <s v="Medical"/>
    <n v="1"/>
    <n v="305"/>
    <n v="3"/>
    <x v="0"/>
    <n v="47"/>
    <n v="2"/>
    <n v="1"/>
    <x v="1"/>
    <n v="2"/>
    <s v="Married"/>
    <n v="2622"/>
    <n v="13248"/>
    <n v="6"/>
    <s v="Y"/>
    <x v="1"/>
    <n v="21"/>
    <n v="4"/>
    <n v="4"/>
    <n v="80"/>
    <n v="0"/>
    <n v="7"/>
    <n v="3"/>
    <n v="3"/>
    <n v="3"/>
    <x v="2"/>
    <n v="2"/>
    <n v="1"/>
    <n v="1"/>
    <x v="1"/>
    <n v="0"/>
  </r>
  <r>
    <n v="37"/>
    <x v="1"/>
    <x v="1"/>
    <x v="1"/>
    <n v="663"/>
    <x v="1"/>
    <n v="11"/>
    <n v="3"/>
    <s v="Other"/>
    <n v="1"/>
    <n v="306"/>
    <n v="2"/>
    <x v="1"/>
    <n v="47"/>
    <n v="3"/>
    <n v="3"/>
    <x v="7"/>
    <n v="4"/>
    <s v="Divorced"/>
    <n v="12185"/>
    <n v="10056"/>
    <n v="1"/>
    <s v="Y"/>
    <x v="0"/>
    <n v="14"/>
    <n v="3"/>
    <n v="3"/>
    <n v="80"/>
    <n v="3"/>
    <n v="10"/>
    <n v="1"/>
    <n v="3"/>
    <n v="10"/>
    <x v="0"/>
    <n v="8"/>
    <n v="0"/>
    <n v="7"/>
    <x v="0"/>
    <n v="0"/>
  </r>
  <r>
    <n v="38"/>
    <x v="1"/>
    <x v="1"/>
    <x v="0"/>
    <n v="119"/>
    <x v="0"/>
    <n v="3"/>
    <n v="3"/>
    <s v="Life Sciences"/>
    <n v="1"/>
    <n v="307"/>
    <n v="1"/>
    <x v="1"/>
    <n v="76"/>
    <n v="3"/>
    <n v="3"/>
    <x v="0"/>
    <n v="3"/>
    <s v="Divorced"/>
    <n v="10609"/>
    <n v="9647"/>
    <n v="0"/>
    <s v="Y"/>
    <x v="1"/>
    <n v="12"/>
    <n v="3"/>
    <n v="3"/>
    <n v="80"/>
    <n v="2"/>
    <n v="17"/>
    <n v="6"/>
    <n v="2"/>
    <n v="16"/>
    <x v="3"/>
    <n v="10"/>
    <n v="5"/>
    <n v="13"/>
    <x v="2"/>
    <n v="0"/>
  </r>
  <r>
    <n v="31"/>
    <x v="1"/>
    <x v="1"/>
    <x v="2"/>
    <n v="979"/>
    <x v="1"/>
    <n v="1"/>
    <n v="4"/>
    <s v="Medical"/>
    <n v="1"/>
    <n v="308"/>
    <n v="3"/>
    <x v="1"/>
    <n v="90"/>
    <n v="1"/>
    <n v="2"/>
    <x v="3"/>
    <n v="3"/>
    <s v="Married"/>
    <n v="4345"/>
    <n v="4381"/>
    <n v="0"/>
    <s v="Y"/>
    <x v="1"/>
    <n v="12"/>
    <n v="3"/>
    <n v="4"/>
    <n v="80"/>
    <n v="1"/>
    <n v="6"/>
    <n v="2"/>
    <n v="3"/>
    <n v="5"/>
    <x v="2"/>
    <n v="4"/>
    <n v="1"/>
    <n v="4"/>
    <x v="2"/>
    <n v="0"/>
  </r>
  <r>
    <n v="59"/>
    <x v="3"/>
    <x v="1"/>
    <x v="0"/>
    <n v="142"/>
    <x v="1"/>
    <n v="3"/>
    <n v="3"/>
    <s v="Life Sciences"/>
    <n v="1"/>
    <n v="309"/>
    <n v="3"/>
    <x v="1"/>
    <n v="70"/>
    <n v="2"/>
    <n v="1"/>
    <x v="1"/>
    <n v="4"/>
    <s v="Married"/>
    <n v="2177"/>
    <n v="8456"/>
    <n v="3"/>
    <s v="Y"/>
    <x v="1"/>
    <n v="17"/>
    <n v="3"/>
    <n v="1"/>
    <n v="80"/>
    <n v="1"/>
    <n v="7"/>
    <n v="6"/>
    <n v="3"/>
    <n v="1"/>
    <x v="1"/>
    <n v="0"/>
    <n v="0"/>
    <n v="0"/>
    <x v="0"/>
    <n v="0"/>
  </r>
  <r>
    <n v="37"/>
    <x v="1"/>
    <x v="1"/>
    <x v="1"/>
    <n v="319"/>
    <x v="0"/>
    <n v="4"/>
    <n v="4"/>
    <s v="Marketing"/>
    <n v="1"/>
    <n v="311"/>
    <n v="1"/>
    <x v="1"/>
    <n v="41"/>
    <n v="3"/>
    <n v="1"/>
    <x v="6"/>
    <n v="4"/>
    <s v="Divorced"/>
    <n v="2793"/>
    <n v="2539"/>
    <n v="4"/>
    <s v="Y"/>
    <x v="1"/>
    <n v="17"/>
    <n v="3"/>
    <n v="3"/>
    <n v="80"/>
    <n v="1"/>
    <n v="13"/>
    <n v="2"/>
    <n v="3"/>
    <n v="9"/>
    <x v="0"/>
    <n v="8"/>
    <n v="5"/>
    <n v="8"/>
    <x v="0"/>
    <n v="0"/>
  </r>
  <r>
    <n v="29"/>
    <x v="2"/>
    <x v="1"/>
    <x v="1"/>
    <n v="1413"/>
    <x v="0"/>
    <n v="1"/>
    <n v="1"/>
    <s v="Medical"/>
    <n v="1"/>
    <n v="312"/>
    <n v="2"/>
    <x v="0"/>
    <n v="42"/>
    <n v="3"/>
    <n v="3"/>
    <x v="0"/>
    <n v="4"/>
    <s v="Married"/>
    <n v="7918"/>
    <n v="6599"/>
    <n v="1"/>
    <s v="Y"/>
    <x v="1"/>
    <n v="14"/>
    <n v="3"/>
    <n v="4"/>
    <n v="80"/>
    <n v="1"/>
    <n v="11"/>
    <n v="5"/>
    <n v="3"/>
    <n v="11"/>
    <x v="3"/>
    <n v="10"/>
    <n v="4"/>
    <n v="1"/>
    <x v="0"/>
    <n v="0"/>
  </r>
  <r>
    <n v="35"/>
    <x v="1"/>
    <x v="1"/>
    <x v="1"/>
    <n v="944"/>
    <x v="0"/>
    <n v="1"/>
    <n v="3"/>
    <s v="Marketing"/>
    <n v="1"/>
    <n v="314"/>
    <n v="3"/>
    <x v="0"/>
    <n v="92"/>
    <n v="3"/>
    <n v="3"/>
    <x v="0"/>
    <n v="3"/>
    <s v="Single"/>
    <n v="8789"/>
    <n v="9096"/>
    <n v="1"/>
    <s v="Y"/>
    <x v="1"/>
    <n v="14"/>
    <n v="3"/>
    <n v="1"/>
    <n v="80"/>
    <n v="0"/>
    <n v="10"/>
    <n v="3"/>
    <n v="4"/>
    <n v="10"/>
    <x v="0"/>
    <n v="7"/>
    <n v="0"/>
    <n v="8"/>
    <x v="2"/>
    <n v="0"/>
  </r>
  <r>
    <n v="29"/>
    <x v="2"/>
    <x v="0"/>
    <x v="0"/>
    <n v="896"/>
    <x v="1"/>
    <n v="18"/>
    <n v="1"/>
    <s v="Medical"/>
    <n v="1"/>
    <n v="315"/>
    <n v="3"/>
    <x v="1"/>
    <n v="86"/>
    <n v="2"/>
    <n v="1"/>
    <x v="1"/>
    <n v="4"/>
    <s v="Single"/>
    <n v="2389"/>
    <n v="14961"/>
    <n v="1"/>
    <s v="Y"/>
    <x v="0"/>
    <n v="13"/>
    <n v="3"/>
    <n v="3"/>
    <n v="80"/>
    <n v="0"/>
    <n v="4"/>
    <n v="3"/>
    <n v="2"/>
    <n v="4"/>
    <x v="2"/>
    <n v="3"/>
    <n v="0"/>
    <n v="1"/>
    <x v="0"/>
    <n v="1"/>
  </r>
  <r>
    <n v="52"/>
    <x v="3"/>
    <x v="1"/>
    <x v="0"/>
    <n v="1323"/>
    <x v="1"/>
    <n v="2"/>
    <n v="3"/>
    <s v="Life Sciences"/>
    <n v="1"/>
    <n v="316"/>
    <n v="3"/>
    <x v="0"/>
    <n v="89"/>
    <n v="2"/>
    <n v="1"/>
    <x v="2"/>
    <n v="4"/>
    <s v="Single"/>
    <n v="3212"/>
    <n v="3300"/>
    <n v="7"/>
    <s v="Y"/>
    <x v="1"/>
    <n v="15"/>
    <n v="3"/>
    <n v="2"/>
    <n v="80"/>
    <n v="0"/>
    <n v="6"/>
    <n v="3"/>
    <n v="2"/>
    <n v="2"/>
    <x v="1"/>
    <n v="2"/>
    <n v="2"/>
    <n v="2"/>
    <x v="0"/>
    <n v="0"/>
  </r>
  <r>
    <n v="42"/>
    <x v="0"/>
    <x v="1"/>
    <x v="0"/>
    <n v="532"/>
    <x v="1"/>
    <n v="4"/>
    <n v="2"/>
    <s v="Technical Degree"/>
    <n v="1"/>
    <n v="319"/>
    <n v="3"/>
    <x v="1"/>
    <n v="58"/>
    <n v="3"/>
    <n v="5"/>
    <x v="5"/>
    <n v="4"/>
    <s v="Married"/>
    <n v="19232"/>
    <n v="4933"/>
    <n v="1"/>
    <s v="Y"/>
    <x v="1"/>
    <n v="11"/>
    <n v="3"/>
    <n v="4"/>
    <n v="80"/>
    <n v="0"/>
    <n v="22"/>
    <n v="3"/>
    <n v="3"/>
    <n v="22"/>
    <x v="3"/>
    <n v="17"/>
    <n v="11"/>
    <n v="15"/>
    <x v="0"/>
    <n v="0"/>
  </r>
  <r>
    <n v="59"/>
    <x v="3"/>
    <x v="1"/>
    <x v="0"/>
    <n v="818"/>
    <x v="2"/>
    <n v="6"/>
    <n v="2"/>
    <s v="Medical"/>
    <n v="1"/>
    <n v="321"/>
    <n v="2"/>
    <x v="1"/>
    <n v="52"/>
    <n v="3"/>
    <n v="1"/>
    <x v="8"/>
    <n v="3"/>
    <s v="Married"/>
    <n v="2267"/>
    <n v="25657"/>
    <n v="8"/>
    <s v="Y"/>
    <x v="1"/>
    <n v="17"/>
    <n v="3"/>
    <n v="4"/>
    <n v="80"/>
    <n v="0"/>
    <n v="7"/>
    <n v="2"/>
    <n v="2"/>
    <n v="2"/>
    <x v="1"/>
    <n v="2"/>
    <n v="2"/>
    <n v="2"/>
    <x v="2"/>
    <n v="0"/>
  </r>
  <r>
    <n v="50"/>
    <x v="0"/>
    <x v="1"/>
    <x v="0"/>
    <n v="854"/>
    <x v="0"/>
    <n v="1"/>
    <n v="4"/>
    <s v="Medical"/>
    <n v="1"/>
    <n v="323"/>
    <n v="4"/>
    <x v="0"/>
    <n v="68"/>
    <n v="3"/>
    <n v="5"/>
    <x v="5"/>
    <n v="4"/>
    <s v="Divorced"/>
    <n v="19517"/>
    <n v="24118"/>
    <n v="3"/>
    <s v="Y"/>
    <x v="1"/>
    <n v="11"/>
    <n v="3"/>
    <n v="3"/>
    <n v="80"/>
    <n v="1"/>
    <n v="32"/>
    <n v="3"/>
    <n v="2"/>
    <n v="7"/>
    <x v="0"/>
    <n v="0"/>
    <n v="0"/>
    <n v="6"/>
    <x v="0"/>
    <n v="0"/>
  </r>
  <r>
    <n v="33"/>
    <x v="1"/>
    <x v="0"/>
    <x v="0"/>
    <n v="813"/>
    <x v="1"/>
    <n v="14"/>
    <n v="3"/>
    <s v="Medical"/>
    <n v="1"/>
    <n v="325"/>
    <n v="3"/>
    <x v="1"/>
    <n v="58"/>
    <n v="3"/>
    <n v="1"/>
    <x v="2"/>
    <n v="4"/>
    <s v="Married"/>
    <n v="2436"/>
    <n v="22149"/>
    <n v="5"/>
    <s v="Y"/>
    <x v="0"/>
    <n v="13"/>
    <n v="3"/>
    <n v="3"/>
    <n v="80"/>
    <n v="1"/>
    <n v="8"/>
    <n v="2"/>
    <n v="1"/>
    <n v="5"/>
    <x v="2"/>
    <n v="4"/>
    <n v="0"/>
    <n v="4"/>
    <x v="0"/>
    <n v="1"/>
  </r>
  <r>
    <n v="43"/>
    <x v="0"/>
    <x v="1"/>
    <x v="0"/>
    <n v="1034"/>
    <x v="0"/>
    <n v="16"/>
    <n v="3"/>
    <s v="Marketing"/>
    <n v="1"/>
    <n v="327"/>
    <n v="4"/>
    <x v="0"/>
    <n v="80"/>
    <n v="3"/>
    <n v="4"/>
    <x v="5"/>
    <n v="4"/>
    <s v="Married"/>
    <n v="16064"/>
    <n v="7744"/>
    <n v="5"/>
    <s v="Y"/>
    <x v="0"/>
    <n v="22"/>
    <n v="4"/>
    <n v="3"/>
    <n v="80"/>
    <n v="1"/>
    <n v="22"/>
    <n v="3"/>
    <n v="3"/>
    <n v="17"/>
    <x v="3"/>
    <n v="13"/>
    <n v="1"/>
    <n v="9"/>
    <x v="0"/>
    <n v="0"/>
  </r>
  <r>
    <n v="33"/>
    <x v="1"/>
    <x v="0"/>
    <x v="0"/>
    <n v="465"/>
    <x v="1"/>
    <n v="2"/>
    <n v="2"/>
    <s v="Life Sciences"/>
    <n v="1"/>
    <n v="328"/>
    <n v="1"/>
    <x v="0"/>
    <n v="39"/>
    <n v="3"/>
    <n v="1"/>
    <x v="2"/>
    <n v="1"/>
    <s v="Married"/>
    <n v="2707"/>
    <n v="21509"/>
    <n v="7"/>
    <s v="Y"/>
    <x v="1"/>
    <n v="20"/>
    <n v="4"/>
    <n v="1"/>
    <n v="80"/>
    <n v="0"/>
    <n v="13"/>
    <n v="3"/>
    <n v="4"/>
    <n v="9"/>
    <x v="0"/>
    <n v="7"/>
    <n v="1"/>
    <n v="7"/>
    <x v="3"/>
    <n v="1"/>
  </r>
  <r>
    <n v="52"/>
    <x v="3"/>
    <x v="1"/>
    <x v="2"/>
    <n v="771"/>
    <x v="0"/>
    <n v="2"/>
    <n v="4"/>
    <s v="Life Sciences"/>
    <n v="1"/>
    <n v="329"/>
    <n v="1"/>
    <x v="1"/>
    <n v="79"/>
    <n v="2"/>
    <n v="5"/>
    <x v="5"/>
    <n v="3"/>
    <s v="Single"/>
    <n v="19068"/>
    <n v="21030"/>
    <n v="1"/>
    <s v="Y"/>
    <x v="0"/>
    <n v="18"/>
    <n v="3"/>
    <n v="4"/>
    <n v="80"/>
    <n v="0"/>
    <n v="33"/>
    <n v="2"/>
    <n v="4"/>
    <n v="33"/>
    <x v="3"/>
    <n v="7"/>
    <n v="15"/>
    <n v="12"/>
    <x v="2"/>
    <n v="0"/>
  </r>
  <r>
    <n v="32"/>
    <x v="1"/>
    <x v="1"/>
    <x v="0"/>
    <n v="1401"/>
    <x v="0"/>
    <n v="4"/>
    <n v="2"/>
    <s v="Life Sciences"/>
    <n v="1"/>
    <n v="330"/>
    <n v="3"/>
    <x v="0"/>
    <n v="56"/>
    <n v="3"/>
    <n v="1"/>
    <x v="6"/>
    <n v="2"/>
    <s v="Married"/>
    <n v="3931"/>
    <n v="20990"/>
    <n v="2"/>
    <s v="Y"/>
    <x v="1"/>
    <n v="11"/>
    <n v="3"/>
    <n v="1"/>
    <n v="80"/>
    <n v="1"/>
    <n v="6"/>
    <n v="5"/>
    <n v="3"/>
    <n v="4"/>
    <x v="2"/>
    <n v="3"/>
    <n v="1"/>
    <n v="2"/>
    <x v="1"/>
    <n v="0"/>
  </r>
  <r>
    <n v="32"/>
    <x v="1"/>
    <x v="0"/>
    <x v="0"/>
    <n v="515"/>
    <x v="1"/>
    <n v="1"/>
    <n v="3"/>
    <s v="Life Sciences"/>
    <n v="1"/>
    <n v="331"/>
    <n v="4"/>
    <x v="1"/>
    <n v="62"/>
    <n v="2"/>
    <n v="1"/>
    <x v="2"/>
    <n v="3"/>
    <s v="Single"/>
    <n v="3730"/>
    <n v="9571"/>
    <n v="0"/>
    <s v="Y"/>
    <x v="0"/>
    <n v="14"/>
    <n v="3"/>
    <n v="4"/>
    <n v="80"/>
    <n v="0"/>
    <n v="4"/>
    <n v="2"/>
    <n v="1"/>
    <n v="3"/>
    <x v="2"/>
    <n v="2"/>
    <n v="1"/>
    <n v="2"/>
    <x v="2"/>
    <n v="1"/>
  </r>
  <r>
    <n v="39"/>
    <x v="1"/>
    <x v="1"/>
    <x v="0"/>
    <n v="1431"/>
    <x v="1"/>
    <n v="1"/>
    <n v="4"/>
    <s v="Medical"/>
    <n v="1"/>
    <n v="332"/>
    <n v="3"/>
    <x v="0"/>
    <n v="96"/>
    <n v="3"/>
    <n v="1"/>
    <x v="2"/>
    <n v="3"/>
    <s v="Divorced"/>
    <n v="2232"/>
    <n v="15417"/>
    <n v="7"/>
    <s v="Y"/>
    <x v="1"/>
    <n v="14"/>
    <n v="3"/>
    <n v="3"/>
    <n v="80"/>
    <n v="3"/>
    <n v="7"/>
    <n v="1"/>
    <n v="3"/>
    <n v="3"/>
    <x v="2"/>
    <n v="2"/>
    <n v="1"/>
    <n v="2"/>
    <x v="2"/>
    <n v="0"/>
  </r>
  <r>
    <n v="32"/>
    <x v="1"/>
    <x v="1"/>
    <x v="2"/>
    <n v="976"/>
    <x v="0"/>
    <n v="26"/>
    <n v="4"/>
    <s v="Marketing"/>
    <n v="1"/>
    <n v="333"/>
    <n v="3"/>
    <x v="1"/>
    <n v="100"/>
    <n v="3"/>
    <n v="2"/>
    <x v="0"/>
    <n v="4"/>
    <s v="Married"/>
    <n v="4465"/>
    <n v="12069"/>
    <n v="0"/>
    <s v="Y"/>
    <x v="1"/>
    <n v="18"/>
    <n v="3"/>
    <n v="1"/>
    <n v="80"/>
    <n v="0"/>
    <n v="4"/>
    <n v="2"/>
    <n v="3"/>
    <n v="3"/>
    <x v="2"/>
    <n v="2"/>
    <n v="2"/>
    <n v="2"/>
    <x v="0"/>
    <n v="0"/>
  </r>
  <r>
    <n v="41"/>
    <x v="0"/>
    <x v="1"/>
    <x v="0"/>
    <n v="1411"/>
    <x v="1"/>
    <n v="19"/>
    <n v="2"/>
    <s v="Life Sciences"/>
    <n v="1"/>
    <n v="334"/>
    <n v="3"/>
    <x v="1"/>
    <n v="36"/>
    <n v="3"/>
    <n v="2"/>
    <x v="1"/>
    <n v="1"/>
    <s v="Divorced"/>
    <n v="3072"/>
    <n v="19877"/>
    <n v="2"/>
    <s v="Y"/>
    <x v="1"/>
    <n v="16"/>
    <n v="3"/>
    <n v="1"/>
    <n v="80"/>
    <n v="2"/>
    <n v="17"/>
    <n v="2"/>
    <n v="2"/>
    <n v="1"/>
    <x v="1"/>
    <n v="0"/>
    <n v="0"/>
    <n v="0"/>
    <x v="3"/>
    <n v="0"/>
  </r>
  <r>
    <n v="40"/>
    <x v="1"/>
    <x v="1"/>
    <x v="0"/>
    <n v="1300"/>
    <x v="1"/>
    <n v="24"/>
    <n v="2"/>
    <s v="Technical Degree"/>
    <n v="1"/>
    <n v="335"/>
    <n v="1"/>
    <x v="1"/>
    <n v="62"/>
    <n v="3"/>
    <n v="2"/>
    <x v="1"/>
    <n v="4"/>
    <s v="Divorced"/>
    <n v="3319"/>
    <n v="24447"/>
    <n v="1"/>
    <s v="Y"/>
    <x v="1"/>
    <n v="17"/>
    <n v="3"/>
    <n v="1"/>
    <n v="80"/>
    <n v="2"/>
    <n v="9"/>
    <n v="3"/>
    <n v="3"/>
    <n v="9"/>
    <x v="0"/>
    <n v="8"/>
    <n v="4"/>
    <n v="7"/>
    <x v="0"/>
    <n v="0"/>
  </r>
  <r>
    <n v="45"/>
    <x v="0"/>
    <x v="1"/>
    <x v="0"/>
    <n v="252"/>
    <x v="1"/>
    <n v="1"/>
    <n v="3"/>
    <s v="Other"/>
    <n v="1"/>
    <n v="336"/>
    <n v="3"/>
    <x v="1"/>
    <n v="70"/>
    <n v="4"/>
    <n v="5"/>
    <x v="5"/>
    <n v="4"/>
    <s v="Married"/>
    <n v="19202"/>
    <n v="15970"/>
    <n v="0"/>
    <s v="Y"/>
    <x v="1"/>
    <n v="11"/>
    <n v="3"/>
    <n v="3"/>
    <n v="80"/>
    <n v="1"/>
    <n v="25"/>
    <n v="2"/>
    <n v="3"/>
    <n v="24"/>
    <x v="3"/>
    <n v="0"/>
    <n v="1"/>
    <n v="7"/>
    <x v="0"/>
    <n v="0"/>
  </r>
  <r>
    <n v="31"/>
    <x v="1"/>
    <x v="1"/>
    <x v="1"/>
    <n v="1327"/>
    <x v="1"/>
    <n v="3"/>
    <n v="4"/>
    <s v="Medical"/>
    <n v="1"/>
    <n v="337"/>
    <n v="2"/>
    <x v="1"/>
    <n v="73"/>
    <n v="3"/>
    <n v="3"/>
    <x v="7"/>
    <n v="3"/>
    <s v="Divorced"/>
    <n v="13675"/>
    <n v="13523"/>
    <n v="9"/>
    <s v="Y"/>
    <x v="1"/>
    <n v="12"/>
    <n v="3"/>
    <n v="1"/>
    <n v="80"/>
    <n v="1"/>
    <n v="9"/>
    <n v="3"/>
    <n v="3"/>
    <n v="2"/>
    <x v="1"/>
    <n v="2"/>
    <n v="2"/>
    <n v="2"/>
    <x v="2"/>
    <n v="0"/>
  </r>
  <r>
    <n v="33"/>
    <x v="1"/>
    <x v="1"/>
    <x v="0"/>
    <n v="832"/>
    <x v="1"/>
    <n v="5"/>
    <n v="4"/>
    <s v="Life Sciences"/>
    <n v="1"/>
    <n v="338"/>
    <n v="3"/>
    <x v="0"/>
    <n v="63"/>
    <n v="2"/>
    <n v="1"/>
    <x v="1"/>
    <n v="4"/>
    <s v="Married"/>
    <n v="2911"/>
    <n v="14776"/>
    <n v="1"/>
    <s v="Y"/>
    <x v="1"/>
    <n v="13"/>
    <n v="3"/>
    <n v="3"/>
    <n v="80"/>
    <n v="1"/>
    <n v="2"/>
    <n v="2"/>
    <n v="2"/>
    <n v="2"/>
    <x v="1"/>
    <n v="2"/>
    <n v="0"/>
    <n v="2"/>
    <x v="0"/>
    <n v="0"/>
  </r>
  <r>
    <n v="34"/>
    <x v="1"/>
    <x v="1"/>
    <x v="0"/>
    <n v="470"/>
    <x v="1"/>
    <n v="2"/>
    <n v="4"/>
    <s v="Life Sciences"/>
    <n v="1"/>
    <n v="339"/>
    <n v="4"/>
    <x v="1"/>
    <n v="84"/>
    <n v="2"/>
    <n v="2"/>
    <x v="3"/>
    <n v="1"/>
    <s v="Married"/>
    <n v="5957"/>
    <n v="23687"/>
    <n v="6"/>
    <s v="Y"/>
    <x v="1"/>
    <n v="13"/>
    <n v="3"/>
    <n v="2"/>
    <n v="80"/>
    <n v="1"/>
    <n v="13"/>
    <n v="3"/>
    <n v="3"/>
    <n v="11"/>
    <x v="3"/>
    <n v="9"/>
    <n v="5"/>
    <n v="9"/>
    <x v="3"/>
    <n v="0"/>
  </r>
  <r>
    <n v="37"/>
    <x v="1"/>
    <x v="1"/>
    <x v="0"/>
    <n v="1017"/>
    <x v="1"/>
    <n v="1"/>
    <n v="2"/>
    <s v="Medical"/>
    <n v="1"/>
    <n v="340"/>
    <n v="3"/>
    <x v="0"/>
    <n v="83"/>
    <n v="2"/>
    <n v="1"/>
    <x v="1"/>
    <n v="1"/>
    <s v="Married"/>
    <n v="3920"/>
    <n v="18697"/>
    <n v="2"/>
    <s v="Y"/>
    <x v="1"/>
    <n v="14"/>
    <n v="3"/>
    <n v="1"/>
    <n v="80"/>
    <n v="1"/>
    <n v="17"/>
    <n v="2"/>
    <n v="2"/>
    <n v="3"/>
    <x v="2"/>
    <n v="1"/>
    <n v="0"/>
    <n v="2"/>
    <x v="3"/>
    <n v="0"/>
  </r>
  <r>
    <n v="45"/>
    <x v="0"/>
    <x v="1"/>
    <x v="1"/>
    <n v="1199"/>
    <x v="1"/>
    <n v="7"/>
    <n v="4"/>
    <s v="Life Sciences"/>
    <n v="1"/>
    <n v="341"/>
    <n v="1"/>
    <x v="1"/>
    <n v="77"/>
    <n v="4"/>
    <n v="2"/>
    <x v="3"/>
    <n v="3"/>
    <s v="Married"/>
    <n v="6434"/>
    <n v="5118"/>
    <n v="4"/>
    <s v="Y"/>
    <x v="1"/>
    <n v="17"/>
    <n v="3"/>
    <n v="4"/>
    <n v="80"/>
    <n v="1"/>
    <n v="9"/>
    <n v="1"/>
    <n v="3"/>
    <n v="3"/>
    <x v="2"/>
    <n v="2"/>
    <n v="0"/>
    <n v="2"/>
    <x v="2"/>
    <n v="0"/>
  </r>
  <r>
    <n v="37"/>
    <x v="1"/>
    <x v="0"/>
    <x v="1"/>
    <n v="504"/>
    <x v="1"/>
    <n v="10"/>
    <n v="3"/>
    <s v="Medical"/>
    <n v="1"/>
    <n v="342"/>
    <n v="1"/>
    <x v="1"/>
    <n v="61"/>
    <n v="3"/>
    <n v="3"/>
    <x v="3"/>
    <n v="3"/>
    <s v="Divorced"/>
    <n v="10048"/>
    <n v="22573"/>
    <n v="6"/>
    <s v="Y"/>
    <x v="1"/>
    <n v="11"/>
    <n v="3"/>
    <n v="2"/>
    <n v="80"/>
    <n v="2"/>
    <n v="17"/>
    <n v="5"/>
    <n v="3"/>
    <n v="1"/>
    <x v="1"/>
    <n v="0"/>
    <n v="0"/>
    <n v="0"/>
    <x v="2"/>
    <n v="1"/>
  </r>
  <r>
    <n v="39"/>
    <x v="1"/>
    <x v="1"/>
    <x v="1"/>
    <n v="505"/>
    <x v="1"/>
    <n v="2"/>
    <n v="4"/>
    <s v="Technical Degree"/>
    <n v="1"/>
    <n v="343"/>
    <n v="3"/>
    <x v="0"/>
    <n v="64"/>
    <n v="3"/>
    <n v="3"/>
    <x v="4"/>
    <n v="3"/>
    <s v="Single"/>
    <n v="10938"/>
    <n v="6420"/>
    <n v="0"/>
    <s v="Y"/>
    <x v="1"/>
    <n v="25"/>
    <n v="4"/>
    <n v="4"/>
    <n v="80"/>
    <n v="0"/>
    <n v="20"/>
    <n v="1"/>
    <n v="3"/>
    <n v="19"/>
    <x v="3"/>
    <n v="6"/>
    <n v="11"/>
    <n v="8"/>
    <x v="2"/>
    <n v="0"/>
  </r>
  <r>
    <n v="29"/>
    <x v="2"/>
    <x v="1"/>
    <x v="0"/>
    <n v="665"/>
    <x v="1"/>
    <n v="15"/>
    <n v="3"/>
    <s v="Life Sciences"/>
    <n v="1"/>
    <n v="346"/>
    <n v="3"/>
    <x v="1"/>
    <n v="60"/>
    <n v="3"/>
    <n v="1"/>
    <x v="1"/>
    <n v="4"/>
    <s v="Single"/>
    <n v="2340"/>
    <n v="22673"/>
    <n v="1"/>
    <s v="Y"/>
    <x v="1"/>
    <n v="19"/>
    <n v="3"/>
    <n v="1"/>
    <n v="80"/>
    <n v="0"/>
    <n v="6"/>
    <n v="1"/>
    <n v="3"/>
    <n v="6"/>
    <x v="0"/>
    <n v="5"/>
    <n v="1"/>
    <n v="5"/>
    <x v="0"/>
    <n v="0"/>
  </r>
  <r>
    <n v="42"/>
    <x v="0"/>
    <x v="1"/>
    <x v="0"/>
    <n v="916"/>
    <x v="1"/>
    <n v="17"/>
    <n v="2"/>
    <s v="Life Sciences"/>
    <n v="1"/>
    <n v="347"/>
    <n v="4"/>
    <x v="0"/>
    <n v="82"/>
    <n v="4"/>
    <n v="2"/>
    <x v="1"/>
    <n v="1"/>
    <s v="Single"/>
    <n v="6545"/>
    <n v="23016"/>
    <n v="3"/>
    <s v="Y"/>
    <x v="0"/>
    <n v="13"/>
    <n v="3"/>
    <n v="3"/>
    <n v="80"/>
    <n v="0"/>
    <n v="10"/>
    <n v="1"/>
    <n v="3"/>
    <n v="3"/>
    <x v="2"/>
    <n v="2"/>
    <n v="0"/>
    <n v="2"/>
    <x v="3"/>
    <n v="0"/>
  </r>
  <r>
    <n v="29"/>
    <x v="2"/>
    <x v="1"/>
    <x v="0"/>
    <n v="1247"/>
    <x v="0"/>
    <n v="20"/>
    <n v="2"/>
    <s v="Marketing"/>
    <n v="1"/>
    <n v="349"/>
    <n v="4"/>
    <x v="1"/>
    <n v="45"/>
    <n v="3"/>
    <n v="2"/>
    <x v="0"/>
    <n v="4"/>
    <s v="Divorced"/>
    <n v="6931"/>
    <n v="10732"/>
    <n v="2"/>
    <s v="Y"/>
    <x v="1"/>
    <n v="14"/>
    <n v="3"/>
    <n v="4"/>
    <n v="80"/>
    <n v="1"/>
    <n v="10"/>
    <n v="2"/>
    <n v="3"/>
    <n v="3"/>
    <x v="2"/>
    <n v="2"/>
    <n v="0"/>
    <n v="2"/>
    <x v="0"/>
    <n v="0"/>
  </r>
  <r>
    <n v="25"/>
    <x v="2"/>
    <x v="1"/>
    <x v="0"/>
    <n v="685"/>
    <x v="1"/>
    <n v="1"/>
    <n v="3"/>
    <s v="Life Sciences"/>
    <n v="1"/>
    <n v="350"/>
    <n v="1"/>
    <x v="0"/>
    <n v="62"/>
    <n v="3"/>
    <n v="2"/>
    <x v="3"/>
    <n v="3"/>
    <s v="Married"/>
    <n v="4898"/>
    <n v="7505"/>
    <n v="0"/>
    <s v="Y"/>
    <x v="1"/>
    <n v="12"/>
    <n v="3"/>
    <n v="4"/>
    <n v="80"/>
    <n v="2"/>
    <n v="5"/>
    <n v="3"/>
    <n v="3"/>
    <n v="4"/>
    <x v="2"/>
    <n v="2"/>
    <n v="1"/>
    <n v="2"/>
    <x v="2"/>
    <n v="0"/>
  </r>
  <r>
    <n v="42"/>
    <x v="0"/>
    <x v="1"/>
    <x v="0"/>
    <n v="269"/>
    <x v="1"/>
    <n v="2"/>
    <n v="3"/>
    <s v="Medical"/>
    <n v="1"/>
    <n v="351"/>
    <n v="4"/>
    <x v="0"/>
    <n v="56"/>
    <n v="2"/>
    <n v="1"/>
    <x v="2"/>
    <n v="1"/>
    <s v="Divorced"/>
    <n v="2593"/>
    <n v="8007"/>
    <n v="0"/>
    <s v="Y"/>
    <x v="0"/>
    <n v="11"/>
    <n v="3"/>
    <n v="3"/>
    <n v="80"/>
    <n v="1"/>
    <n v="10"/>
    <n v="4"/>
    <n v="3"/>
    <n v="9"/>
    <x v="0"/>
    <n v="6"/>
    <n v="7"/>
    <n v="8"/>
    <x v="3"/>
    <n v="0"/>
  </r>
  <r>
    <n v="40"/>
    <x v="1"/>
    <x v="1"/>
    <x v="0"/>
    <n v="1416"/>
    <x v="1"/>
    <n v="2"/>
    <n v="2"/>
    <s v="Medical"/>
    <n v="1"/>
    <n v="352"/>
    <n v="1"/>
    <x v="1"/>
    <n v="49"/>
    <n v="3"/>
    <n v="5"/>
    <x v="7"/>
    <n v="3"/>
    <s v="Divorced"/>
    <n v="19436"/>
    <n v="5949"/>
    <n v="0"/>
    <s v="Y"/>
    <x v="1"/>
    <n v="19"/>
    <n v="3"/>
    <n v="4"/>
    <n v="80"/>
    <n v="1"/>
    <n v="22"/>
    <n v="5"/>
    <n v="3"/>
    <n v="21"/>
    <x v="3"/>
    <n v="7"/>
    <n v="3"/>
    <n v="9"/>
    <x v="2"/>
    <n v="0"/>
  </r>
  <r>
    <n v="51"/>
    <x v="3"/>
    <x v="1"/>
    <x v="0"/>
    <n v="833"/>
    <x v="1"/>
    <n v="1"/>
    <n v="3"/>
    <s v="Life Sciences"/>
    <n v="1"/>
    <n v="353"/>
    <n v="3"/>
    <x v="1"/>
    <n v="96"/>
    <n v="3"/>
    <n v="1"/>
    <x v="1"/>
    <n v="4"/>
    <s v="Married"/>
    <n v="2723"/>
    <n v="23231"/>
    <n v="1"/>
    <s v="Y"/>
    <x v="1"/>
    <n v="11"/>
    <n v="3"/>
    <n v="2"/>
    <n v="80"/>
    <n v="0"/>
    <n v="1"/>
    <n v="0"/>
    <n v="2"/>
    <n v="1"/>
    <x v="1"/>
    <n v="0"/>
    <n v="0"/>
    <n v="0"/>
    <x v="0"/>
    <n v="0"/>
  </r>
  <r>
    <n v="31"/>
    <x v="1"/>
    <x v="0"/>
    <x v="1"/>
    <n v="307"/>
    <x v="1"/>
    <n v="29"/>
    <n v="2"/>
    <s v="Medical"/>
    <n v="1"/>
    <n v="355"/>
    <n v="3"/>
    <x v="1"/>
    <n v="71"/>
    <n v="2"/>
    <n v="1"/>
    <x v="2"/>
    <n v="2"/>
    <s v="Single"/>
    <n v="3479"/>
    <n v="11652"/>
    <n v="0"/>
    <s v="Y"/>
    <x v="1"/>
    <n v="11"/>
    <n v="3"/>
    <n v="2"/>
    <n v="80"/>
    <n v="0"/>
    <n v="6"/>
    <n v="2"/>
    <n v="4"/>
    <n v="5"/>
    <x v="2"/>
    <n v="4"/>
    <n v="1"/>
    <n v="4"/>
    <x v="1"/>
    <n v="1"/>
  </r>
  <r>
    <n v="32"/>
    <x v="1"/>
    <x v="1"/>
    <x v="1"/>
    <n v="1311"/>
    <x v="1"/>
    <n v="7"/>
    <n v="3"/>
    <s v="Life Sciences"/>
    <n v="1"/>
    <n v="359"/>
    <n v="2"/>
    <x v="1"/>
    <n v="100"/>
    <n v="4"/>
    <n v="1"/>
    <x v="2"/>
    <n v="2"/>
    <s v="Married"/>
    <n v="2794"/>
    <n v="26062"/>
    <n v="1"/>
    <s v="Y"/>
    <x v="1"/>
    <n v="20"/>
    <n v="4"/>
    <n v="3"/>
    <n v="80"/>
    <n v="0"/>
    <n v="5"/>
    <n v="3"/>
    <n v="1"/>
    <n v="5"/>
    <x v="2"/>
    <n v="1"/>
    <n v="0"/>
    <n v="3"/>
    <x v="1"/>
    <n v="0"/>
  </r>
  <r>
    <n v="38"/>
    <x v="1"/>
    <x v="1"/>
    <x v="2"/>
    <n v="1327"/>
    <x v="0"/>
    <n v="2"/>
    <n v="2"/>
    <s v="Life Sciences"/>
    <n v="1"/>
    <n v="361"/>
    <n v="4"/>
    <x v="1"/>
    <n v="39"/>
    <n v="2"/>
    <n v="2"/>
    <x v="0"/>
    <n v="4"/>
    <s v="Married"/>
    <n v="5249"/>
    <n v="19682"/>
    <n v="3"/>
    <s v="Y"/>
    <x v="1"/>
    <n v="18"/>
    <n v="3"/>
    <n v="4"/>
    <n v="80"/>
    <n v="1"/>
    <n v="13"/>
    <n v="0"/>
    <n v="3"/>
    <n v="8"/>
    <x v="0"/>
    <n v="7"/>
    <n v="7"/>
    <n v="5"/>
    <x v="0"/>
    <n v="0"/>
  </r>
  <r>
    <n v="32"/>
    <x v="1"/>
    <x v="1"/>
    <x v="0"/>
    <n v="128"/>
    <x v="1"/>
    <n v="2"/>
    <n v="1"/>
    <s v="Technical Degree"/>
    <n v="1"/>
    <n v="362"/>
    <n v="4"/>
    <x v="1"/>
    <n v="84"/>
    <n v="2"/>
    <n v="2"/>
    <x v="2"/>
    <n v="1"/>
    <s v="Single"/>
    <n v="2176"/>
    <n v="19737"/>
    <n v="4"/>
    <s v="Y"/>
    <x v="1"/>
    <n v="13"/>
    <n v="3"/>
    <n v="4"/>
    <n v="80"/>
    <n v="0"/>
    <n v="9"/>
    <n v="5"/>
    <n v="3"/>
    <n v="6"/>
    <x v="0"/>
    <n v="2"/>
    <n v="0"/>
    <n v="4"/>
    <x v="3"/>
    <n v="0"/>
  </r>
  <r>
    <n v="46"/>
    <x v="0"/>
    <x v="1"/>
    <x v="0"/>
    <n v="488"/>
    <x v="0"/>
    <n v="2"/>
    <n v="3"/>
    <s v="Technical Degree"/>
    <n v="1"/>
    <n v="363"/>
    <n v="3"/>
    <x v="0"/>
    <n v="75"/>
    <n v="1"/>
    <n v="4"/>
    <x v="5"/>
    <n v="2"/>
    <s v="Married"/>
    <n v="16872"/>
    <n v="14977"/>
    <n v="3"/>
    <s v="Y"/>
    <x v="0"/>
    <n v="12"/>
    <n v="3"/>
    <n v="2"/>
    <n v="80"/>
    <n v="1"/>
    <n v="28"/>
    <n v="2"/>
    <n v="2"/>
    <n v="7"/>
    <x v="0"/>
    <n v="7"/>
    <n v="7"/>
    <n v="7"/>
    <x v="1"/>
    <n v="0"/>
  </r>
  <r>
    <n v="28"/>
    <x v="2"/>
    <x v="0"/>
    <x v="0"/>
    <n v="529"/>
    <x v="1"/>
    <n v="2"/>
    <n v="4"/>
    <s v="Life Sciences"/>
    <n v="1"/>
    <n v="364"/>
    <n v="1"/>
    <x v="1"/>
    <n v="79"/>
    <n v="3"/>
    <n v="1"/>
    <x v="2"/>
    <n v="3"/>
    <s v="Single"/>
    <n v="3485"/>
    <n v="14935"/>
    <n v="2"/>
    <s v="Y"/>
    <x v="1"/>
    <n v="11"/>
    <n v="3"/>
    <n v="3"/>
    <n v="80"/>
    <n v="0"/>
    <n v="5"/>
    <n v="5"/>
    <n v="1"/>
    <n v="0"/>
    <x v="1"/>
    <n v="0"/>
    <n v="0"/>
    <n v="0"/>
    <x v="2"/>
    <n v="1"/>
  </r>
  <r>
    <n v="29"/>
    <x v="2"/>
    <x v="1"/>
    <x v="0"/>
    <n v="1210"/>
    <x v="0"/>
    <n v="2"/>
    <n v="3"/>
    <s v="Medical"/>
    <n v="1"/>
    <n v="366"/>
    <n v="1"/>
    <x v="1"/>
    <n v="78"/>
    <n v="2"/>
    <n v="2"/>
    <x v="0"/>
    <n v="2"/>
    <s v="Married"/>
    <n v="6644"/>
    <n v="3687"/>
    <n v="2"/>
    <s v="Y"/>
    <x v="1"/>
    <n v="19"/>
    <n v="3"/>
    <n v="2"/>
    <n v="80"/>
    <n v="2"/>
    <n v="10"/>
    <n v="2"/>
    <n v="3"/>
    <n v="0"/>
    <x v="1"/>
    <n v="0"/>
    <n v="0"/>
    <n v="0"/>
    <x v="1"/>
    <n v="0"/>
  </r>
  <r>
    <n v="31"/>
    <x v="1"/>
    <x v="1"/>
    <x v="0"/>
    <n v="1463"/>
    <x v="1"/>
    <n v="23"/>
    <n v="3"/>
    <s v="Medical"/>
    <n v="1"/>
    <n v="367"/>
    <n v="2"/>
    <x v="1"/>
    <n v="64"/>
    <n v="2"/>
    <n v="2"/>
    <x v="4"/>
    <n v="4"/>
    <s v="Married"/>
    <n v="5582"/>
    <n v="14408"/>
    <n v="0"/>
    <s v="Y"/>
    <x v="1"/>
    <n v="21"/>
    <n v="4"/>
    <n v="2"/>
    <n v="80"/>
    <n v="1"/>
    <n v="10"/>
    <n v="2"/>
    <n v="3"/>
    <n v="9"/>
    <x v="0"/>
    <n v="0"/>
    <n v="7"/>
    <n v="8"/>
    <x v="0"/>
    <n v="0"/>
  </r>
  <r>
    <n v="25"/>
    <x v="2"/>
    <x v="1"/>
    <x v="2"/>
    <n v="675"/>
    <x v="1"/>
    <n v="5"/>
    <n v="2"/>
    <s v="Life Sciences"/>
    <n v="1"/>
    <n v="369"/>
    <n v="2"/>
    <x v="1"/>
    <n v="85"/>
    <n v="4"/>
    <n v="2"/>
    <x v="4"/>
    <n v="1"/>
    <s v="Divorced"/>
    <n v="4000"/>
    <n v="18384"/>
    <n v="1"/>
    <s v="Y"/>
    <x v="1"/>
    <n v="12"/>
    <n v="3"/>
    <n v="4"/>
    <n v="80"/>
    <n v="2"/>
    <n v="6"/>
    <n v="2"/>
    <n v="3"/>
    <n v="6"/>
    <x v="0"/>
    <n v="3"/>
    <n v="1"/>
    <n v="5"/>
    <x v="3"/>
    <n v="0"/>
  </r>
  <r>
    <n v="45"/>
    <x v="0"/>
    <x v="1"/>
    <x v="0"/>
    <n v="1385"/>
    <x v="1"/>
    <n v="20"/>
    <n v="2"/>
    <s v="Medical"/>
    <n v="1"/>
    <n v="372"/>
    <n v="3"/>
    <x v="1"/>
    <n v="79"/>
    <n v="3"/>
    <n v="4"/>
    <x v="4"/>
    <n v="4"/>
    <s v="Married"/>
    <n v="13496"/>
    <n v="7501"/>
    <n v="0"/>
    <s v="Y"/>
    <x v="0"/>
    <n v="14"/>
    <n v="3"/>
    <n v="2"/>
    <n v="80"/>
    <n v="0"/>
    <n v="21"/>
    <n v="2"/>
    <n v="3"/>
    <n v="20"/>
    <x v="3"/>
    <n v="7"/>
    <n v="4"/>
    <n v="10"/>
    <x v="0"/>
    <n v="0"/>
  </r>
  <r>
    <n v="36"/>
    <x v="1"/>
    <x v="1"/>
    <x v="0"/>
    <n v="1403"/>
    <x v="1"/>
    <n v="6"/>
    <n v="3"/>
    <s v="Life Sciences"/>
    <n v="1"/>
    <n v="373"/>
    <n v="4"/>
    <x v="1"/>
    <n v="47"/>
    <n v="3"/>
    <n v="1"/>
    <x v="2"/>
    <n v="4"/>
    <s v="Married"/>
    <n v="3210"/>
    <n v="20251"/>
    <n v="0"/>
    <s v="Y"/>
    <x v="1"/>
    <n v="11"/>
    <n v="3"/>
    <n v="3"/>
    <n v="80"/>
    <n v="1"/>
    <n v="16"/>
    <n v="4"/>
    <n v="3"/>
    <n v="15"/>
    <x v="3"/>
    <n v="13"/>
    <n v="10"/>
    <n v="11"/>
    <x v="0"/>
    <n v="0"/>
  </r>
  <r>
    <n v="55"/>
    <x v="3"/>
    <x v="1"/>
    <x v="0"/>
    <n v="452"/>
    <x v="1"/>
    <n v="1"/>
    <n v="3"/>
    <s v="Medical"/>
    <n v="1"/>
    <n v="374"/>
    <n v="4"/>
    <x v="1"/>
    <n v="81"/>
    <n v="3"/>
    <n v="5"/>
    <x v="5"/>
    <n v="1"/>
    <s v="Single"/>
    <n v="19045"/>
    <n v="18938"/>
    <n v="0"/>
    <s v="Y"/>
    <x v="0"/>
    <n v="14"/>
    <n v="3"/>
    <n v="3"/>
    <n v="80"/>
    <n v="0"/>
    <n v="37"/>
    <n v="2"/>
    <n v="3"/>
    <n v="36"/>
    <x v="3"/>
    <n v="10"/>
    <n v="4"/>
    <n v="13"/>
    <x v="3"/>
    <n v="0"/>
  </r>
  <r>
    <n v="47"/>
    <x v="0"/>
    <x v="0"/>
    <x v="2"/>
    <n v="666"/>
    <x v="1"/>
    <n v="29"/>
    <n v="4"/>
    <s v="Life Sciences"/>
    <n v="1"/>
    <n v="376"/>
    <n v="1"/>
    <x v="1"/>
    <n v="88"/>
    <n v="3"/>
    <n v="3"/>
    <x v="5"/>
    <n v="2"/>
    <s v="Married"/>
    <n v="11849"/>
    <n v="10268"/>
    <n v="1"/>
    <s v="Y"/>
    <x v="0"/>
    <n v="12"/>
    <n v="3"/>
    <n v="4"/>
    <n v="80"/>
    <n v="1"/>
    <n v="10"/>
    <n v="2"/>
    <n v="2"/>
    <n v="10"/>
    <x v="0"/>
    <n v="7"/>
    <n v="9"/>
    <n v="9"/>
    <x v="1"/>
    <n v="1"/>
  </r>
  <r>
    <n v="28"/>
    <x v="2"/>
    <x v="1"/>
    <x v="0"/>
    <n v="1158"/>
    <x v="1"/>
    <n v="9"/>
    <n v="3"/>
    <s v="Medical"/>
    <n v="1"/>
    <n v="377"/>
    <n v="4"/>
    <x v="1"/>
    <n v="94"/>
    <n v="3"/>
    <n v="1"/>
    <x v="1"/>
    <n v="4"/>
    <s v="Married"/>
    <n v="2070"/>
    <n v="2613"/>
    <n v="1"/>
    <s v="Y"/>
    <x v="1"/>
    <n v="23"/>
    <n v="4"/>
    <n v="4"/>
    <n v="80"/>
    <n v="1"/>
    <n v="5"/>
    <n v="3"/>
    <n v="2"/>
    <n v="5"/>
    <x v="2"/>
    <n v="2"/>
    <n v="0"/>
    <n v="4"/>
    <x v="0"/>
    <n v="0"/>
  </r>
  <r>
    <n v="37"/>
    <x v="1"/>
    <x v="1"/>
    <x v="0"/>
    <n v="228"/>
    <x v="0"/>
    <n v="6"/>
    <n v="4"/>
    <s v="Medical"/>
    <n v="1"/>
    <n v="378"/>
    <n v="3"/>
    <x v="1"/>
    <n v="98"/>
    <n v="3"/>
    <n v="2"/>
    <x v="0"/>
    <n v="4"/>
    <s v="Married"/>
    <n v="6502"/>
    <n v="22825"/>
    <n v="4"/>
    <s v="Y"/>
    <x v="1"/>
    <n v="14"/>
    <n v="3"/>
    <n v="2"/>
    <n v="80"/>
    <n v="1"/>
    <n v="7"/>
    <n v="5"/>
    <n v="4"/>
    <n v="5"/>
    <x v="2"/>
    <n v="4"/>
    <n v="0"/>
    <n v="1"/>
    <x v="0"/>
    <n v="0"/>
  </r>
  <r>
    <n v="21"/>
    <x v="2"/>
    <x v="1"/>
    <x v="0"/>
    <n v="996"/>
    <x v="1"/>
    <n v="3"/>
    <n v="2"/>
    <s v="Medical"/>
    <n v="1"/>
    <n v="379"/>
    <n v="4"/>
    <x v="1"/>
    <n v="100"/>
    <n v="2"/>
    <n v="1"/>
    <x v="1"/>
    <n v="3"/>
    <s v="Single"/>
    <n v="3230"/>
    <n v="10531"/>
    <n v="1"/>
    <s v="Y"/>
    <x v="1"/>
    <n v="17"/>
    <n v="3"/>
    <n v="1"/>
    <n v="80"/>
    <n v="0"/>
    <n v="3"/>
    <n v="4"/>
    <n v="4"/>
    <n v="3"/>
    <x v="2"/>
    <n v="2"/>
    <n v="1"/>
    <n v="0"/>
    <x v="2"/>
    <n v="0"/>
  </r>
  <r>
    <n v="37"/>
    <x v="1"/>
    <x v="1"/>
    <x v="2"/>
    <n v="728"/>
    <x v="1"/>
    <n v="1"/>
    <n v="4"/>
    <s v="Medical"/>
    <n v="1"/>
    <n v="380"/>
    <n v="1"/>
    <x v="0"/>
    <n v="80"/>
    <n v="3"/>
    <n v="3"/>
    <x v="7"/>
    <n v="4"/>
    <s v="Divorced"/>
    <n v="13603"/>
    <n v="11677"/>
    <n v="2"/>
    <s v="Y"/>
    <x v="0"/>
    <n v="18"/>
    <n v="3"/>
    <n v="1"/>
    <n v="80"/>
    <n v="2"/>
    <n v="15"/>
    <n v="2"/>
    <n v="3"/>
    <n v="5"/>
    <x v="2"/>
    <n v="2"/>
    <n v="0"/>
    <n v="2"/>
    <x v="0"/>
    <n v="0"/>
  </r>
  <r>
    <n v="35"/>
    <x v="1"/>
    <x v="1"/>
    <x v="0"/>
    <n v="1315"/>
    <x v="1"/>
    <n v="22"/>
    <n v="3"/>
    <s v="Life Sciences"/>
    <n v="1"/>
    <n v="381"/>
    <n v="2"/>
    <x v="0"/>
    <n v="71"/>
    <n v="4"/>
    <n v="3"/>
    <x v="5"/>
    <n v="2"/>
    <s v="Divorced"/>
    <n v="11996"/>
    <n v="19100"/>
    <n v="7"/>
    <s v="Y"/>
    <x v="1"/>
    <n v="18"/>
    <n v="3"/>
    <n v="2"/>
    <n v="80"/>
    <n v="1"/>
    <n v="10"/>
    <n v="6"/>
    <n v="2"/>
    <n v="7"/>
    <x v="0"/>
    <n v="7"/>
    <n v="6"/>
    <n v="2"/>
    <x v="1"/>
    <n v="0"/>
  </r>
  <r>
    <n v="38"/>
    <x v="1"/>
    <x v="1"/>
    <x v="0"/>
    <n v="322"/>
    <x v="0"/>
    <n v="7"/>
    <n v="2"/>
    <s v="Medical"/>
    <n v="1"/>
    <n v="382"/>
    <n v="1"/>
    <x v="0"/>
    <n v="44"/>
    <n v="4"/>
    <n v="2"/>
    <x v="0"/>
    <n v="1"/>
    <s v="Divorced"/>
    <n v="5605"/>
    <n v="19191"/>
    <n v="1"/>
    <s v="Y"/>
    <x v="0"/>
    <n v="24"/>
    <n v="4"/>
    <n v="3"/>
    <n v="80"/>
    <n v="1"/>
    <n v="8"/>
    <n v="3"/>
    <n v="3"/>
    <n v="8"/>
    <x v="0"/>
    <n v="0"/>
    <n v="7"/>
    <n v="7"/>
    <x v="3"/>
    <n v="0"/>
  </r>
  <r>
    <n v="26"/>
    <x v="2"/>
    <x v="1"/>
    <x v="1"/>
    <n v="1479"/>
    <x v="1"/>
    <n v="1"/>
    <n v="3"/>
    <s v="Life Sciences"/>
    <n v="1"/>
    <n v="384"/>
    <n v="3"/>
    <x v="0"/>
    <n v="84"/>
    <n v="3"/>
    <n v="2"/>
    <x v="3"/>
    <n v="2"/>
    <s v="Divorced"/>
    <n v="6397"/>
    <n v="26767"/>
    <n v="1"/>
    <s v="Y"/>
    <x v="1"/>
    <n v="20"/>
    <n v="4"/>
    <n v="1"/>
    <n v="80"/>
    <n v="1"/>
    <n v="6"/>
    <n v="6"/>
    <n v="1"/>
    <n v="6"/>
    <x v="0"/>
    <n v="5"/>
    <n v="1"/>
    <n v="4"/>
    <x v="1"/>
    <n v="0"/>
  </r>
  <r>
    <n v="50"/>
    <x v="0"/>
    <x v="1"/>
    <x v="0"/>
    <n v="797"/>
    <x v="1"/>
    <n v="4"/>
    <n v="1"/>
    <s v="Life Sciences"/>
    <n v="1"/>
    <n v="385"/>
    <n v="1"/>
    <x v="1"/>
    <n v="96"/>
    <n v="3"/>
    <n v="5"/>
    <x v="7"/>
    <n v="2"/>
    <s v="Divorced"/>
    <n v="19144"/>
    <n v="15815"/>
    <n v="3"/>
    <s v="Y"/>
    <x v="1"/>
    <n v="14"/>
    <n v="3"/>
    <n v="1"/>
    <n v="80"/>
    <n v="2"/>
    <n v="28"/>
    <n v="4"/>
    <n v="2"/>
    <n v="10"/>
    <x v="0"/>
    <n v="4"/>
    <n v="1"/>
    <n v="6"/>
    <x v="1"/>
    <n v="0"/>
  </r>
  <r>
    <n v="53"/>
    <x v="3"/>
    <x v="1"/>
    <x v="0"/>
    <n v="1070"/>
    <x v="1"/>
    <n v="3"/>
    <n v="4"/>
    <s v="Medical"/>
    <n v="1"/>
    <n v="386"/>
    <n v="3"/>
    <x v="1"/>
    <n v="45"/>
    <n v="3"/>
    <n v="4"/>
    <x v="7"/>
    <n v="3"/>
    <s v="Married"/>
    <n v="17584"/>
    <n v="21016"/>
    <n v="3"/>
    <s v="Y"/>
    <x v="0"/>
    <n v="16"/>
    <n v="3"/>
    <n v="4"/>
    <n v="80"/>
    <n v="3"/>
    <n v="21"/>
    <n v="5"/>
    <n v="2"/>
    <n v="5"/>
    <x v="2"/>
    <n v="3"/>
    <n v="1"/>
    <n v="3"/>
    <x v="2"/>
    <n v="0"/>
  </r>
  <r>
    <n v="42"/>
    <x v="0"/>
    <x v="1"/>
    <x v="0"/>
    <n v="635"/>
    <x v="0"/>
    <n v="1"/>
    <n v="1"/>
    <s v="Life Sciences"/>
    <n v="1"/>
    <n v="387"/>
    <n v="2"/>
    <x v="1"/>
    <n v="99"/>
    <n v="3"/>
    <n v="2"/>
    <x v="0"/>
    <n v="3"/>
    <s v="Married"/>
    <n v="4907"/>
    <n v="24532"/>
    <n v="1"/>
    <s v="Y"/>
    <x v="1"/>
    <n v="25"/>
    <n v="4"/>
    <n v="3"/>
    <n v="80"/>
    <n v="0"/>
    <n v="20"/>
    <n v="3"/>
    <n v="3"/>
    <n v="20"/>
    <x v="3"/>
    <n v="16"/>
    <n v="11"/>
    <n v="6"/>
    <x v="2"/>
    <n v="0"/>
  </r>
  <r>
    <n v="29"/>
    <x v="2"/>
    <x v="1"/>
    <x v="1"/>
    <n v="442"/>
    <x v="0"/>
    <n v="2"/>
    <n v="2"/>
    <s v="Life Sciences"/>
    <n v="1"/>
    <n v="388"/>
    <n v="2"/>
    <x v="1"/>
    <n v="44"/>
    <n v="3"/>
    <n v="2"/>
    <x v="0"/>
    <n v="4"/>
    <s v="Single"/>
    <n v="4554"/>
    <n v="20260"/>
    <n v="1"/>
    <s v="Y"/>
    <x v="1"/>
    <n v="18"/>
    <n v="3"/>
    <n v="1"/>
    <n v="80"/>
    <n v="0"/>
    <n v="10"/>
    <n v="3"/>
    <n v="2"/>
    <n v="10"/>
    <x v="0"/>
    <n v="7"/>
    <n v="0"/>
    <n v="9"/>
    <x v="0"/>
    <n v="0"/>
  </r>
  <r>
    <n v="55"/>
    <x v="3"/>
    <x v="1"/>
    <x v="0"/>
    <n v="147"/>
    <x v="1"/>
    <n v="20"/>
    <n v="2"/>
    <s v="Technical Degree"/>
    <n v="1"/>
    <n v="389"/>
    <n v="2"/>
    <x v="1"/>
    <n v="37"/>
    <n v="3"/>
    <n v="2"/>
    <x v="2"/>
    <n v="4"/>
    <s v="Married"/>
    <n v="5415"/>
    <n v="15972"/>
    <n v="3"/>
    <s v="Y"/>
    <x v="0"/>
    <n v="19"/>
    <n v="3"/>
    <n v="4"/>
    <n v="80"/>
    <n v="1"/>
    <n v="12"/>
    <n v="4"/>
    <n v="3"/>
    <n v="10"/>
    <x v="0"/>
    <n v="7"/>
    <n v="0"/>
    <n v="8"/>
    <x v="0"/>
    <n v="0"/>
  </r>
  <r>
    <n v="26"/>
    <x v="2"/>
    <x v="1"/>
    <x v="1"/>
    <n v="496"/>
    <x v="1"/>
    <n v="11"/>
    <n v="2"/>
    <s v="Medical"/>
    <n v="1"/>
    <n v="390"/>
    <n v="1"/>
    <x v="1"/>
    <n v="60"/>
    <n v="3"/>
    <n v="2"/>
    <x v="4"/>
    <n v="1"/>
    <s v="Married"/>
    <n v="4741"/>
    <n v="22722"/>
    <n v="1"/>
    <s v="Y"/>
    <x v="0"/>
    <n v="13"/>
    <n v="3"/>
    <n v="3"/>
    <n v="80"/>
    <n v="1"/>
    <n v="5"/>
    <n v="3"/>
    <n v="3"/>
    <n v="5"/>
    <x v="2"/>
    <n v="3"/>
    <n v="3"/>
    <n v="3"/>
    <x v="3"/>
    <n v="0"/>
  </r>
  <r>
    <n v="37"/>
    <x v="1"/>
    <x v="1"/>
    <x v="0"/>
    <n v="1372"/>
    <x v="1"/>
    <n v="1"/>
    <n v="3"/>
    <s v="Life Sciences"/>
    <n v="1"/>
    <n v="391"/>
    <n v="4"/>
    <x v="0"/>
    <n v="42"/>
    <n v="3"/>
    <n v="1"/>
    <x v="1"/>
    <n v="4"/>
    <s v="Single"/>
    <n v="2115"/>
    <n v="15881"/>
    <n v="1"/>
    <s v="Y"/>
    <x v="1"/>
    <n v="12"/>
    <n v="3"/>
    <n v="2"/>
    <n v="80"/>
    <n v="0"/>
    <n v="17"/>
    <n v="3"/>
    <n v="3"/>
    <n v="17"/>
    <x v="3"/>
    <n v="12"/>
    <n v="5"/>
    <n v="7"/>
    <x v="0"/>
    <n v="0"/>
  </r>
  <r>
    <n v="44"/>
    <x v="0"/>
    <x v="0"/>
    <x v="1"/>
    <n v="920"/>
    <x v="1"/>
    <n v="24"/>
    <n v="3"/>
    <s v="Life Sciences"/>
    <n v="1"/>
    <n v="392"/>
    <n v="4"/>
    <x v="1"/>
    <n v="43"/>
    <n v="3"/>
    <n v="1"/>
    <x v="2"/>
    <n v="3"/>
    <s v="Divorced"/>
    <n v="3161"/>
    <n v="19920"/>
    <n v="3"/>
    <s v="Y"/>
    <x v="0"/>
    <n v="22"/>
    <n v="4"/>
    <n v="4"/>
    <n v="80"/>
    <n v="1"/>
    <n v="19"/>
    <n v="0"/>
    <n v="1"/>
    <n v="1"/>
    <x v="1"/>
    <n v="0"/>
    <n v="0"/>
    <n v="0"/>
    <x v="2"/>
    <n v="1"/>
  </r>
  <r>
    <n v="38"/>
    <x v="1"/>
    <x v="1"/>
    <x v="0"/>
    <n v="688"/>
    <x v="1"/>
    <n v="23"/>
    <n v="4"/>
    <s v="Life Sciences"/>
    <n v="1"/>
    <n v="393"/>
    <n v="4"/>
    <x v="1"/>
    <n v="82"/>
    <n v="3"/>
    <n v="2"/>
    <x v="4"/>
    <n v="4"/>
    <s v="Divorced"/>
    <n v="5745"/>
    <n v="18899"/>
    <n v="9"/>
    <s v="Y"/>
    <x v="1"/>
    <n v="14"/>
    <n v="3"/>
    <n v="2"/>
    <n v="80"/>
    <n v="1"/>
    <n v="10"/>
    <n v="2"/>
    <n v="3"/>
    <n v="2"/>
    <x v="1"/>
    <n v="2"/>
    <n v="1"/>
    <n v="2"/>
    <x v="0"/>
    <n v="0"/>
  </r>
  <r>
    <n v="26"/>
    <x v="2"/>
    <x v="0"/>
    <x v="0"/>
    <n v="1449"/>
    <x v="1"/>
    <n v="16"/>
    <n v="4"/>
    <s v="Medical"/>
    <n v="1"/>
    <n v="394"/>
    <n v="1"/>
    <x v="1"/>
    <n v="45"/>
    <n v="3"/>
    <n v="1"/>
    <x v="2"/>
    <n v="2"/>
    <s v="Divorced"/>
    <n v="2373"/>
    <n v="14180"/>
    <n v="2"/>
    <s v="Y"/>
    <x v="0"/>
    <n v="13"/>
    <n v="3"/>
    <n v="4"/>
    <n v="80"/>
    <n v="1"/>
    <n v="5"/>
    <n v="2"/>
    <n v="3"/>
    <n v="3"/>
    <x v="2"/>
    <n v="2"/>
    <n v="0"/>
    <n v="2"/>
    <x v="1"/>
    <n v="1"/>
  </r>
  <r>
    <n v="28"/>
    <x v="2"/>
    <x v="1"/>
    <x v="0"/>
    <n v="1117"/>
    <x v="1"/>
    <n v="8"/>
    <n v="2"/>
    <s v="Life Sciences"/>
    <n v="1"/>
    <n v="395"/>
    <n v="4"/>
    <x v="0"/>
    <n v="66"/>
    <n v="3"/>
    <n v="1"/>
    <x v="1"/>
    <n v="4"/>
    <s v="Single"/>
    <n v="3310"/>
    <n v="4488"/>
    <n v="1"/>
    <s v="Y"/>
    <x v="1"/>
    <n v="21"/>
    <n v="4"/>
    <n v="4"/>
    <n v="80"/>
    <n v="0"/>
    <n v="5"/>
    <n v="3"/>
    <n v="3"/>
    <n v="5"/>
    <x v="2"/>
    <n v="3"/>
    <n v="0"/>
    <n v="2"/>
    <x v="0"/>
    <n v="0"/>
  </r>
  <r>
    <n v="49"/>
    <x v="0"/>
    <x v="1"/>
    <x v="1"/>
    <n v="636"/>
    <x v="1"/>
    <n v="10"/>
    <n v="4"/>
    <s v="Life Sciences"/>
    <n v="1"/>
    <n v="396"/>
    <n v="3"/>
    <x v="0"/>
    <n v="35"/>
    <n v="3"/>
    <n v="5"/>
    <x v="7"/>
    <n v="1"/>
    <s v="Single"/>
    <n v="18665"/>
    <n v="25594"/>
    <n v="9"/>
    <s v="Y"/>
    <x v="0"/>
    <n v="11"/>
    <n v="3"/>
    <n v="4"/>
    <n v="80"/>
    <n v="0"/>
    <n v="22"/>
    <n v="4"/>
    <n v="3"/>
    <n v="3"/>
    <x v="2"/>
    <n v="2"/>
    <n v="1"/>
    <n v="2"/>
    <x v="3"/>
    <n v="0"/>
  </r>
  <r>
    <n v="36"/>
    <x v="1"/>
    <x v="1"/>
    <x v="0"/>
    <n v="506"/>
    <x v="1"/>
    <n v="3"/>
    <n v="3"/>
    <s v="Technical Degree"/>
    <n v="1"/>
    <n v="397"/>
    <n v="3"/>
    <x v="1"/>
    <n v="30"/>
    <n v="3"/>
    <n v="2"/>
    <x v="1"/>
    <n v="2"/>
    <s v="Single"/>
    <n v="4485"/>
    <n v="26285"/>
    <n v="4"/>
    <s v="Y"/>
    <x v="1"/>
    <n v="12"/>
    <n v="3"/>
    <n v="4"/>
    <n v="80"/>
    <n v="0"/>
    <n v="10"/>
    <n v="2"/>
    <n v="3"/>
    <n v="8"/>
    <x v="0"/>
    <n v="0"/>
    <n v="7"/>
    <n v="7"/>
    <x v="1"/>
    <n v="0"/>
  </r>
  <r>
    <n v="31"/>
    <x v="1"/>
    <x v="1"/>
    <x v="1"/>
    <n v="444"/>
    <x v="0"/>
    <n v="5"/>
    <n v="3"/>
    <s v="Marketing"/>
    <n v="1"/>
    <n v="399"/>
    <n v="4"/>
    <x v="0"/>
    <n v="84"/>
    <n v="3"/>
    <n v="1"/>
    <x v="6"/>
    <n v="2"/>
    <s v="Divorced"/>
    <n v="2789"/>
    <n v="3909"/>
    <n v="1"/>
    <s v="Y"/>
    <x v="1"/>
    <n v="11"/>
    <n v="3"/>
    <n v="3"/>
    <n v="80"/>
    <n v="1"/>
    <n v="2"/>
    <n v="5"/>
    <n v="2"/>
    <n v="2"/>
    <x v="1"/>
    <n v="2"/>
    <n v="2"/>
    <n v="2"/>
    <x v="1"/>
    <n v="0"/>
  </r>
  <r>
    <n v="26"/>
    <x v="2"/>
    <x v="0"/>
    <x v="0"/>
    <n v="950"/>
    <x v="0"/>
    <n v="4"/>
    <n v="4"/>
    <s v="Marketing"/>
    <n v="1"/>
    <n v="401"/>
    <n v="4"/>
    <x v="1"/>
    <n v="48"/>
    <n v="2"/>
    <n v="2"/>
    <x v="0"/>
    <n v="4"/>
    <s v="Single"/>
    <n v="5828"/>
    <n v="8450"/>
    <n v="1"/>
    <s v="Y"/>
    <x v="0"/>
    <n v="12"/>
    <n v="3"/>
    <n v="2"/>
    <n v="80"/>
    <n v="0"/>
    <n v="8"/>
    <n v="0"/>
    <n v="3"/>
    <n v="8"/>
    <x v="0"/>
    <n v="7"/>
    <n v="7"/>
    <n v="4"/>
    <x v="0"/>
    <n v="1"/>
  </r>
  <r>
    <n v="37"/>
    <x v="1"/>
    <x v="1"/>
    <x v="1"/>
    <n v="889"/>
    <x v="1"/>
    <n v="9"/>
    <n v="3"/>
    <s v="Medical"/>
    <n v="1"/>
    <n v="403"/>
    <n v="2"/>
    <x v="1"/>
    <n v="53"/>
    <n v="3"/>
    <n v="1"/>
    <x v="1"/>
    <n v="4"/>
    <s v="Married"/>
    <n v="2326"/>
    <n v="11411"/>
    <n v="1"/>
    <s v="Y"/>
    <x v="0"/>
    <n v="12"/>
    <n v="3"/>
    <n v="3"/>
    <n v="80"/>
    <n v="3"/>
    <n v="4"/>
    <n v="3"/>
    <n v="2"/>
    <n v="4"/>
    <x v="2"/>
    <n v="2"/>
    <n v="1"/>
    <n v="2"/>
    <x v="0"/>
    <n v="0"/>
  </r>
  <r>
    <n v="42"/>
    <x v="0"/>
    <x v="1"/>
    <x v="1"/>
    <n v="555"/>
    <x v="0"/>
    <n v="26"/>
    <n v="3"/>
    <s v="Marketing"/>
    <n v="1"/>
    <n v="404"/>
    <n v="3"/>
    <x v="0"/>
    <n v="77"/>
    <n v="3"/>
    <n v="4"/>
    <x v="0"/>
    <n v="2"/>
    <s v="Married"/>
    <n v="13525"/>
    <n v="14864"/>
    <n v="5"/>
    <s v="Y"/>
    <x v="1"/>
    <n v="14"/>
    <n v="3"/>
    <n v="4"/>
    <n v="80"/>
    <n v="1"/>
    <n v="23"/>
    <n v="2"/>
    <n v="4"/>
    <n v="20"/>
    <x v="3"/>
    <n v="4"/>
    <n v="4"/>
    <n v="8"/>
    <x v="1"/>
    <n v="0"/>
  </r>
  <r>
    <n v="18"/>
    <x v="2"/>
    <x v="0"/>
    <x v="0"/>
    <n v="230"/>
    <x v="1"/>
    <n v="3"/>
    <n v="3"/>
    <s v="Life Sciences"/>
    <n v="1"/>
    <n v="405"/>
    <n v="3"/>
    <x v="1"/>
    <n v="54"/>
    <n v="3"/>
    <n v="1"/>
    <x v="2"/>
    <n v="3"/>
    <s v="Single"/>
    <n v="1420"/>
    <n v="25233"/>
    <n v="1"/>
    <s v="Y"/>
    <x v="1"/>
    <n v="13"/>
    <n v="3"/>
    <n v="3"/>
    <n v="80"/>
    <n v="0"/>
    <n v="0"/>
    <n v="2"/>
    <n v="3"/>
    <n v="0"/>
    <x v="1"/>
    <n v="0"/>
    <n v="0"/>
    <n v="0"/>
    <x v="2"/>
    <n v="1"/>
  </r>
  <r>
    <n v="35"/>
    <x v="1"/>
    <x v="1"/>
    <x v="0"/>
    <n v="1232"/>
    <x v="0"/>
    <n v="16"/>
    <n v="3"/>
    <s v="Marketing"/>
    <n v="1"/>
    <n v="406"/>
    <n v="3"/>
    <x v="1"/>
    <n v="96"/>
    <n v="3"/>
    <n v="3"/>
    <x v="0"/>
    <n v="2"/>
    <s v="Married"/>
    <n v="8020"/>
    <n v="5100"/>
    <n v="0"/>
    <s v="Y"/>
    <x v="1"/>
    <n v="15"/>
    <n v="3"/>
    <n v="3"/>
    <n v="80"/>
    <n v="2"/>
    <n v="12"/>
    <n v="3"/>
    <n v="2"/>
    <n v="11"/>
    <x v="3"/>
    <n v="9"/>
    <n v="6"/>
    <n v="9"/>
    <x v="1"/>
    <n v="0"/>
  </r>
  <r>
    <n v="36"/>
    <x v="1"/>
    <x v="1"/>
    <x v="1"/>
    <n v="566"/>
    <x v="1"/>
    <n v="18"/>
    <n v="4"/>
    <s v="Life Sciences"/>
    <n v="1"/>
    <n v="407"/>
    <n v="3"/>
    <x v="1"/>
    <n v="81"/>
    <n v="4"/>
    <n v="1"/>
    <x v="2"/>
    <n v="4"/>
    <s v="Married"/>
    <n v="3688"/>
    <n v="7122"/>
    <n v="4"/>
    <s v="Y"/>
    <x v="1"/>
    <n v="18"/>
    <n v="3"/>
    <n v="4"/>
    <n v="80"/>
    <n v="2"/>
    <n v="4"/>
    <n v="2"/>
    <n v="3"/>
    <n v="1"/>
    <x v="1"/>
    <n v="0"/>
    <n v="0"/>
    <n v="0"/>
    <x v="0"/>
    <n v="0"/>
  </r>
  <r>
    <n v="51"/>
    <x v="3"/>
    <x v="1"/>
    <x v="0"/>
    <n v="1302"/>
    <x v="1"/>
    <n v="2"/>
    <n v="3"/>
    <s v="Medical"/>
    <n v="1"/>
    <n v="408"/>
    <n v="4"/>
    <x v="1"/>
    <n v="84"/>
    <n v="1"/>
    <n v="2"/>
    <x v="3"/>
    <n v="2"/>
    <s v="Divorced"/>
    <n v="5482"/>
    <n v="16321"/>
    <n v="5"/>
    <s v="Y"/>
    <x v="1"/>
    <n v="18"/>
    <n v="3"/>
    <n v="4"/>
    <n v="80"/>
    <n v="1"/>
    <n v="13"/>
    <n v="3"/>
    <n v="3"/>
    <n v="4"/>
    <x v="2"/>
    <n v="1"/>
    <n v="1"/>
    <n v="2"/>
    <x v="1"/>
    <n v="0"/>
  </r>
  <r>
    <n v="41"/>
    <x v="0"/>
    <x v="1"/>
    <x v="0"/>
    <n v="334"/>
    <x v="0"/>
    <n v="2"/>
    <n v="4"/>
    <s v="Life Sciences"/>
    <n v="1"/>
    <n v="410"/>
    <n v="4"/>
    <x v="1"/>
    <n v="88"/>
    <n v="3"/>
    <n v="4"/>
    <x v="5"/>
    <n v="2"/>
    <s v="Single"/>
    <n v="16015"/>
    <n v="15896"/>
    <n v="1"/>
    <s v="Y"/>
    <x v="1"/>
    <n v="19"/>
    <n v="3"/>
    <n v="2"/>
    <n v="80"/>
    <n v="0"/>
    <n v="22"/>
    <n v="2"/>
    <n v="3"/>
    <n v="22"/>
    <x v="3"/>
    <n v="10"/>
    <n v="0"/>
    <n v="4"/>
    <x v="1"/>
    <n v="0"/>
  </r>
  <r>
    <n v="18"/>
    <x v="2"/>
    <x v="1"/>
    <x v="0"/>
    <n v="812"/>
    <x v="0"/>
    <n v="10"/>
    <n v="3"/>
    <s v="Medical"/>
    <n v="1"/>
    <n v="411"/>
    <n v="4"/>
    <x v="0"/>
    <n v="69"/>
    <n v="2"/>
    <n v="1"/>
    <x v="6"/>
    <n v="3"/>
    <s v="Single"/>
    <n v="1200"/>
    <n v="9724"/>
    <n v="1"/>
    <s v="Y"/>
    <x v="1"/>
    <n v="12"/>
    <n v="3"/>
    <n v="1"/>
    <n v="80"/>
    <n v="0"/>
    <n v="0"/>
    <n v="2"/>
    <n v="3"/>
    <n v="0"/>
    <x v="1"/>
    <n v="0"/>
    <n v="0"/>
    <n v="0"/>
    <x v="2"/>
    <n v="0"/>
  </r>
  <r>
    <n v="28"/>
    <x v="2"/>
    <x v="1"/>
    <x v="0"/>
    <n v="1476"/>
    <x v="1"/>
    <n v="16"/>
    <n v="2"/>
    <s v="Medical"/>
    <n v="1"/>
    <n v="412"/>
    <n v="2"/>
    <x v="1"/>
    <n v="68"/>
    <n v="4"/>
    <n v="2"/>
    <x v="4"/>
    <n v="1"/>
    <s v="Single"/>
    <n v="5661"/>
    <n v="4824"/>
    <n v="0"/>
    <s v="Y"/>
    <x v="1"/>
    <n v="19"/>
    <n v="3"/>
    <n v="3"/>
    <n v="80"/>
    <n v="0"/>
    <n v="9"/>
    <n v="2"/>
    <n v="3"/>
    <n v="8"/>
    <x v="0"/>
    <n v="3"/>
    <n v="0"/>
    <n v="7"/>
    <x v="3"/>
    <n v="0"/>
  </r>
  <r>
    <n v="31"/>
    <x v="1"/>
    <x v="1"/>
    <x v="0"/>
    <n v="218"/>
    <x v="0"/>
    <n v="7"/>
    <n v="3"/>
    <s v="Technical Degree"/>
    <n v="1"/>
    <n v="416"/>
    <n v="2"/>
    <x v="1"/>
    <n v="100"/>
    <n v="4"/>
    <n v="2"/>
    <x v="0"/>
    <n v="4"/>
    <s v="Married"/>
    <n v="6929"/>
    <n v="12241"/>
    <n v="4"/>
    <s v="Y"/>
    <x v="1"/>
    <n v="11"/>
    <n v="3"/>
    <n v="2"/>
    <n v="80"/>
    <n v="1"/>
    <n v="10"/>
    <n v="3"/>
    <n v="2"/>
    <n v="8"/>
    <x v="0"/>
    <n v="7"/>
    <n v="7"/>
    <n v="7"/>
    <x v="0"/>
    <n v="0"/>
  </r>
  <r>
    <n v="39"/>
    <x v="1"/>
    <x v="1"/>
    <x v="0"/>
    <n v="1132"/>
    <x v="1"/>
    <n v="1"/>
    <n v="3"/>
    <s v="Medical"/>
    <n v="1"/>
    <n v="417"/>
    <n v="3"/>
    <x v="1"/>
    <n v="48"/>
    <n v="4"/>
    <n v="3"/>
    <x v="4"/>
    <n v="4"/>
    <s v="Divorced"/>
    <n v="9613"/>
    <n v="10942"/>
    <n v="0"/>
    <s v="Y"/>
    <x v="1"/>
    <n v="17"/>
    <n v="3"/>
    <n v="1"/>
    <n v="80"/>
    <n v="3"/>
    <n v="19"/>
    <n v="5"/>
    <n v="2"/>
    <n v="18"/>
    <x v="3"/>
    <n v="10"/>
    <n v="3"/>
    <n v="7"/>
    <x v="0"/>
    <n v="0"/>
  </r>
  <r>
    <n v="36"/>
    <x v="1"/>
    <x v="1"/>
    <x v="2"/>
    <n v="1105"/>
    <x v="1"/>
    <n v="24"/>
    <n v="4"/>
    <s v="Life Sciences"/>
    <n v="1"/>
    <n v="419"/>
    <n v="2"/>
    <x v="0"/>
    <n v="47"/>
    <n v="3"/>
    <n v="2"/>
    <x v="2"/>
    <n v="2"/>
    <s v="Married"/>
    <n v="5674"/>
    <n v="6927"/>
    <n v="7"/>
    <s v="Y"/>
    <x v="1"/>
    <n v="15"/>
    <n v="3"/>
    <n v="3"/>
    <n v="80"/>
    <n v="1"/>
    <n v="11"/>
    <n v="3"/>
    <n v="3"/>
    <n v="9"/>
    <x v="0"/>
    <n v="8"/>
    <n v="0"/>
    <n v="8"/>
    <x v="1"/>
    <n v="0"/>
  </r>
  <r>
    <n v="32"/>
    <x v="1"/>
    <x v="1"/>
    <x v="0"/>
    <n v="906"/>
    <x v="0"/>
    <n v="7"/>
    <n v="3"/>
    <s v="Life Sciences"/>
    <n v="1"/>
    <n v="420"/>
    <n v="4"/>
    <x v="1"/>
    <n v="91"/>
    <n v="2"/>
    <n v="2"/>
    <x v="0"/>
    <n v="3"/>
    <s v="Married"/>
    <n v="5484"/>
    <n v="16985"/>
    <n v="1"/>
    <s v="Y"/>
    <x v="1"/>
    <n v="14"/>
    <n v="3"/>
    <n v="3"/>
    <n v="80"/>
    <n v="1"/>
    <n v="13"/>
    <n v="3"/>
    <n v="2"/>
    <n v="13"/>
    <x v="3"/>
    <n v="8"/>
    <n v="4"/>
    <n v="8"/>
    <x v="2"/>
    <n v="0"/>
  </r>
  <r>
    <n v="38"/>
    <x v="1"/>
    <x v="1"/>
    <x v="0"/>
    <n v="849"/>
    <x v="1"/>
    <n v="25"/>
    <n v="2"/>
    <s v="Life Sciences"/>
    <n v="1"/>
    <n v="421"/>
    <n v="1"/>
    <x v="0"/>
    <n v="81"/>
    <n v="2"/>
    <n v="3"/>
    <x v="7"/>
    <n v="2"/>
    <s v="Married"/>
    <n v="12061"/>
    <n v="26707"/>
    <n v="3"/>
    <s v="Y"/>
    <x v="1"/>
    <n v="17"/>
    <n v="3"/>
    <n v="3"/>
    <n v="80"/>
    <n v="1"/>
    <n v="19"/>
    <n v="2"/>
    <n v="3"/>
    <n v="10"/>
    <x v="0"/>
    <n v="8"/>
    <n v="0"/>
    <n v="1"/>
    <x v="1"/>
    <n v="0"/>
  </r>
  <r>
    <n v="58"/>
    <x v="3"/>
    <x v="1"/>
    <x v="2"/>
    <n v="390"/>
    <x v="1"/>
    <n v="1"/>
    <n v="4"/>
    <s v="Life Sciences"/>
    <n v="1"/>
    <n v="422"/>
    <n v="4"/>
    <x v="1"/>
    <n v="32"/>
    <n v="1"/>
    <n v="2"/>
    <x v="4"/>
    <n v="3"/>
    <s v="Divorced"/>
    <n v="5660"/>
    <n v="17056"/>
    <n v="2"/>
    <s v="Y"/>
    <x v="0"/>
    <n v="13"/>
    <n v="3"/>
    <n v="4"/>
    <n v="80"/>
    <n v="1"/>
    <n v="12"/>
    <n v="2"/>
    <n v="3"/>
    <n v="5"/>
    <x v="2"/>
    <n v="3"/>
    <n v="1"/>
    <n v="2"/>
    <x v="2"/>
    <n v="0"/>
  </r>
  <r>
    <n v="31"/>
    <x v="1"/>
    <x v="1"/>
    <x v="0"/>
    <n v="691"/>
    <x v="1"/>
    <n v="5"/>
    <n v="4"/>
    <s v="Technical Degree"/>
    <n v="1"/>
    <n v="423"/>
    <n v="3"/>
    <x v="1"/>
    <n v="86"/>
    <n v="3"/>
    <n v="1"/>
    <x v="1"/>
    <n v="4"/>
    <s v="Married"/>
    <n v="4821"/>
    <n v="10077"/>
    <n v="0"/>
    <s v="Y"/>
    <x v="0"/>
    <n v="12"/>
    <n v="3"/>
    <n v="3"/>
    <n v="80"/>
    <n v="1"/>
    <n v="6"/>
    <n v="4"/>
    <n v="3"/>
    <n v="5"/>
    <x v="2"/>
    <n v="2"/>
    <n v="0"/>
    <n v="3"/>
    <x v="0"/>
    <n v="0"/>
  </r>
  <r>
    <n v="31"/>
    <x v="1"/>
    <x v="1"/>
    <x v="0"/>
    <n v="106"/>
    <x v="2"/>
    <n v="2"/>
    <n v="3"/>
    <s v="Human Resources"/>
    <n v="1"/>
    <n v="424"/>
    <n v="1"/>
    <x v="1"/>
    <n v="62"/>
    <n v="2"/>
    <n v="2"/>
    <x v="8"/>
    <n v="1"/>
    <s v="Married"/>
    <n v="6410"/>
    <n v="17822"/>
    <n v="3"/>
    <s v="Y"/>
    <x v="1"/>
    <n v="12"/>
    <n v="3"/>
    <n v="4"/>
    <n v="80"/>
    <n v="0"/>
    <n v="9"/>
    <n v="1"/>
    <n v="3"/>
    <n v="2"/>
    <x v="1"/>
    <n v="2"/>
    <n v="1"/>
    <n v="0"/>
    <x v="3"/>
    <n v="0"/>
  </r>
  <r>
    <n v="45"/>
    <x v="0"/>
    <x v="1"/>
    <x v="1"/>
    <n v="1249"/>
    <x v="1"/>
    <n v="7"/>
    <n v="3"/>
    <s v="Life Sciences"/>
    <n v="1"/>
    <n v="425"/>
    <n v="1"/>
    <x v="1"/>
    <n v="97"/>
    <n v="3"/>
    <n v="3"/>
    <x v="2"/>
    <n v="1"/>
    <s v="Divorced"/>
    <n v="5210"/>
    <n v="20308"/>
    <n v="1"/>
    <s v="Y"/>
    <x v="1"/>
    <n v="18"/>
    <n v="3"/>
    <n v="1"/>
    <n v="80"/>
    <n v="1"/>
    <n v="24"/>
    <n v="2"/>
    <n v="3"/>
    <n v="24"/>
    <x v="3"/>
    <n v="9"/>
    <n v="9"/>
    <n v="11"/>
    <x v="3"/>
    <n v="0"/>
  </r>
  <r>
    <n v="31"/>
    <x v="1"/>
    <x v="1"/>
    <x v="0"/>
    <n v="192"/>
    <x v="1"/>
    <n v="2"/>
    <n v="4"/>
    <s v="Life Sciences"/>
    <n v="1"/>
    <n v="426"/>
    <n v="3"/>
    <x v="1"/>
    <n v="32"/>
    <n v="3"/>
    <n v="1"/>
    <x v="1"/>
    <n v="4"/>
    <s v="Divorced"/>
    <n v="2695"/>
    <n v="7747"/>
    <n v="0"/>
    <s v="Y"/>
    <x v="0"/>
    <n v="18"/>
    <n v="3"/>
    <n v="2"/>
    <n v="80"/>
    <n v="1"/>
    <n v="3"/>
    <n v="2"/>
    <n v="1"/>
    <n v="2"/>
    <x v="1"/>
    <n v="2"/>
    <n v="2"/>
    <n v="2"/>
    <x v="0"/>
    <n v="0"/>
  </r>
  <r>
    <n v="33"/>
    <x v="1"/>
    <x v="1"/>
    <x v="1"/>
    <n v="553"/>
    <x v="1"/>
    <n v="5"/>
    <n v="4"/>
    <s v="Life Sciences"/>
    <n v="1"/>
    <n v="428"/>
    <n v="4"/>
    <x v="0"/>
    <n v="74"/>
    <n v="3"/>
    <n v="3"/>
    <x v="5"/>
    <n v="2"/>
    <s v="Married"/>
    <n v="11878"/>
    <n v="23364"/>
    <n v="6"/>
    <s v="Y"/>
    <x v="1"/>
    <n v="11"/>
    <n v="3"/>
    <n v="2"/>
    <n v="80"/>
    <n v="2"/>
    <n v="12"/>
    <n v="2"/>
    <n v="3"/>
    <n v="10"/>
    <x v="0"/>
    <n v="6"/>
    <n v="8"/>
    <n v="8"/>
    <x v="1"/>
    <n v="0"/>
  </r>
  <r>
    <n v="39"/>
    <x v="1"/>
    <x v="1"/>
    <x v="0"/>
    <n v="117"/>
    <x v="1"/>
    <n v="10"/>
    <n v="1"/>
    <s v="Medical"/>
    <n v="1"/>
    <n v="429"/>
    <n v="3"/>
    <x v="1"/>
    <n v="99"/>
    <n v="3"/>
    <n v="4"/>
    <x v="5"/>
    <n v="1"/>
    <s v="Married"/>
    <n v="17068"/>
    <n v="5355"/>
    <n v="1"/>
    <s v="Y"/>
    <x v="0"/>
    <n v="14"/>
    <n v="3"/>
    <n v="4"/>
    <n v="80"/>
    <n v="0"/>
    <n v="21"/>
    <n v="3"/>
    <n v="3"/>
    <n v="21"/>
    <x v="3"/>
    <n v="9"/>
    <n v="11"/>
    <n v="10"/>
    <x v="3"/>
    <n v="0"/>
  </r>
  <r>
    <n v="43"/>
    <x v="0"/>
    <x v="1"/>
    <x v="1"/>
    <n v="185"/>
    <x v="1"/>
    <n v="10"/>
    <n v="4"/>
    <s v="Life Sciences"/>
    <n v="1"/>
    <n v="430"/>
    <n v="3"/>
    <x v="0"/>
    <n v="33"/>
    <n v="3"/>
    <n v="1"/>
    <x v="2"/>
    <n v="4"/>
    <s v="Single"/>
    <n v="2455"/>
    <n v="10675"/>
    <n v="0"/>
    <s v="Y"/>
    <x v="1"/>
    <n v="19"/>
    <n v="3"/>
    <n v="1"/>
    <n v="80"/>
    <n v="0"/>
    <n v="9"/>
    <n v="5"/>
    <n v="3"/>
    <n v="8"/>
    <x v="0"/>
    <n v="7"/>
    <n v="1"/>
    <n v="7"/>
    <x v="0"/>
    <n v="0"/>
  </r>
  <r>
    <n v="49"/>
    <x v="0"/>
    <x v="1"/>
    <x v="0"/>
    <n v="1091"/>
    <x v="1"/>
    <n v="1"/>
    <n v="2"/>
    <s v="Technical Degree"/>
    <n v="1"/>
    <n v="431"/>
    <n v="3"/>
    <x v="0"/>
    <n v="90"/>
    <n v="2"/>
    <n v="4"/>
    <x v="4"/>
    <n v="3"/>
    <s v="Single"/>
    <n v="13964"/>
    <n v="17810"/>
    <n v="7"/>
    <s v="Y"/>
    <x v="0"/>
    <n v="12"/>
    <n v="3"/>
    <n v="4"/>
    <n v="80"/>
    <n v="0"/>
    <n v="25"/>
    <n v="2"/>
    <n v="3"/>
    <n v="7"/>
    <x v="0"/>
    <n v="1"/>
    <n v="0"/>
    <n v="7"/>
    <x v="2"/>
    <n v="0"/>
  </r>
  <r>
    <n v="52"/>
    <x v="3"/>
    <x v="0"/>
    <x v="0"/>
    <n v="723"/>
    <x v="1"/>
    <n v="8"/>
    <n v="4"/>
    <s v="Medical"/>
    <n v="1"/>
    <n v="433"/>
    <n v="3"/>
    <x v="1"/>
    <n v="85"/>
    <n v="2"/>
    <n v="2"/>
    <x v="1"/>
    <n v="2"/>
    <s v="Married"/>
    <n v="4941"/>
    <n v="17747"/>
    <n v="2"/>
    <s v="Y"/>
    <x v="1"/>
    <n v="15"/>
    <n v="3"/>
    <n v="1"/>
    <n v="80"/>
    <n v="0"/>
    <n v="11"/>
    <n v="3"/>
    <n v="2"/>
    <n v="8"/>
    <x v="0"/>
    <n v="2"/>
    <n v="7"/>
    <n v="7"/>
    <x v="1"/>
    <n v="1"/>
  </r>
  <r>
    <n v="27"/>
    <x v="2"/>
    <x v="1"/>
    <x v="0"/>
    <n v="1220"/>
    <x v="1"/>
    <n v="5"/>
    <n v="3"/>
    <s v="Life Sciences"/>
    <n v="1"/>
    <n v="434"/>
    <n v="3"/>
    <x v="0"/>
    <n v="85"/>
    <n v="3"/>
    <n v="1"/>
    <x v="1"/>
    <n v="2"/>
    <s v="Single"/>
    <n v="2478"/>
    <n v="20938"/>
    <n v="1"/>
    <s v="Y"/>
    <x v="0"/>
    <n v="12"/>
    <n v="3"/>
    <n v="2"/>
    <n v="80"/>
    <n v="0"/>
    <n v="4"/>
    <n v="2"/>
    <n v="2"/>
    <n v="4"/>
    <x v="2"/>
    <n v="3"/>
    <n v="1"/>
    <n v="2"/>
    <x v="1"/>
    <n v="0"/>
  </r>
  <r>
    <n v="32"/>
    <x v="1"/>
    <x v="1"/>
    <x v="0"/>
    <n v="588"/>
    <x v="0"/>
    <n v="8"/>
    <n v="2"/>
    <s v="Technical Degree"/>
    <n v="1"/>
    <n v="436"/>
    <n v="3"/>
    <x v="0"/>
    <n v="65"/>
    <n v="2"/>
    <n v="2"/>
    <x v="0"/>
    <n v="2"/>
    <s v="Married"/>
    <n v="5228"/>
    <n v="24624"/>
    <n v="1"/>
    <s v="Y"/>
    <x v="0"/>
    <n v="11"/>
    <n v="3"/>
    <n v="4"/>
    <n v="80"/>
    <n v="0"/>
    <n v="13"/>
    <n v="2"/>
    <n v="3"/>
    <n v="13"/>
    <x v="3"/>
    <n v="12"/>
    <n v="11"/>
    <n v="9"/>
    <x v="1"/>
    <n v="0"/>
  </r>
  <r>
    <n v="27"/>
    <x v="2"/>
    <x v="1"/>
    <x v="0"/>
    <n v="1377"/>
    <x v="0"/>
    <n v="2"/>
    <n v="3"/>
    <s v="Life Sciences"/>
    <n v="1"/>
    <n v="437"/>
    <n v="4"/>
    <x v="1"/>
    <n v="74"/>
    <n v="3"/>
    <n v="2"/>
    <x v="0"/>
    <n v="3"/>
    <s v="Single"/>
    <n v="4478"/>
    <n v="5242"/>
    <n v="1"/>
    <s v="Y"/>
    <x v="0"/>
    <n v="11"/>
    <n v="3"/>
    <n v="1"/>
    <n v="80"/>
    <n v="0"/>
    <n v="5"/>
    <n v="3"/>
    <n v="3"/>
    <n v="5"/>
    <x v="2"/>
    <n v="4"/>
    <n v="0"/>
    <n v="4"/>
    <x v="2"/>
    <n v="0"/>
  </r>
  <r>
    <n v="31"/>
    <x v="1"/>
    <x v="1"/>
    <x v="0"/>
    <n v="691"/>
    <x v="0"/>
    <n v="7"/>
    <n v="3"/>
    <s v="Marketing"/>
    <n v="1"/>
    <n v="438"/>
    <n v="4"/>
    <x v="1"/>
    <n v="73"/>
    <n v="3"/>
    <n v="2"/>
    <x v="0"/>
    <n v="4"/>
    <s v="Divorced"/>
    <n v="7547"/>
    <n v="7143"/>
    <n v="4"/>
    <s v="Y"/>
    <x v="1"/>
    <n v="12"/>
    <n v="3"/>
    <n v="4"/>
    <n v="80"/>
    <n v="3"/>
    <n v="13"/>
    <n v="3"/>
    <n v="3"/>
    <n v="7"/>
    <x v="0"/>
    <n v="7"/>
    <n v="1"/>
    <n v="7"/>
    <x v="0"/>
    <n v="0"/>
  </r>
  <r>
    <n v="32"/>
    <x v="1"/>
    <x v="1"/>
    <x v="0"/>
    <n v="1018"/>
    <x v="1"/>
    <n v="2"/>
    <n v="4"/>
    <s v="Medical"/>
    <n v="1"/>
    <n v="439"/>
    <n v="1"/>
    <x v="0"/>
    <n v="74"/>
    <n v="4"/>
    <n v="2"/>
    <x v="1"/>
    <n v="4"/>
    <s v="Single"/>
    <n v="5055"/>
    <n v="10557"/>
    <n v="7"/>
    <s v="Y"/>
    <x v="1"/>
    <n v="16"/>
    <n v="3"/>
    <n v="3"/>
    <n v="80"/>
    <n v="0"/>
    <n v="10"/>
    <n v="0"/>
    <n v="2"/>
    <n v="7"/>
    <x v="0"/>
    <n v="7"/>
    <n v="0"/>
    <n v="7"/>
    <x v="0"/>
    <n v="0"/>
  </r>
  <r>
    <n v="28"/>
    <x v="2"/>
    <x v="0"/>
    <x v="0"/>
    <n v="1157"/>
    <x v="1"/>
    <n v="2"/>
    <n v="4"/>
    <s v="Medical"/>
    <n v="1"/>
    <n v="440"/>
    <n v="1"/>
    <x v="1"/>
    <n v="84"/>
    <n v="1"/>
    <n v="1"/>
    <x v="1"/>
    <n v="4"/>
    <s v="Married"/>
    <n v="3464"/>
    <n v="24737"/>
    <n v="5"/>
    <s v="Y"/>
    <x v="0"/>
    <n v="13"/>
    <n v="3"/>
    <n v="4"/>
    <n v="80"/>
    <n v="0"/>
    <n v="5"/>
    <n v="4"/>
    <n v="2"/>
    <n v="3"/>
    <x v="2"/>
    <n v="2"/>
    <n v="2"/>
    <n v="2"/>
    <x v="0"/>
    <n v="1"/>
  </r>
  <r>
    <n v="30"/>
    <x v="1"/>
    <x v="1"/>
    <x v="0"/>
    <n v="1275"/>
    <x v="1"/>
    <n v="28"/>
    <n v="2"/>
    <s v="Medical"/>
    <n v="1"/>
    <n v="441"/>
    <n v="4"/>
    <x v="0"/>
    <n v="64"/>
    <n v="3"/>
    <n v="2"/>
    <x v="1"/>
    <n v="4"/>
    <s v="Married"/>
    <n v="5775"/>
    <n v="11934"/>
    <n v="1"/>
    <s v="Y"/>
    <x v="1"/>
    <n v="13"/>
    <n v="3"/>
    <n v="4"/>
    <n v="80"/>
    <n v="2"/>
    <n v="11"/>
    <n v="2"/>
    <n v="3"/>
    <n v="10"/>
    <x v="0"/>
    <n v="8"/>
    <n v="1"/>
    <n v="9"/>
    <x v="0"/>
    <n v="0"/>
  </r>
  <r>
    <n v="31"/>
    <x v="1"/>
    <x v="1"/>
    <x v="1"/>
    <n v="798"/>
    <x v="1"/>
    <n v="7"/>
    <n v="2"/>
    <s v="Life Sciences"/>
    <n v="1"/>
    <n v="442"/>
    <n v="3"/>
    <x v="0"/>
    <n v="48"/>
    <n v="2"/>
    <n v="3"/>
    <x v="3"/>
    <n v="3"/>
    <s v="Married"/>
    <n v="8943"/>
    <n v="14034"/>
    <n v="1"/>
    <s v="Y"/>
    <x v="1"/>
    <n v="24"/>
    <n v="4"/>
    <n v="1"/>
    <n v="80"/>
    <n v="1"/>
    <n v="10"/>
    <n v="2"/>
    <n v="3"/>
    <n v="10"/>
    <x v="0"/>
    <n v="9"/>
    <n v="8"/>
    <n v="9"/>
    <x v="2"/>
    <n v="0"/>
  </r>
  <r>
    <n v="39"/>
    <x v="1"/>
    <x v="1"/>
    <x v="1"/>
    <n v="672"/>
    <x v="1"/>
    <n v="7"/>
    <n v="2"/>
    <s v="Medical"/>
    <n v="1"/>
    <n v="444"/>
    <n v="3"/>
    <x v="1"/>
    <n v="54"/>
    <n v="2"/>
    <n v="5"/>
    <x v="5"/>
    <n v="4"/>
    <s v="Married"/>
    <n v="19272"/>
    <n v="21141"/>
    <n v="1"/>
    <s v="Y"/>
    <x v="1"/>
    <n v="15"/>
    <n v="3"/>
    <n v="1"/>
    <n v="80"/>
    <n v="1"/>
    <n v="21"/>
    <n v="2"/>
    <n v="3"/>
    <n v="21"/>
    <x v="3"/>
    <n v="9"/>
    <n v="13"/>
    <n v="3"/>
    <x v="0"/>
    <n v="0"/>
  </r>
  <r>
    <n v="39"/>
    <x v="1"/>
    <x v="0"/>
    <x v="0"/>
    <n v="1162"/>
    <x v="0"/>
    <n v="3"/>
    <n v="2"/>
    <s v="Medical"/>
    <n v="1"/>
    <n v="445"/>
    <n v="4"/>
    <x v="0"/>
    <n v="41"/>
    <n v="3"/>
    <n v="2"/>
    <x v="0"/>
    <n v="3"/>
    <s v="Married"/>
    <n v="5238"/>
    <n v="17778"/>
    <n v="4"/>
    <s v="Y"/>
    <x v="0"/>
    <n v="18"/>
    <n v="3"/>
    <n v="1"/>
    <n v="80"/>
    <n v="0"/>
    <n v="12"/>
    <n v="3"/>
    <n v="2"/>
    <n v="1"/>
    <x v="1"/>
    <n v="0"/>
    <n v="0"/>
    <n v="0"/>
    <x v="2"/>
    <n v="1"/>
  </r>
  <r>
    <n v="33"/>
    <x v="1"/>
    <x v="1"/>
    <x v="1"/>
    <n v="508"/>
    <x v="0"/>
    <n v="10"/>
    <n v="3"/>
    <s v="Marketing"/>
    <n v="1"/>
    <n v="446"/>
    <n v="2"/>
    <x v="1"/>
    <n v="46"/>
    <n v="2"/>
    <n v="2"/>
    <x v="0"/>
    <n v="4"/>
    <s v="Single"/>
    <n v="4682"/>
    <n v="4317"/>
    <n v="3"/>
    <s v="Y"/>
    <x v="1"/>
    <n v="14"/>
    <n v="3"/>
    <n v="3"/>
    <n v="80"/>
    <n v="0"/>
    <n v="9"/>
    <n v="6"/>
    <n v="2"/>
    <n v="7"/>
    <x v="0"/>
    <n v="7"/>
    <n v="0"/>
    <n v="1"/>
    <x v="0"/>
    <n v="0"/>
  </r>
  <r>
    <n v="47"/>
    <x v="0"/>
    <x v="1"/>
    <x v="0"/>
    <n v="1482"/>
    <x v="1"/>
    <n v="5"/>
    <n v="5"/>
    <s v="Life Sciences"/>
    <n v="1"/>
    <n v="447"/>
    <n v="4"/>
    <x v="1"/>
    <n v="42"/>
    <n v="3"/>
    <n v="5"/>
    <x v="7"/>
    <n v="3"/>
    <s v="Married"/>
    <n v="18300"/>
    <n v="16375"/>
    <n v="4"/>
    <s v="Y"/>
    <x v="1"/>
    <n v="11"/>
    <n v="3"/>
    <n v="2"/>
    <n v="80"/>
    <n v="1"/>
    <n v="21"/>
    <n v="2"/>
    <n v="3"/>
    <n v="3"/>
    <x v="2"/>
    <n v="2"/>
    <n v="1"/>
    <n v="1"/>
    <x v="2"/>
    <n v="0"/>
  </r>
  <r>
    <n v="43"/>
    <x v="0"/>
    <x v="1"/>
    <x v="1"/>
    <n v="559"/>
    <x v="1"/>
    <n v="10"/>
    <n v="4"/>
    <s v="Life Sciences"/>
    <n v="1"/>
    <n v="448"/>
    <n v="3"/>
    <x v="0"/>
    <n v="82"/>
    <n v="2"/>
    <n v="2"/>
    <x v="2"/>
    <n v="3"/>
    <s v="Divorced"/>
    <n v="5257"/>
    <n v="6227"/>
    <n v="1"/>
    <s v="Y"/>
    <x v="1"/>
    <n v="11"/>
    <n v="3"/>
    <n v="2"/>
    <n v="80"/>
    <n v="1"/>
    <n v="9"/>
    <n v="3"/>
    <n v="4"/>
    <n v="9"/>
    <x v="0"/>
    <n v="7"/>
    <n v="0"/>
    <n v="0"/>
    <x v="2"/>
    <n v="0"/>
  </r>
  <r>
    <n v="27"/>
    <x v="2"/>
    <x v="1"/>
    <x v="2"/>
    <n v="210"/>
    <x v="0"/>
    <n v="1"/>
    <n v="1"/>
    <s v="Marketing"/>
    <n v="1"/>
    <n v="449"/>
    <n v="3"/>
    <x v="1"/>
    <n v="73"/>
    <n v="3"/>
    <n v="2"/>
    <x v="0"/>
    <n v="2"/>
    <s v="Married"/>
    <n v="6349"/>
    <n v="22107"/>
    <n v="0"/>
    <s v="Y"/>
    <x v="0"/>
    <n v="13"/>
    <n v="3"/>
    <n v="4"/>
    <n v="80"/>
    <n v="1"/>
    <n v="6"/>
    <n v="0"/>
    <n v="3"/>
    <n v="5"/>
    <x v="2"/>
    <n v="4"/>
    <n v="1"/>
    <n v="4"/>
    <x v="1"/>
    <n v="0"/>
  </r>
  <r>
    <n v="54"/>
    <x v="3"/>
    <x v="1"/>
    <x v="1"/>
    <n v="928"/>
    <x v="1"/>
    <n v="20"/>
    <n v="4"/>
    <s v="Life Sciences"/>
    <n v="1"/>
    <n v="450"/>
    <n v="4"/>
    <x v="0"/>
    <n v="31"/>
    <n v="3"/>
    <n v="2"/>
    <x v="1"/>
    <n v="3"/>
    <s v="Single"/>
    <n v="4869"/>
    <n v="16885"/>
    <n v="3"/>
    <s v="Y"/>
    <x v="1"/>
    <n v="12"/>
    <n v="3"/>
    <n v="4"/>
    <n v="80"/>
    <n v="0"/>
    <n v="20"/>
    <n v="4"/>
    <n v="2"/>
    <n v="4"/>
    <x v="2"/>
    <n v="3"/>
    <n v="0"/>
    <n v="3"/>
    <x v="2"/>
    <n v="0"/>
  </r>
  <r>
    <n v="43"/>
    <x v="0"/>
    <x v="1"/>
    <x v="0"/>
    <n v="1001"/>
    <x v="1"/>
    <n v="7"/>
    <n v="3"/>
    <s v="Life Sciences"/>
    <n v="1"/>
    <n v="451"/>
    <n v="3"/>
    <x v="0"/>
    <n v="43"/>
    <n v="3"/>
    <n v="3"/>
    <x v="4"/>
    <n v="1"/>
    <s v="Married"/>
    <n v="9985"/>
    <n v="9262"/>
    <n v="8"/>
    <s v="Y"/>
    <x v="1"/>
    <n v="16"/>
    <n v="3"/>
    <n v="1"/>
    <n v="80"/>
    <n v="1"/>
    <n v="10"/>
    <n v="1"/>
    <n v="2"/>
    <n v="1"/>
    <x v="1"/>
    <n v="0"/>
    <n v="0"/>
    <n v="0"/>
    <x v="3"/>
    <n v="0"/>
  </r>
  <r>
    <n v="45"/>
    <x v="0"/>
    <x v="1"/>
    <x v="0"/>
    <n v="549"/>
    <x v="1"/>
    <n v="8"/>
    <n v="4"/>
    <s v="Other"/>
    <n v="1"/>
    <n v="452"/>
    <n v="4"/>
    <x v="1"/>
    <n v="75"/>
    <n v="3"/>
    <n v="2"/>
    <x v="1"/>
    <n v="4"/>
    <s v="Married"/>
    <n v="3697"/>
    <n v="9278"/>
    <n v="9"/>
    <s v="Y"/>
    <x v="1"/>
    <n v="14"/>
    <n v="3"/>
    <n v="1"/>
    <n v="80"/>
    <n v="2"/>
    <n v="12"/>
    <n v="3"/>
    <n v="3"/>
    <n v="10"/>
    <x v="0"/>
    <n v="9"/>
    <n v="9"/>
    <n v="8"/>
    <x v="0"/>
    <n v="0"/>
  </r>
  <r>
    <n v="40"/>
    <x v="1"/>
    <x v="1"/>
    <x v="0"/>
    <n v="1124"/>
    <x v="0"/>
    <n v="1"/>
    <n v="2"/>
    <s v="Medical"/>
    <n v="1"/>
    <n v="453"/>
    <n v="2"/>
    <x v="1"/>
    <n v="57"/>
    <n v="1"/>
    <n v="2"/>
    <x v="0"/>
    <n v="4"/>
    <s v="Married"/>
    <n v="7457"/>
    <n v="13273"/>
    <n v="2"/>
    <s v="Y"/>
    <x v="0"/>
    <n v="22"/>
    <n v="4"/>
    <n v="3"/>
    <n v="80"/>
    <n v="3"/>
    <n v="6"/>
    <n v="2"/>
    <n v="2"/>
    <n v="4"/>
    <x v="2"/>
    <n v="3"/>
    <n v="0"/>
    <n v="2"/>
    <x v="0"/>
    <n v="0"/>
  </r>
  <r>
    <n v="29"/>
    <x v="2"/>
    <x v="0"/>
    <x v="0"/>
    <n v="318"/>
    <x v="1"/>
    <n v="8"/>
    <n v="4"/>
    <s v="Other"/>
    <n v="1"/>
    <n v="454"/>
    <n v="2"/>
    <x v="1"/>
    <n v="77"/>
    <n v="1"/>
    <n v="1"/>
    <x v="2"/>
    <n v="1"/>
    <s v="Married"/>
    <n v="2119"/>
    <n v="4759"/>
    <n v="1"/>
    <s v="Y"/>
    <x v="0"/>
    <n v="11"/>
    <n v="3"/>
    <n v="4"/>
    <n v="80"/>
    <n v="0"/>
    <n v="7"/>
    <n v="4"/>
    <n v="2"/>
    <n v="7"/>
    <x v="0"/>
    <n v="7"/>
    <n v="0"/>
    <n v="7"/>
    <x v="3"/>
    <n v="1"/>
  </r>
  <r>
    <n v="29"/>
    <x v="2"/>
    <x v="1"/>
    <x v="0"/>
    <n v="738"/>
    <x v="1"/>
    <n v="9"/>
    <n v="5"/>
    <s v="Other"/>
    <n v="1"/>
    <n v="455"/>
    <n v="2"/>
    <x v="1"/>
    <n v="30"/>
    <n v="2"/>
    <n v="1"/>
    <x v="2"/>
    <n v="4"/>
    <s v="Single"/>
    <n v="3983"/>
    <n v="7621"/>
    <n v="0"/>
    <s v="Y"/>
    <x v="1"/>
    <n v="17"/>
    <n v="3"/>
    <n v="3"/>
    <n v="80"/>
    <n v="0"/>
    <n v="4"/>
    <n v="2"/>
    <n v="3"/>
    <n v="3"/>
    <x v="2"/>
    <n v="2"/>
    <n v="2"/>
    <n v="2"/>
    <x v="0"/>
    <n v="0"/>
  </r>
  <r>
    <n v="30"/>
    <x v="1"/>
    <x v="1"/>
    <x v="0"/>
    <n v="570"/>
    <x v="0"/>
    <n v="5"/>
    <n v="3"/>
    <s v="Marketing"/>
    <n v="1"/>
    <n v="456"/>
    <n v="4"/>
    <x v="0"/>
    <n v="30"/>
    <n v="2"/>
    <n v="2"/>
    <x v="0"/>
    <n v="3"/>
    <s v="Divorced"/>
    <n v="6118"/>
    <n v="5431"/>
    <n v="1"/>
    <s v="Y"/>
    <x v="1"/>
    <n v="13"/>
    <n v="3"/>
    <n v="3"/>
    <n v="80"/>
    <n v="3"/>
    <n v="10"/>
    <n v="2"/>
    <n v="3"/>
    <n v="10"/>
    <x v="0"/>
    <n v="9"/>
    <n v="1"/>
    <n v="2"/>
    <x v="2"/>
    <n v="0"/>
  </r>
  <r>
    <n v="27"/>
    <x v="2"/>
    <x v="1"/>
    <x v="0"/>
    <n v="1130"/>
    <x v="0"/>
    <n v="8"/>
    <n v="4"/>
    <s v="Marketing"/>
    <n v="1"/>
    <n v="458"/>
    <n v="2"/>
    <x v="0"/>
    <n v="56"/>
    <n v="3"/>
    <n v="2"/>
    <x v="0"/>
    <n v="2"/>
    <s v="Married"/>
    <n v="6214"/>
    <n v="3415"/>
    <n v="1"/>
    <s v="Y"/>
    <x v="1"/>
    <n v="18"/>
    <n v="3"/>
    <n v="1"/>
    <n v="80"/>
    <n v="1"/>
    <n v="8"/>
    <n v="3"/>
    <n v="3"/>
    <n v="8"/>
    <x v="0"/>
    <n v="7"/>
    <n v="0"/>
    <n v="7"/>
    <x v="1"/>
    <n v="0"/>
  </r>
  <r>
    <n v="37"/>
    <x v="1"/>
    <x v="1"/>
    <x v="0"/>
    <n v="1192"/>
    <x v="1"/>
    <n v="5"/>
    <n v="2"/>
    <s v="Medical"/>
    <n v="1"/>
    <n v="460"/>
    <n v="4"/>
    <x v="1"/>
    <n v="61"/>
    <n v="3"/>
    <n v="2"/>
    <x v="3"/>
    <n v="4"/>
    <s v="Divorced"/>
    <n v="6347"/>
    <n v="23177"/>
    <n v="7"/>
    <s v="Y"/>
    <x v="1"/>
    <n v="16"/>
    <n v="3"/>
    <n v="3"/>
    <n v="80"/>
    <n v="2"/>
    <n v="8"/>
    <n v="2"/>
    <n v="2"/>
    <n v="6"/>
    <x v="0"/>
    <n v="2"/>
    <n v="0"/>
    <n v="4"/>
    <x v="0"/>
    <n v="0"/>
  </r>
  <r>
    <n v="38"/>
    <x v="1"/>
    <x v="1"/>
    <x v="0"/>
    <n v="343"/>
    <x v="1"/>
    <n v="15"/>
    <n v="2"/>
    <s v="Life Sciences"/>
    <n v="1"/>
    <n v="461"/>
    <n v="3"/>
    <x v="1"/>
    <n v="92"/>
    <n v="2"/>
    <n v="3"/>
    <x v="7"/>
    <n v="4"/>
    <s v="Divorced"/>
    <n v="11510"/>
    <n v="15682"/>
    <n v="0"/>
    <s v="Y"/>
    <x v="0"/>
    <n v="14"/>
    <n v="3"/>
    <n v="2"/>
    <n v="80"/>
    <n v="1"/>
    <n v="12"/>
    <n v="3"/>
    <n v="3"/>
    <n v="11"/>
    <x v="3"/>
    <n v="10"/>
    <n v="2"/>
    <n v="9"/>
    <x v="0"/>
    <n v="0"/>
  </r>
  <r>
    <n v="31"/>
    <x v="1"/>
    <x v="1"/>
    <x v="0"/>
    <n v="1232"/>
    <x v="1"/>
    <n v="7"/>
    <n v="4"/>
    <s v="Medical"/>
    <n v="1"/>
    <n v="462"/>
    <n v="3"/>
    <x v="0"/>
    <n v="39"/>
    <n v="3"/>
    <n v="3"/>
    <x v="3"/>
    <n v="4"/>
    <s v="Single"/>
    <n v="7143"/>
    <n v="25713"/>
    <n v="1"/>
    <s v="Y"/>
    <x v="0"/>
    <n v="14"/>
    <n v="3"/>
    <n v="3"/>
    <n v="80"/>
    <n v="0"/>
    <n v="11"/>
    <n v="2"/>
    <n v="2"/>
    <n v="11"/>
    <x v="3"/>
    <n v="9"/>
    <n v="4"/>
    <n v="10"/>
    <x v="0"/>
    <n v="0"/>
  </r>
  <r>
    <n v="29"/>
    <x v="2"/>
    <x v="1"/>
    <x v="0"/>
    <n v="144"/>
    <x v="0"/>
    <n v="10"/>
    <n v="1"/>
    <s v="Marketing"/>
    <n v="1"/>
    <n v="463"/>
    <n v="4"/>
    <x v="0"/>
    <n v="39"/>
    <n v="2"/>
    <n v="2"/>
    <x v="0"/>
    <n v="2"/>
    <s v="Divorced"/>
    <n v="8268"/>
    <n v="11866"/>
    <n v="1"/>
    <s v="Y"/>
    <x v="0"/>
    <n v="14"/>
    <n v="3"/>
    <n v="1"/>
    <n v="80"/>
    <n v="2"/>
    <n v="7"/>
    <n v="2"/>
    <n v="3"/>
    <n v="7"/>
    <x v="0"/>
    <n v="7"/>
    <n v="1"/>
    <n v="7"/>
    <x v="1"/>
    <n v="0"/>
  </r>
  <r>
    <n v="35"/>
    <x v="1"/>
    <x v="1"/>
    <x v="0"/>
    <n v="1296"/>
    <x v="1"/>
    <n v="5"/>
    <n v="4"/>
    <s v="Technical Degree"/>
    <n v="1"/>
    <n v="464"/>
    <n v="3"/>
    <x v="1"/>
    <n v="62"/>
    <n v="3"/>
    <n v="3"/>
    <x v="3"/>
    <n v="2"/>
    <s v="Single"/>
    <n v="8095"/>
    <n v="18264"/>
    <n v="0"/>
    <s v="Y"/>
    <x v="1"/>
    <n v="13"/>
    <n v="3"/>
    <n v="4"/>
    <n v="80"/>
    <n v="0"/>
    <n v="17"/>
    <n v="5"/>
    <n v="3"/>
    <n v="16"/>
    <x v="3"/>
    <n v="6"/>
    <n v="0"/>
    <n v="13"/>
    <x v="1"/>
    <n v="0"/>
  </r>
  <r>
    <n v="23"/>
    <x v="2"/>
    <x v="1"/>
    <x v="0"/>
    <n v="1309"/>
    <x v="1"/>
    <n v="26"/>
    <n v="1"/>
    <s v="Life Sciences"/>
    <n v="1"/>
    <n v="465"/>
    <n v="3"/>
    <x v="1"/>
    <n v="83"/>
    <n v="3"/>
    <n v="1"/>
    <x v="1"/>
    <n v="4"/>
    <s v="Divorced"/>
    <n v="2904"/>
    <n v="16092"/>
    <n v="1"/>
    <s v="Y"/>
    <x v="1"/>
    <n v="12"/>
    <n v="3"/>
    <n v="3"/>
    <n v="80"/>
    <n v="2"/>
    <n v="4"/>
    <n v="2"/>
    <n v="2"/>
    <n v="4"/>
    <x v="2"/>
    <n v="2"/>
    <n v="0"/>
    <n v="2"/>
    <x v="0"/>
    <n v="0"/>
  </r>
  <r>
    <n v="41"/>
    <x v="0"/>
    <x v="1"/>
    <x v="0"/>
    <n v="483"/>
    <x v="1"/>
    <n v="6"/>
    <n v="3"/>
    <s v="Medical"/>
    <n v="1"/>
    <n v="466"/>
    <n v="4"/>
    <x v="1"/>
    <n v="95"/>
    <n v="2"/>
    <n v="2"/>
    <x v="3"/>
    <n v="2"/>
    <s v="Single"/>
    <n v="6032"/>
    <n v="10110"/>
    <n v="6"/>
    <s v="Y"/>
    <x v="0"/>
    <n v="15"/>
    <n v="3"/>
    <n v="4"/>
    <n v="80"/>
    <n v="0"/>
    <n v="8"/>
    <n v="3"/>
    <n v="3"/>
    <n v="5"/>
    <x v="2"/>
    <n v="4"/>
    <n v="1"/>
    <n v="2"/>
    <x v="1"/>
    <n v="0"/>
  </r>
  <r>
    <n v="47"/>
    <x v="0"/>
    <x v="1"/>
    <x v="1"/>
    <n v="1309"/>
    <x v="0"/>
    <n v="4"/>
    <n v="1"/>
    <s v="Medical"/>
    <n v="1"/>
    <n v="467"/>
    <n v="2"/>
    <x v="1"/>
    <n v="99"/>
    <n v="3"/>
    <n v="2"/>
    <x v="6"/>
    <n v="3"/>
    <s v="Single"/>
    <n v="2976"/>
    <n v="25751"/>
    <n v="3"/>
    <s v="Y"/>
    <x v="1"/>
    <n v="19"/>
    <n v="3"/>
    <n v="1"/>
    <n v="80"/>
    <n v="0"/>
    <n v="5"/>
    <n v="3"/>
    <n v="3"/>
    <n v="0"/>
    <x v="1"/>
    <n v="0"/>
    <n v="0"/>
    <n v="0"/>
    <x v="2"/>
    <n v="0"/>
  </r>
  <r>
    <n v="42"/>
    <x v="0"/>
    <x v="1"/>
    <x v="0"/>
    <n v="810"/>
    <x v="1"/>
    <n v="23"/>
    <n v="5"/>
    <s v="Life Sciences"/>
    <n v="1"/>
    <n v="468"/>
    <n v="1"/>
    <x v="0"/>
    <n v="44"/>
    <n v="3"/>
    <n v="4"/>
    <x v="7"/>
    <n v="4"/>
    <s v="Single"/>
    <n v="15992"/>
    <n v="15901"/>
    <n v="2"/>
    <s v="Y"/>
    <x v="1"/>
    <n v="14"/>
    <n v="3"/>
    <n v="2"/>
    <n v="80"/>
    <n v="0"/>
    <n v="16"/>
    <n v="2"/>
    <n v="3"/>
    <n v="1"/>
    <x v="1"/>
    <n v="0"/>
    <n v="0"/>
    <n v="0"/>
    <x v="0"/>
    <n v="0"/>
  </r>
  <r>
    <n v="29"/>
    <x v="2"/>
    <x v="1"/>
    <x v="2"/>
    <n v="746"/>
    <x v="0"/>
    <n v="2"/>
    <n v="3"/>
    <s v="Life Sciences"/>
    <n v="1"/>
    <n v="469"/>
    <n v="4"/>
    <x v="1"/>
    <n v="61"/>
    <n v="3"/>
    <n v="2"/>
    <x v="0"/>
    <n v="3"/>
    <s v="Married"/>
    <n v="4649"/>
    <n v="16928"/>
    <n v="1"/>
    <s v="Y"/>
    <x v="1"/>
    <n v="14"/>
    <n v="3"/>
    <n v="1"/>
    <n v="80"/>
    <n v="1"/>
    <n v="4"/>
    <n v="3"/>
    <n v="2"/>
    <n v="4"/>
    <x v="2"/>
    <n v="3"/>
    <n v="0"/>
    <n v="2"/>
    <x v="2"/>
    <n v="0"/>
  </r>
  <r>
    <n v="42"/>
    <x v="0"/>
    <x v="1"/>
    <x v="0"/>
    <n v="544"/>
    <x v="2"/>
    <n v="2"/>
    <n v="1"/>
    <s v="Technical Degree"/>
    <n v="1"/>
    <n v="470"/>
    <n v="3"/>
    <x v="1"/>
    <n v="52"/>
    <n v="3"/>
    <n v="1"/>
    <x v="8"/>
    <n v="3"/>
    <s v="Divorced"/>
    <n v="2696"/>
    <n v="24017"/>
    <n v="0"/>
    <s v="Y"/>
    <x v="0"/>
    <n v="11"/>
    <n v="3"/>
    <n v="3"/>
    <n v="80"/>
    <n v="1"/>
    <n v="4"/>
    <n v="5"/>
    <n v="3"/>
    <n v="3"/>
    <x v="2"/>
    <n v="2"/>
    <n v="1"/>
    <n v="0"/>
    <x v="2"/>
    <n v="0"/>
  </r>
  <r>
    <n v="32"/>
    <x v="1"/>
    <x v="1"/>
    <x v="0"/>
    <n v="1062"/>
    <x v="1"/>
    <n v="2"/>
    <n v="3"/>
    <s v="Medical"/>
    <n v="1"/>
    <n v="471"/>
    <n v="3"/>
    <x v="0"/>
    <n v="75"/>
    <n v="3"/>
    <n v="1"/>
    <x v="2"/>
    <n v="2"/>
    <s v="Married"/>
    <n v="2370"/>
    <n v="3956"/>
    <n v="1"/>
    <s v="Y"/>
    <x v="1"/>
    <n v="13"/>
    <n v="3"/>
    <n v="3"/>
    <n v="80"/>
    <n v="1"/>
    <n v="8"/>
    <n v="4"/>
    <n v="3"/>
    <n v="8"/>
    <x v="0"/>
    <n v="0"/>
    <n v="0"/>
    <n v="7"/>
    <x v="1"/>
    <n v="0"/>
  </r>
  <r>
    <n v="48"/>
    <x v="0"/>
    <x v="1"/>
    <x v="0"/>
    <n v="530"/>
    <x v="0"/>
    <n v="29"/>
    <n v="1"/>
    <s v="Medical"/>
    <n v="1"/>
    <n v="473"/>
    <n v="1"/>
    <x v="0"/>
    <n v="91"/>
    <n v="3"/>
    <n v="3"/>
    <x v="5"/>
    <n v="3"/>
    <s v="Married"/>
    <n v="12504"/>
    <n v="23978"/>
    <n v="3"/>
    <s v="Y"/>
    <x v="1"/>
    <n v="21"/>
    <n v="4"/>
    <n v="2"/>
    <n v="80"/>
    <n v="1"/>
    <n v="15"/>
    <n v="3"/>
    <n v="1"/>
    <n v="0"/>
    <x v="1"/>
    <n v="0"/>
    <n v="0"/>
    <n v="0"/>
    <x v="2"/>
    <n v="0"/>
  </r>
  <r>
    <n v="37"/>
    <x v="1"/>
    <x v="1"/>
    <x v="0"/>
    <n v="1319"/>
    <x v="1"/>
    <n v="6"/>
    <n v="3"/>
    <s v="Medical"/>
    <n v="1"/>
    <n v="474"/>
    <n v="3"/>
    <x v="1"/>
    <n v="51"/>
    <n v="4"/>
    <n v="2"/>
    <x v="1"/>
    <n v="1"/>
    <s v="Divorced"/>
    <n v="5974"/>
    <n v="17001"/>
    <n v="4"/>
    <s v="Y"/>
    <x v="0"/>
    <n v="13"/>
    <n v="3"/>
    <n v="1"/>
    <n v="80"/>
    <n v="2"/>
    <n v="13"/>
    <n v="2"/>
    <n v="3"/>
    <n v="7"/>
    <x v="0"/>
    <n v="7"/>
    <n v="6"/>
    <n v="7"/>
    <x v="3"/>
    <n v="0"/>
  </r>
  <r>
    <n v="30"/>
    <x v="1"/>
    <x v="1"/>
    <x v="2"/>
    <n v="641"/>
    <x v="0"/>
    <n v="25"/>
    <n v="2"/>
    <s v="Technical Degree"/>
    <n v="1"/>
    <n v="475"/>
    <n v="4"/>
    <x v="0"/>
    <n v="85"/>
    <n v="3"/>
    <n v="2"/>
    <x v="0"/>
    <n v="3"/>
    <s v="Married"/>
    <n v="4736"/>
    <n v="6069"/>
    <n v="7"/>
    <s v="Y"/>
    <x v="0"/>
    <n v="12"/>
    <n v="3"/>
    <n v="2"/>
    <n v="80"/>
    <n v="1"/>
    <n v="4"/>
    <n v="2"/>
    <n v="4"/>
    <n v="2"/>
    <x v="1"/>
    <n v="2"/>
    <n v="2"/>
    <n v="2"/>
    <x v="2"/>
    <n v="0"/>
  </r>
  <r>
    <n v="26"/>
    <x v="2"/>
    <x v="1"/>
    <x v="0"/>
    <n v="933"/>
    <x v="0"/>
    <n v="1"/>
    <n v="3"/>
    <s v="Life Sciences"/>
    <n v="1"/>
    <n v="476"/>
    <n v="3"/>
    <x v="1"/>
    <n v="57"/>
    <n v="3"/>
    <n v="2"/>
    <x v="0"/>
    <n v="3"/>
    <s v="Married"/>
    <n v="5296"/>
    <n v="20156"/>
    <n v="1"/>
    <s v="Y"/>
    <x v="1"/>
    <n v="17"/>
    <n v="3"/>
    <n v="2"/>
    <n v="80"/>
    <n v="1"/>
    <n v="8"/>
    <n v="3"/>
    <n v="3"/>
    <n v="8"/>
    <x v="0"/>
    <n v="7"/>
    <n v="7"/>
    <n v="7"/>
    <x v="2"/>
    <n v="0"/>
  </r>
  <r>
    <n v="42"/>
    <x v="0"/>
    <x v="1"/>
    <x v="0"/>
    <n v="1332"/>
    <x v="1"/>
    <n v="2"/>
    <n v="4"/>
    <s v="Other"/>
    <n v="1"/>
    <n v="477"/>
    <n v="1"/>
    <x v="1"/>
    <n v="98"/>
    <n v="2"/>
    <n v="2"/>
    <x v="4"/>
    <n v="4"/>
    <s v="Single"/>
    <n v="6781"/>
    <n v="17078"/>
    <n v="3"/>
    <s v="Y"/>
    <x v="1"/>
    <n v="23"/>
    <n v="4"/>
    <n v="2"/>
    <n v="80"/>
    <n v="0"/>
    <n v="14"/>
    <n v="6"/>
    <n v="3"/>
    <n v="1"/>
    <x v="1"/>
    <n v="0"/>
    <n v="0"/>
    <n v="0"/>
    <x v="0"/>
    <n v="0"/>
  </r>
  <r>
    <n v="21"/>
    <x v="2"/>
    <x v="0"/>
    <x v="1"/>
    <n v="756"/>
    <x v="0"/>
    <n v="1"/>
    <n v="1"/>
    <s v="Technical Degree"/>
    <n v="1"/>
    <n v="478"/>
    <n v="1"/>
    <x v="0"/>
    <n v="99"/>
    <n v="2"/>
    <n v="1"/>
    <x v="6"/>
    <n v="2"/>
    <s v="Single"/>
    <n v="2174"/>
    <n v="9150"/>
    <n v="1"/>
    <s v="Y"/>
    <x v="0"/>
    <n v="11"/>
    <n v="3"/>
    <n v="3"/>
    <n v="80"/>
    <n v="0"/>
    <n v="3"/>
    <n v="3"/>
    <n v="3"/>
    <n v="3"/>
    <x v="2"/>
    <n v="2"/>
    <n v="1"/>
    <n v="2"/>
    <x v="1"/>
    <n v="1"/>
  </r>
  <r>
    <n v="36"/>
    <x v="1"/>
    <x v="1"/>
    <x v="2"/>
    <n v="845"/>
    <x v="0"/>
    <n v="1"/>
    <n v="5"/>
    <s v="Medical"/>
    <n v="1"/>
    <n v="479"/>
    <n v="4"/>
    <x v="0"/>
    <n v="45"/>
    <n v="3"/>
    <n v="2"/>
    <x v="0"/>
    <n v="4"/>
    <s v="Single"/>
    <n v="6653"/>
    <n v="15276"/>
    <n v="4"/>
    <s v="Y"/>
    <x v="1"/>
    <n v="15"/>
    <n v="3"/>
    <n v="2"/>
    <n v="80"/>
    <n v="0"/>
    <n v="7"/>
    <n v="6"/>
    <n v="3"/>
    <n v="1"/>
    <x v="1"/>
    <n v="0"/>
    <n v="0"/>
    <n v="0"/>
    <x v="0"/>
    <n v="0"/>
  </r>
  <r>
    <n v="36"/>
    <x v="1"/>
    <x v="1"/>
    <x v="1"/>
    <n v="541"/>
    <x v="0"/>
    <n v="3"/>
    <n v="4"/>
    <s v="Medical"/>
    <n v="1"/>
    <n v="481"/>
    <n v="1"/>
    <x v="1"/>
    <n v="48"/>
    <n v="2"/>
    <n v="3"/>
    <x v="0"/>
    <n v="4"/>
    <s v="Married"/>
    <n v="9699"/>
    <n v="7246"/>
    <n v="4"/>
    <s v="Y"/>
    <x v="1"/>
    <n v="11"/>
    <n v="3"/>
    <n v="1"/>
    <n v="80"/>
    <n v="1"/>
    <n v="16"/>
    <n v="2"/>
    <n v="3"/>
    <n v="13"/>
    <x v="3"/>
    <n v="9"/>
    <n v="1"/>
    <n v="12"/>
    <x v="0"/>
    <n v="0"/>
  </r>
  <r>
    <n v="57"/>
    <x v="3"/>
    <x v="1"/>
    <x v="0"/>
    <n v="593"/>
    <x v="1"/>
    <n v="1"/>
    <n v="4"/>
    <s v="Medical"/>
    <n v="1"/>
    <n v="482"/>
    <n v="4"/>
    <x v="1"/>
    <n v="88"/>
    <n v="3"/>
    <n v="2"/>
    <x v="4"/>
    <n v="3"/>
    <s v="Married"/>
    <n v="6755"/>
    <n v="2967"/>
    <n v="2"/>
    <s v="Y"/>
    <x v="1"/>
    <n v="11"/>
    <n v="3"/>
    <n v="3"/>
    <n v="80"/>
    <n v="0"/>
    <n v="15"/>
    <n v="2"/>
    <n v="3"/>
    <n v="3"/>
    <x v="2"/>
    <n v="2"/>
    <n v="1"/>
    <n v="2"/>
    <x v="2"/>
    <n v="0"/>
  </r>
  <r>
    <n v="40"/>
    <x v="1"/>
    <x v="1"/>
    <x v="0"/>
    <n v="1171"/>
    <x v="1"/>
    <n v="10"/>
    <n v="4"/>
    <s v="Life Sciences"/>
    <n v="1"/>
    <n v="483"/>
    <n v="4"/>
    <x v="0"/>
    <n v="46"/>
    <n v="4"/>
    <n v="1"/>
    <x v="2"/>
    <n v="3"/>
    <s v="Married"/>
    <n v="2213"/>
    <n v="22495"/>
    <n v="3"/>
    <s v="Y"/>
    <x v="0"/>
    <n v="13"/>
    <n v="3"/>
    <n v="3"/>
    <n v="80"/>
    <n v="1"/>
    <n v="10"/>
    <n v="3"/>
    <n v="3"/>
    <n v="7"/>
    <x v="0"/>
    <n v="7"/>
    <n v="1"/>
    <n v="7"/>
    <x v="2"/>
    <n v="0"/>
  </r>
  <r>
    <n v="21"/>
    <x v="2"/>
    <x v="1"/>
    <x v="2"/>
    <n v="895"/>
    <x v="0"/>
    <n v="9"/>
    <n v="2"/>
    <s v="Medical"/>
    <n v="1"/>
    <n v="484"/>
    <n v="1"/>
    <x v="1"/>
    <n v="39"/>
    <n v="3"/>
    <n v="1"/>
    <x v="6"/>
    <n v="4"/>
    <s v="Single"/>
    <n v="2610"/>
    <n v="2851"/>
    <n v="1"/>
    <s v="Y"/>
    <x v="1"/>
    <n v="24"/>
    <n v="4"/>
    <n v="3"/>
    <n v="80"/>
    <n v="0"/>
    <n v="3"/>
    <n v="3"/>
    <n v="2"/>
    <n v="3"/>
    <x v="2"/>
    <n v="2"/>
    <n v="2"/>
    <n v="2"/>
    <x v="0"/>
    <n v="0"/>
  </r>
  <r>
    <n v="33"/>
    <x v="1"/>
    <x v="0"/>
    <x v="0"/>
    <n v="350"/>
    <x v="0"/>
    <n v="5"/>
    <n v="3"/>
    <s v="Marketing"/>
    <n v="1"/>
    <n v="485"/>
    <n v="4"/>
    <x v="0"/>
    <n v="34"/>
    <n v="3"/>
    <n v="1"/>
    <x v="6"/>
    <n v="3"/>
    <s v="Single"/>
    <n v="2851"/>
    <n v="9150"/>
    <n v="1"/>
    <s v="Y"/>
    <x v="0"/>
    <n v="13"/>
    <n v="3"/>
    <n v="2"/>
    <n v="80"/>
    <n v="0"/>
    <n v="1"/>
    <n v="2"/>
    <n v="3"/>
    <n v="1"/>
    <x v="1"/>
    <n v="0"/>
    <n v="0"/>
    <n v="0"/>
    <x v="2"/>
    <n v="1"/>
  </r>
  <r>
    <n v="37"/>
    <x v="1"/>
    <x v="1"/>
    <x v="0"/>
    <n v="921"/>
    <x v="1"/>
    <n v="10"/>
    <n v="3"/>
    <s v="Medical"/>
    <n v="1"/>
    <n v="486"/>
    <n v="3"/>
    <x v="0"/>
    <n v="98"/>
    <n v="3"/>
    <n v="1"/>
    <x v="2"/>
    <n v="1"/>
    <s v="Married"/>
    <n v="3452"/>
    <n v="17663"/>
    <n v="6"/>
    <s v="Y"/>
    <x v="1"/>
    <n v="20"/>
    <n v="4"/>
    <n v="2"/>
    <n v="80"/>
    <n v="1"/>
    <n v="17"/>
    <n v="3"/>
    <n v="3"/>
    <n v="5"/>
    <x v="2"/>
    <n v="4"/>
    <n v="0"/>
    <n v="3"/>
    <x v="3"/>
    <n v="0"/>
  </r>
  <r>
    <n v="46"/>
    <x v="0"/>
    <x v="1"/>
    <x v="2"/>
    <n v="1144"/>
    <x v="1"/>
    <n v="7"/>
    <n v="4"/>
    <s v="Medical"/>
    <n v="1"/>
    <n v="487"/>
    <n v="3"/>
    <x v="0"/>
    <n v="30"/>
    <n v="3"/>
    <n v="2"/>
    <x v="3"/>
    <n v="3"/>
    <s v="Married"/>
    <n v="5258"/>
    <n v="16044"/>
    <n v="2"/>
    <s v="Y"/>
    <x v="1"/>
    <n v="14"/>
    <n v="3"/>
    <n v="3"/>
    <n v="80"/>
    <n v="0"/>
    <n v="7"/>
    <n v="2"/>
    <n v="4"/>
    <n v="1"/>
    <x v="1"/>
    <n v="0"/>
    <n v="0"/>
    <n v="0"/>
    <x v="2"/>
    <n v="0"/>
  </r>
  <r>
    <n v="41"/>
    <x v="0"/>
    <x v="0"/>
    <x v="1"/>
    <n v="143"/>
    <x v="0"/>
    <n v="4"/>
    <n v="3"/>
    <s v="Marketing"/>
    <n v="1"/>
    <n v="488"/>
    <n v="1"/>
    <x v="1"/>
    <n v="56"/>
    <n v="3"/>
    <n v="2"/>
    <x v="0"/>
    <n v="2"/>
    <s v="Single"/>
    <n v="9355"/>
    <n v="9558"/>
    <n v="1"/>
    <s v="Y"/>
    <x v="1"/>
    <n v="18"/>
    <n v="3"/>
    <n v="3"/>
    <n v="80"/>
    <n v="0"/>
    <n v="8"/>
    <n v="5"/>
    <n v="3"/>
    <n v="8"/>
    <x v="0"/>
    <n v="7"/>
    <n v="7"/>
    <n v="7"/>
    <x v="1"/>
    <n v="1"/>
  </r>
  <r>
    <n v="50"/>
    <x v="0"/>
    <x v="1"/>
    <x v="0"/>
    <n v="1046"/>
    <x v="1"/>
    <n v="10"/>
    <n v="3"/>
    <s v="Technical Degree"/>
    <n v="1"/>
    <n v="491"/>
    <n v="4"/>
    <x v="1"/>
    <n v="100"/>
    <n v="2"/>
    <n v="3"/>
    <x v="4"/>
    <n v="4"/>
    <s v="Single"/>
    <n v="10496"/>
    <n v="2755"/>
    <n v="6"/>
    <s v="Y"/>
    <x v="1"/>
    <n v="15"/>
    <n v="3"/>
    <n v="4"/>
    <n v="80"/>
    <n v="0"/>
    <n v="20"/>
    <n v="2"/>
    <n v="3"/>
    <n v="4"/>
    <x v="2"/>
    <n v="3"/>
    <n v="1"/>
    <n v="3"/>
    <x v="0"/>
    <n v="0"/>
  </r>
  <r>
    <n v="40"/>
    <x v="1"/>
    <x v="0"/>
    <x v="0"/>
    <n v="575"/>
    <x v="0"/>
    <n v="22"/>
    <n v="2"/>
    <s v="Marketing"/>
    <n v="1"/>
    <n v="492"/>
    <n v="3"/>
    <x v="1"/>
    <n v="68"/>
    <n v="2"/>
    <n v="2"/>
    <x v="0"/>
    <n v="3"/>
    <s v="Married"/>
    <n v="6380"/>
    <n v="6110"/>
    <n v="2"/>
    <s v="Y"/>
    <x v="0"/>
    <n v="12"/>
    <n v="3"/>
    <n v="1"/>
    <n v="80"/>
    <n v="2"/>
    <n v="8"/>
    <n v="6"/>
    <n v="3"/>
    <n v="6"/>
    <x v="0"/>
    <n v="4"/>
    <n v="1"/>
    <n v="0"/>
    <x v="2"/>
    <n v="1"/>
  </r>
  <r>
    <n v="31"/>
    <x v="1"/>
    <x v="1"/>
    <x v="0"/>
    <n v="408"/>
    <x v="1"/>
    <n v="9"/>
    <n v="4"/>
    <s v="Life Sciences"/>
    <n v="1"/>
    <n v="493"/>
    <n v="3"/>
    <x v="1"/>
    <n v="42"/>
    <n v="2"/>
    <n v="1"/>
    <x v="1"/>
    <n v="2"/>
    <s v="Single"/>
    <n v="2657"/>
    <n v="7551"/>
    <n v="0"/>
    <s v="Y"/>
    <x v="0"/>
    <n v="16"/>
    <n v="3"/>
    <n v="4"/>
    <n v="80"/>
    <n v="0"/>
    <n v="3"/>
    <n v="5"/>
    <n v="3"/>
    <n v="2"/>
    <x v="1"/>
    <n v="2"/>
    <n v="2"/>
    <n v="2"/>
    <x v="1"/>
    <n v="0"/>
  </r>
  <r>
    <n v="21"/>
    <x v="2"/>
    <x v="0"/>
    <x v="0"/>
    <n v="156"/>
    <x v="0"/>
    <n v="12"/>
    <n v="3"/>
    <s v="Life Sciences"/>
    <n v="1"/>
    <n v="494"/>
    <n v="3"/>
    <x v="0"/>
    <n v="90"/>
    <n v="4"/>
    <n v="1"/>
    <x v="6"/>
    <n v="2"/>
    <s v="Single"/>
    <n v="2716"/>
    <n v="25422"/>
    <n v="1"/>
    <s v="Y"/>
    <x v="1"/>
    <n v="15"/>
    <n v="3"/>
    <n v="4"/>
    <n v="80"/>
    <n v="0"/>
    <n v="1"/>
    <n v="0"/>
    <n v="3"/>
    <n v="1"/>
    <x v="1"/>
    <n v="0"/>
    <n v="0"/>
    <n v="0"/>
    <x v="1"/>
    <n v="1"/>
  </r>
  <r>
    <n v="29"/>
    <x v="2"/>
    <x v="1"/>
    <x v="0"/>
    <n v="1283"/>
    <x v="1"/>
    <n v="23"/>
    <n v="3"/>
    <s v="Life Sciences"/>
    <n v="1"/>
    <n v="495"/>
    <n v="4"/>
    <x v="1"/>
    <n v="54"/>
    <n v="3"/>
    <n v="1"/>
    <x v="1"/>
    <n v="4"/>
    <s v="Single"/>
    <n v="2201"/>
    <n v="18168"/>
    <n v="9"/>
    <s v="Y"/>
    <x v="1"/>
    <n v="16"/>
    <n v="3"/>
    <n v="4"/>
    <n v="80"/>
    <n v="0"/>
    <n v="6"/>
    <n v="4"/>
    <n v="3"/>
    <n v="3"/>
    <x v="2"/>
    <n v="2"/>
    <n v="1"/>
    <n v="2"/>
    <x v="0"/>
    <n v="0"/>
  </r>
  <r>
    <n v="35"/>
    <x v="1"/>
    <x v="1"/>
    <x v="0"/>
    <n v="755"/>
    <x v="1"/>
    <n v="9"/>
    <n v="4"/>
    <s v="Life Sciences"/>
    <n v="1"/>
    <n v="496"/>
    <n v="3"/>
    <x v="1"/>
    <n v="97"/>
    <n v="2"/>
    <n v="2"/>
    <x v="4"/>
    <n v="2"/>
    <s v="Single"/>
    <n v="6540"/>
    <n v="19394"/>
    <n v="9"/>
    <s v="Y"/>
    <x v="1"/>
    <n v="19"/>
    <n v="3"/>
    <n v="3"/>
    <n v="80"/>
    <n v="0"/>
    <n v="10"/>
    <n v="5"/>
    <n v="3"/>
    <n v="1"/>
    <x v="1"/>
    <n v="1"/>
    <n v="0"/>
    <n v="0"/>
    <x v="1"/>
    <n v="0"/>
  </r>
  <r>
    <n v="27"/>
    <x v="2"/>
    <x v="1"/>
    <x v="0"/>
    <n v="1469"/>
    <x v="1"/>
    <n v="1"/>
    <n v="2"/>
    <s v="Medical"/>
    <n v="1"/>
    <n v="497"/>
    <n v="4"/>
    <x v="1"/>
    <n v="82"/>
    <n v="3"/>
    <n v="1"/>
    <x v="2"/>
    <n v="2"/>
    <s v="Divorced"/>
    <n v="3816"/>
    <n v="17881"/>
    <n v="1"/>
    <s v="Y"/>
    <x v="1"/>
    <n v="11"/>
    <n v="3"/>
    <n v="2"/>
    <n v="80"/>
    <n v="1"/>
    <n v="5"/>
    <n v="2"/>
    <n v="3"/>
    <n v="5"/>
    <x v="2"/>
    <n v="2"/>
    <n v="0"/>
    <n v="4"/>
    <x v="1"/>
    <n v="0"/>
  </r>
  <r>
    <n v="28"/>
    <x v="2"/>
    <x v="1"/>
    <x v="0"/>
    <n v="304"/>
    <x v="0"/>
    <n v="9"/>
    <n v="4"/>
    <s v="Life Sciences"/>
    <n v="1"/>
    <n v="498"/>
    <n v="2"/>
    <x v="1"/>
    <n v="92"/>
    <n v="3"/>
    <n v="2"/>
    <x v="0"/>
    <n v="4"/>
    <s v="Single"/>
    <n v="5253"/>
    <n v="20750"/>
    <n v="1"/>
    <s v="Y"/>
    <x v="1"/>
    <n v="16"/>
    <n v="3"/>
    <n v="4"/>
    <n v="80"/>
    <n v="0"/>
    <n v="7"/>
    <n v="1"/>
    <n v="3"/>
    <n v="7"/>
    <x v="0"/>
    <n v="5"/>
    <n v="0"/>
    <n v="7"/>
    <x v="0"/>
    <n v="0"/>
  </r>
  <r>
    <n v="49"/>
    <x v="0"/>
    <x v="1"/>
    <x v="0"/>
    <n v="1261"/>
    <x v="1"/>
    <n v="7"/>
    <n v="3"/>
    <s v="Other"/>
    <n v="1"/>
    <n v="499"/>
    <n v="2"/>
    <x v="1"/>
    <n v="31"/>
    <n v="2"/>
    <n v="3"/>
    <x v="4"/>
    <n v="3"/>
    <s v="Single"/>
    <n v="10965"/>
    <n v="12066"/>
    <n v="8"/>
    <s v="Y"/>
    <x v="1"/>
    <n v="24"/>
    <n v="4"/>
    <n v="3"/>
    <n v="80"/>
    <n v="0"/>
    <n v="26"/>
    <n v="2"/>
    <n v="3"/>
    <n v="5"/>
    <x v="2"/>
    <n v="2"/>
    <n v="0"/>
    <n v="0"/>
    <x v="2"/>
    <n v="0"/>
  </r>
  <r>
    <n v="51"/>
    <x v="3"/>
    <x v="1"/>
    <x v="0"/>
    <n v="1178"/>
    <x v="0"/>
    <n v="14"/>
    <n v="2"/>
    <s v="Life Sciences"/>
    <n v="1"/>
    <n v="500"/>
    <n v="3"/>
    <x v="0"/>
    <n v="87"/>
    <n v="3"/>
    <n v="2"/>
    <x v="0"/>
    <n v="4"/>
    <s v="Married"/>
    <n v="4936"/>
    <n v="14862"/>
    <n v="4"/>
    <s v="Y"/>
    <x v="1"/>
    <n v="11"/>
    <n v="3"/>
    <n v="3"/>
    <n v="80"/>
    <n v="1"/>
    <n v="18"/>
    <n v="2"/>
    <n v="2"/>
    <n v="7"/>
    <x v="0"/>
    <n v="7"/>
    <n v="0"/>
    <n v="7"/>
    <x v="0"/>
    <n v="0"/>
  </r>
  <r>
    <n v="36"/>
    <x v="1"/>
    <x v="1"/>
    <x v="0"/>
    <n v="329"/>
    <x v="1"/>
    <n v="2"/>
    <n v="3"/>
    <s v="Life Sciences"/>
    <n v="1"/>
    <n v="501"/>
    <n v="4"/>
    <x v="0"/>
    <n v="96"/>
    <n v="3"/>
    <n v="1"/>
    <x v="1"/>
    <n v="3"/>
    <s v="Married"/>
    <n v="2543"/>
    <n v="11868"/>
    <n v="4"/>
    <s v="Y"/>
    <x v="1"/>
    <n v="13"/>
    <n v="3"/>
    <n v="2"/>
    <n v="80"/>
    <n v="1"/>
    <n v="6"/>
    <n v="3"/>
    <n v="3"/>
    <n v="2"/>
    <x v="1"/>
    <n v="2"/>
    <n v="2"/>
    <n v="2"/>
    <x v="2"/>
    <n v="0"/>
  </r>
  <r>
    <n v="34"/>
    <x v="1"/>
    <x v="0"/>
    <x v="2"/>
    <n v="1362"/>
    <x v="0"/>
    <n v="19"/>
    <n v="3"/>
    <s v="Marketing"/>
    <n v="1"/>
    <n v="502"/>
    <n v="1"/>
    <x v="1"/>
    <n v="67"/>
    <n v="4"/>
    <n v="2"/>
    <x v="0"/>
    <n v="4"/>
    <s v="Single"/>
    <n v="5304"/>
    <n v="4652"/>
    <n v="8"/>
    <s v="Y"/>
    <x v="0"/>
    <n v="13"/>
    <n v="3"/>
    <n v="2"/>
    <n v="80"/>
    <n v="0"/>
    <n v="9"/>
    <n v="3"/>
    <n v="2"/>
    <n v="5"/>
    <x v="2"/>
    <n v="2"/>
    <n v="0"/>
    <n v="4"/>
    <x v="0"/>
    <n v="1"/>
  </r>
  <r>
    <n v="55"/>
    <x v="3"/>
    <x v="1"/>
    <x v="0"/>
    <n v="1311"/>
    <x v="1"/>
    <n v="2"/>
    <n v="3"/>
    <s v="Life Sciences"/>
    <n v="1"/>
    <n v="505"/>
    <n v="3"/>
    <x v="0"/>
    <n v="97"/>
    <n v="3"/>
    <n v="4"/>
    <x v="5"/>
    <n v="4"/>
    <s v="Single"/>
    <n v="16659"/>
    <n v="23258"/>
    <n v="2"/>
    <s v="Y"/>
    <x v="0"/>
    <n v="13"/>
    <n v="3"/>
    <n v="3"/>
    <n v="80"/>
    <n v="0"/>
    <n v="30"/>
    <n v="2"/>
    <n v="3"/>
    <n v="5"/>
    <x v="2"/>
    <n v="4"/>
    <n v="1"/>
    <n v="2"/>
    <x v="0"/>
    <n v="0"/>
  </r>
  <r>
    <n v="24"/>
    <x v="2"/>
    <x v="1"/>
    <x v="0"/>
    <n v="1371"/>
    <x v="0"/>
    <n v="10"/>
    <n v="4"/>
    <s v="Marketing"/>
    <n v="1"/>
    <n v="507"/>
    <n v="4"/>
    <x v="0"/>
    <n v="77"/>
    <n v="3"/>
    <n v="2"/>
    <x v="0"/>
    <n v="3"/>
    <s v="Divorced"/>
    <n v="4260"/>
    <n v="5915"/>
    <n v="1"/>
    <s v="Y"/>
    <x v="0"/>
    <n v="12"/>
    <n v="3"/>
    <n v="4"/>
    <n v="80"/>
    <n v="1"/>
    <n v="5"/>
    <n v="2"/>
    <n v="4"/>
    <n v="5"/>
    <x v="2"/>
    <n v="2"/>
    <n v="0"/>
    <n v="3"/>
    <x v="2"/>
    <n v="0"/>
  </r>
  <r>
    <n v="30"/>
    <x v="1"/>
    <x v="1"/>
    <x v="0"/>
    <n v="202"/>
    <x v="0"/>
    <n v="2"/>
    <n v="1"/>
    <s v="Technical Degree"/>
    <n v="1"/>
    <n v="508"/>
    <n v="3"/>
    <x v="1"/>
    <n v="72"/>
    <n v="3"/>
    <n v="1"/>
    <x v="6"/>
    <n v="2"/>
    <s v="Married"/>
    <n v="2476"/>
    <n v="17434"/>
    <n v="1"/>
    <s v="Y"/>
    <x v="1"/>
    <n v="18"/>
    <n v="3"/>
    <n v="1"/>
    <n v="80"/>
    <n v="1"/>
    <n v="1"/>
    <n v="3"/>
    <n v="3"/>
    <n v="1"/>
    <x v="1"/>
    <n v="0"/>
    <n v="0"/>
    <n v="0"/>
    <x v="1"/>
    <n v="0"/>
  </r>
  <r>
    <n v="26"/>
    <x v="2"/>
    <x v="0"/>
    <x v="1"/>
    <n v="575"/>
    <x v="1"/>
    <n v="3"/>
    <n v="1"/>
    <s v="Technical Degree"/>
    <n v="1"/>
    <n v="510"/>
    <n v="3"/>
    <x v="1"/>
    <n v="73"/>
    <n v="3"/>
    <n v="1"/>
    <x v="1"/>
    <n v="1"/>
    <s v="Single"/>
    <n v="3102"/>
    <n v="6582"/>
    <n v="0"/>
    <s v="Y"/>
    <x v="1"/>
    <n v="22"/>
    <n v="4"/>
    <n v="3"/>
    <n v="80"/>
    <n v="0"/>
    <n v="7"/>
    <n v="2"/>
    <n v="3"/>
    <n v="6"/>
    <x v="0"/>
    <n v="4"/>
    <n v="0"/>
    <n v="4"/>
    <x v="3"/>
    <n v="1"/>
  </r>
  <r>
    <n v="22"/>
    <x v="2"/>
    <x v="1"/>
    <x v="0"/>
    <n v="253"/>
    <x v="1"/>
    <n v="11"/>
    <n v="3"/>
    <s v="Medical"/>
    <n v="1"/>
    <n v="511"/>
    <n v="1"/>
    <x v="0"/>
    <n v="43"/>
    <n v="3"/>
    <n v="1"/>
    <x v="1"/>
    <n v="2"/>
    <s v="Married"/>
    <n v="2244"/>
    <n v="24440"/>
    <n v="1"/>
    <s v="Y"/>
    <x v="1"/>
    <n v="13"/>
    <n v="3"/>
    <n v="4"/>
    <n v="80"/>
    <n v="1"/>
    <n v="2"/>
    <n v="1"/>
    <n v="3"/>
    <n v="2"/>
    <x v="1"/>
    <n v="1"/>
    <n v="1"/>
    <n v="2"/>
    <x v="1"/>
    <n v="0"/>
  </r>
  <r>
    <n v="36"/>
    <x v="1"/>
    <x v="1"/>
    <x v="0"/>
    <n v="164"/>
    <x v="0"/>
    <n v="2"/>
    <n v="2"/>
    <s v="Medical"/>
    <n v="1"/>
    <n v="513"/>
    <n v="2"/>
    <x v="1"/>
    <n v="61"/>
    <n v="2"/>
    <n v="3"/>
    <x v="0"/>
    <n v="3"/>
    <s v="Married"/>
    <n v="7596"/>
    <n v="3809"/>
    <n v="1"/>
    <s v="Y"/>
    <x v="1"/>
    <n v="13"/>
    <n v="3"/>
    <n v="2"/>
    <n v="80"/>
    <n v="2"/>
    <n v="10"/>
    <n v="2"/>
    <n v="3"/>
    <n v="10"/>
    <x v="0"/>
    <n v="9"/>
    <n v="9"/>
    <n v="0"/>
    <x v="2"/>
    <n v="0"/>
  </r>
  <r>
    <n v="30"/>
    <x v="1"/>
    <x v="0"/>
    <x v="1"/>
    <n v="464"/>
    <x v="1"/>
    <n v="4"/>
    <n v="3"/>
    <s v="Technical Degree"/>
    <n v="1"/>
    <n v="514"/>
    <n v="3"/>
    <x v="1"/>
    <n v="40"/>
    <n v="3"/>
    <n v="1"/>
    <x v="1"/>
    <n v="4"/>
    <s v="Single"/>
    <n v="2285"/>
    <n v="3427"/>
    <n v="9"/>
    <s v="Y"/>
    <x v="0"/>
    <n v="23"/>
    <n v="4"/>
    <n v="3"/>
    <n v="80"/>
    <n v="0"/>
    <n v="3"/>
    <n v="4"/>
    <n v="3"/>
    <n v="1"/>
    <x v="1"/>
    <n v="0"/>
    <n v="0"/>
    <n v="0"/>
    <x v="0"/>
    <n v="1"/>
  </r>
  <r>
    <n v="37"/>
    <x v="1"/>
    <x v="1"/>
    <x v="0"/>
    <n v="1107"/>
    <x v="1"/>
    <n v="14"/>
    <n v="3"/>
    <s v="Life Sciences"/>
    <n v="1"/>
    <n v="515"/>
    <n v="4"/>
    <x v="0"/>
    <n v="95"/>
    <n v="3"/>
    <n v="1"/>
    <x v="2"/>
    <n v="1"/>
    <s v="Divorced"/>
    <n v="3034"/>
    <n v="26914"/>
    <n v="1"/>
    <s v="Y"/>
    <x v="1"/>
    <n v="12"/>
    <n v="3"/>
    <n v="3"/>
    <n v="80"/>
    <n v="1"/>
    <n v="18"/>
    <n v="2"/>
    <n v="2"/>
    <n v="18"/>
    <x v="3"/>
    <n v="7"/>
    <n v="12"/>
    <n v="17"/>
    <x v="3"/>
    <n v="0"/>
  </r>
  <r>
    <n v="40"/>
    <x v="1"/>
    <x v="1"/>
    <x v="0"/>
    <n v="759"/>
    <x v="0"/>
    <n v="2"/>
    <n v="2"/>
    <s v="Marketing"/>
    <n v="1"/>
    <n v="516"/>
    <n v="4"/>
    <x v="0"/>
    <n v="46"/>
    <n v="3"/>
    <n v="2"/>
    <x v="0"/>
    <n v="2"/>
    <s v="Divorced"/>
    <n v="5715"/>
    <n v="22553"/>
    <n v="7"/>
    <s v="Y"/>
    <x v="1"/>
    <n v="12"/>
    <n v="3"/>
    <n v="3"/>
    <n v="80"/>
    <n v="2"/>
    <n v="8"/>
    <n v="5"/>
    <n v="3"/>
    <n v="5"/>
    <x v="2"/>
    <n v="4"/>
    <n v="1"/>
    <n v="3"/>
    <x v="1"/>
    <n v="0"/>
  </r>
  <r>
    <n v="42"/>
    <x v="0"/>
    <x v="1"/>
    <x v="0"/>
    <n v="201"/>
    <x v="1"/>
    <n v="1"/>
    <n v="4"/>
    <s v="Life Sciences"/>
    <n v="1"/>
    <n v="517"/>
    <n v="2"/>
    <x v="0"/>
    <n v="95"/>
    <n v="3"/>
    <n v="1"/>
    <x v="2"/>
    <n v="1"/>
    <s v="Divorced"/>
    <n v="2576"/>
    <n v="20490"/>
    <n v="3"/>
    <s v="Y"/>
    <x v="1"/>
    <n v="16"/>
    <n v="3"/>
    <n v="2"/>
    <n v="80"/>
    <n v="1"/>
    <n v="8"/>
    <n v="5"/>
    <n v="3"/>
    <n v="5"/>
    <x v="2"/>
    <n v="2"/>
    <n v="1"/>
    <n v="2"/>
    <x v="3"/>
    <n v="0"/>
  </r>
  <r>
    <n v="37"/>
    <x v="1"/>
    <x v="1"/>
    <x v="0"/>
    <n v="1305"/>
    <x v="1"/>
    <n v="10"/>
    <n v="4"/>
    <s v="Life Sciences"/>
    <n v="1"/>
    <n v="518"/>
    <n v="3"/>
    <x v="1"/>
    <n v="49"/>
    <n v="3"/>
    <n v="2"/>
    <x v="3"/>
    <n v="2"/>
    <s v="Single"/>
    <n v="4197"/>
    <n v="21123"/>
    <n v="2"/>
    <s v="Y"/>
    <x v="0"/>
    <n v="12"/>
    <n v="3"/>
    <n v="4"/>
    <n v="80"/>
    <n v="0"/>
    <n v="18"/>
    <n v="2"/>
    <n v="2"/>
    <n v="1"/>
    <x v="1"/>
    <n v="0"/>
    <n v="0"/>
    <n v="1"/>
    <x v="1"/>
    <n v="0"/>
  </r>
  <r>
    <n v="43"/>
    <x v="0"/>
    <x v="1"/>
    <x v="0"/>
    <n v="982"/>
    <x v="1"/>
    <n v="12"/>
    <n v="3"/>
    <s v="Life Sciences"/>
    <n v="1"/>
    <n v="520"/>
    <n v="1"/>
    <x v="1"/>
    <n v="59"/>
    <n v="2"/>
    <n v="4"/>
    <x v="7"/>
    <n v="2"/>
    <s v="Divorced"/>
    <n v="14336"/>
    <n v="4345"/>
    <n v="1"/>
    <s v="Y"/>
    <x v="1"/>
    <n v="11"/>
    <n v="3"/>
    <n v="3"/>
    <n v="80"/>
    <n v="1"/>
    <n v="25"/>
    <n v="3"/>
    <n v="3"/>
    <n v="25"/>
    <x v="3"/>
    <n v="10"/>
    <n v="3"/>
    <n v="9"/>
    <x v="1"/>
    <n v="0"/>
  </r>
  <r>
    <n v="40"/>
    <x v="1"/>
    <x v="1"/>
    <x v="0"/>
    <n v="555"/>
    <x v="1"/>
    <n v="2"/>
    <n v="3"/>
    <s v="Medical"/>
    <n v="1"/>
    <n v="521"/>
    <n v="2"/>
    <x v="0"/>
    <n v="78"/>
    <n v="2"/>
    <n v="2"/>
    <x v="2"/>
    <n v="3"/>
    <s v="Married"/>
    <n v="3448"/>
    <n v="13436"/>
    <n v="6"/>
    <s v="Y"/>
    <x v="1"/>
    <n v="22"/>
    <n v="4"/>
    <n v="2"/>
    <n v="80"/>
    <n v="1"/>
    <n v="20"/>
    <n v="3"/>
    <n v="3"/>
    <n v="1"/>
    <x v="1"/>
    <n v="0"/>
    <n v="0"/>
    <n v="0"/>
    <x v="2"/>
    <n v="0"/>
  </r>
  <r>
    <n v="54"/>
    <x v="3"/>
    <x v="1"/>
    <x v="0"/>
    <n v="821"/>
    <x v="1"/>
    <n v="5"/>
    <n v="2"/>
    <s v="Medical"/>
    <n v="1"/>
    <n v="522"/>
    <n v="1"/>
    <x v="1"/>
    <n v="86"/>
    <n v="3"/>
    <n v="5"/>
    <x v="7"/>
    <n v="1"/>
    <s v="Married"/>
    <n v="19406"/>
    <n v="8509"/>
    <n v="4"/>
    <s v="Y"/>
    <x v="1"/>
    <n v="11"/>
    <n v="3"/>
    <n v="3"/>
    <n v="80"/>
    <n v="1"/>
    <n v="24"/>
    <n v="4"/>
    <n v="2"/>
    <n v="4"/>
    <x v="2"/>
    <n v="2"/>
    <n v="1"/>
    <n v="2"/>
    <x v="3"/>
    <n v="0"/>
  </r>
  <r>
    <n v="34"/>
    <x v="1"/>
    <x v="1"/>
    <x v="2"/>
    <n v="1381"/>
    <x v="0"/>
    <n v="4"/>
    <n v="4"/>
    <s v="Marketing"/>
    <n v="1"/>
    <n v="523"/>
    <n v="3"/>
    <x v="0"/>
    <n v="72"/>
    <n v="3"/>
    <n v="2"/>
    <x v="0"/>
    <n v="3"/>
    <s v="Married"/>
    <n v="6538"/>
    <n v="12740"/>
    <n v="9"/>
    <s v="Y"/>
    <x v="1"/>
    <n v="15"/>
    <n v="3"/>
    <n v="1"/>
    <n v="80"/>
    <n v="1"/>
    <n v="6"/>
    <n v="3"/>
    <n v="3"/>
    <n v="3"/>
    <x v="2"/>
    <n v="2"/>
    <n v="1"/>
    <n v="2"/>
    <x v="2"/>
    <n v="0"/>
  </r>
  <r>
    <n v="31"/>
    <x v="1"/>
    <x v="1"/>
    <x v="0"/>
    <n v="480"/>
    <x v="1"/>
    <n v="7"/>
    <n v="2"/>
    <s v="Medical"/>
    <n v="1"/>
    <n v="524"/>
    <n v="2"/>
    <x v="0"/>
    <n v="31"/>
    <n v="3"/>
    <n v="2"/>
    <x v="3"/>
    <n v="1"/>
    <s v="Married"/>
    <n v="4306"/>
    <n v="4156"/>
    <n v="1"/>
    <s v="Y"/>
    <x v="1"/>
    <n v="12"/>
    <n v="3"/>
    <n v="2"/>
    <n v="80"/>
    <n v="1"/>
    <n v="13"/>
    <n v="5"/>
    <n v="1"/>
    <n v="13"/>
    <x v="3"/>
    <n v="10"/>
    <n v="3"/>
    <n v="12"/>
    <x v="3"/>
    <n v="0"/>
  </r>
  <r>
    <n v="43"/>
    <x v="0"/>
    <x v="1"/>
    <x v="1"/>
    <n v="313"/>
    <x v="1"/>
    <n v="21"/>
    <n v="3"/>
    <s v="Medical"/>
    <n v="1"/>
    <n v="525"/>
    <n v="4"/>
    <x v="1"/>
    <n v="61"/>
    <n v="3"/>
    <n v="1"/>
    <x v="2"/>
    <n v="4"/>
    <s v="Married"/>
    <n v="2258"/>
    <n v="15238"/>
    <n v="7"/>
    <s v="Y"/>
    <x v="1"/>
    <n v="20"/>
    <n v="4"/>
    <n v="1"/>
    <n v="80"/>
    <n v="1"/>
    <n v="8"/>
    <n v="1"/>
    <n v="3"/>
    <n v="3"/>
    <x v="2"/>
    <n v="2"/>
    <n v="1"/>
    <n v="2"/>
    <x v="0"/>
    <n v="0"/>
  </r>
  <r>
    <n v="43"/>
    <x v="0"/>
    <x v="1"/>
    <x v="0"/>
    <n v="1473"/>
    <x v="1"/>
    <n v="8"/>
    <n v="4"/>
    <s v="Other"/>
    <n v="1"/>
    <n v="526"/>
    <n v="3"/>
    <x v="0"/>
    <n v="74"/>
    <n v="3"/>
    <n v="2"/>
    <x v="4"/>
    <n v="3"/>
    <s v="Divorced"/>
    <n v="4522"/>
    <n v="2227"/>
    <n v="4"/>
    <s v="Y"/>
    <x v="0"/>
    <n v="14"/>
    <n v="3"/>
    <n v="4"/>
    <n v="80"/>
    <n v="0"/>
    <n v="8"/>
    <n v="3"/>
    <n v="3"/>
    <n v="5"/>
    <x v="2"/>
    <n v="2"/>
    <n v="0"/>
    <n v="2"/>
    <x v="2"/>
    <n v="0"/>
  </r>
  <r>
    <n v="25"/>
    <x v="2"/>
    <x v="1"/>
    <x v="0"/>
    <n v="891"/>
    <x v="0"/>
    <n v="4"/>
    <n v="2"/>
    <s v="Life Sciences"/>
    <n v="1"/>
    <n v="527"/>
    <n v="2"/>
    <x v="0"/>
    <n v="99"/>
    <n v="2"/>
    <n v="2"/>
    <x v="0"/>
    <n v="4"/>
    <s v="Single"/>
    <n v="4487"/>
    <n v="12090"/>
    <n v="1"/>
    <s v="Y"/>
    <x v="0"/>
    <n v="11"/>
    <n v="3"/>
    <n v="2"/>
    <n v="80"/>
    <n v="0"/>
    <n v="5"/>
    <n v="3"/>
    <n v="3"/>
    <n v="5"/>
    <x v="2"/>
    <n v="4"/>
    <n v="1"/>
    <n v="3"/>
    <x v="0"/>
    <n v="0"/>
  </r>
  <r>
    <n v="37"/>
    <x v="1"/>
    <x v="1"/>
    <x v="2"/>
    <n v="1063"/>
    <x v="1"/>
    <n v="25"/>
    <n v="5"/>
    <s v="Medical"/>
    <n v="1"/>
    <n v="529"/>
    <n v="2"/>
    <x v="0"/>
    <n v="72"/>
    <n v="3"/>
    <n v="2"/>
    <x v="1"/>
    <n v="3"/>
    <s v="Married"/>
    <n v="4449"/>
    <n v="23866"/>
    <n v="3"/>
    <s v="Y"/>
    <x v="0"/>
    <n v="15"/>
    <n v="3"/>
    <n v="1"/>
    <n v="80"/>
    <n v="2"/>
    <n v="15"/>
    <n v="2"/>
    <n v="3"/>
    <n v="13"/>
    <x v="3"/>
    <n v="11"/>
    <n v="10"/>
    <n v="7"/>
    <x v="2"/>
    <n v="0"/>
  </r>
  <r>
    <n v="31"/>
    <x v="1"/>
    <x v="1"/>
    <x v="0"/>
    <n v="329"/>
    <x v="1"/>
    <n v="1"/>
    <n v="2"/>
    <s v="Life Sciences"/>
    <n v="1"/>
    <n v="530"/>
    <n v="4"/>
    <x v="1"/>
    <n v="98"/>
    <n v="2"/>
    <n v="1"/>
    <x v="2"/>
    <n v="1"/>
    <s v="Married"/>
    <n v="2218"/>
    <n v="16193"/>
    <n v="1"/>
    <s v="Y"/>
    <x v="1"/>
    <n v="12"/>
    <n v="3"/>
    <n v="3"/>
    <n v="80"/>
    <n v="1"/>
    <n v="4"/>
    <n v="3"/>
    <n v="3"/>
    <n v="4"/>
    <x v="2"/>
    <n v="2"/>
    <n v="3"/>
    <n v="2"/>
    <x v="3"/>
    <n v="0"/>
  </r>
  <r>
    <n v="39"/>
    <x v="1"/>
    <x v="1"/>
    <x v="1"/>
    <n v="1218"/>
    <x v="1"/>
    <n v="1"/>
    <n v="1"/>
    <s v="Life Sciences"/>
    <n v="1"/>
    <n v="531"/>
    <n v="2"/>
    <x v="1"/>
    <n v="52"/>
    <n v="3"/>
    <n v="5"/>
    <x v="5"/>
    <n v="3"/>
    <s v="Divorced"/>
    <n v="19197"/>
    <n v="8213"/>
    <n v="1"/>
    <s v="Y"/>
    <x v="0"/>
    <n v="14"/>
    <n v="3"/>
    <n v="3"/>
    <n v="80"/>
    <n v="1"/>
    <n v="21"/>
    <n v="3"/>
    <n v="3"/>
    <n v="21"/>
    <x v="3"/>
    <n v="8"/>
    <n v="1"/>
    <n v="6"/>
    <x v="2"/>
    <n v="0"/>
  </r>
  <r>
    <n v="56"/>
    <x v="3"/>
    <x v="1"/>
    <x v="1"/>
    <n v="906"/>
    <x v="0"/>
    <n v="6"/>
    <n v="3"/>
    <s v="Life Sciences"/>
    <n v="1"/>
    <n v="532"/>
    <n v="3"/>
    <x v="0"/>
    <n v="86"/>
    <n v="4"/>
    <n v="4"/>
    <x v="0"/>
    <n v="1"/>
    <s v="Married"/>
    <n v="13212"/>
    <n v="18256"/>
    <n v="9"/>
    <s v="Y"/>
    <x v="1"/>
    <n v="11"/>
    <n v="3"/>
    <n v="4"/>
    <n v="80"/>
    <n v="3"/>
    <n v="36"/>
    <n v="0"/>
    <n v="2"/>
    <n v="7"/>
    <x v="0"/>
    <n v="7"/>
    <n v="7"/>
    <n v="7"/>
    <x v="3"/>
    <n v="0"/>
  </r>
  <r>
    <n v="30"/>
    <x v="1"/>
    <x v="1"/>
    <x v="0"/>
    <n v="1082"/>
    <x v="0"/>
    <n v="12"/>
    <n v="3"/>
    <s v="Technical Degree"/>
    <n v="1"/>
    <n v="533"/>
    <n v="2"/>
    <x v="0"/>
    <n v="83"/>
    <n v="3"/>
    <n v="2"/>
    <x v="0"/>
    <n v="3"/>
    <s v="Single"/>
    <n v="6577"/>
    <n v="19558"/>
    <n v="0"/>
    <s v="Y"/>
    <x v="1"/>
    <n v="11"/>
    <n v="3"/>
    <n v="2"/>
    <n v="80"/>
    <n v="0"/>
    <n v="6"/>
    <n v="6"/>
    <n v="3"/>
    <n v="5"/>
    <x v="2"/>
    <n v="4"/>
    <n v="4"/>
    <n v="4"/>
    <x v="2"/>
    <n v="0"/>
  </r>
  <r>
    <n v="41"/>
    <x v="0"/>
    <x v="1"/>
    <x v="0"/>
    <n v="645"/>
    <x v="0"/>
    <n v="1"/>
    <n v="3"/>
    <s v="Marketing"/>
    <n v="1"/>
    <n v="534"/>
    <n v="2"/>
    <x v="1"/>
    <n v="49"/>
    <n v="4"/>
    <n v="3"/>
    <x v="0"/>
    <n v="1"/>
    <s v="Married"/>
    <n v="8392"/>
    <n v="19566"/>
    <n v="1"/>
    <s v="Y"/>
    <x v="1"/>
    <n v="16"/>
    <n v="3"/>
    <n v="3"/>
    <n v="80"/>
    <n v="1"/>
    <n v="10"/>
    <n v="2"/>
    <n v="3"/>
    <n v="10"/>
    <x v="0"/>
    <n v="7"/>
    <n v="0"/>
    <n v="7"/>
    <x v="3"/>
    <n v="0"/>
  </r>
  <r>
    <n v="28"/>
    <x v="2"/>
    <x v="1"/>
    <x v="0"/>
    <n v="1300"/>
    <x v="1"/>
    <n v="17"/>
    <n v="2"/>
    <s v="Medical"/>
    <n v="1"/>
    <n v="536"/>
    <n v="3"/>
    <x v="1"/>
    <n v="79"/>
    <n v="3"/>
    <n v="2"/>
    <x v="2"/>
    <n v="1"/>
    <s v="Divorced"/>
    <n v="4558"/>
    <n v="13535"/>
    <n v="1"/>
    <s v="Y"/>
    <x v="1"/>
    <n v="12"/>
    <n v="3"/>
    <n v="4"/>
    <n v="80"/>
    <n v="1"/>
    <n v="10"/>
    <n v="2"/>
    <n v="3"/>
    <n v="10"/>
    <x v="0"/>
    <n v="0"/>
    <n v="1"/>
    <n v="8"/>
    <x v="3"/>
    <n v="0"/>
  </r>
  <r>
    <n v="25"/>
    <x v="2"/>
    <x v="0"/>
    <x v="0"/>
    <n v="688"/>
    <x v="1"/>
    <n v="3"/>
    <n v="3"/>
    <s v="Medical"/>
    <n v="1"/>
    <n v="538"/>
    <n v="1"/>
    <x v="1"/>
    <n v="91"/>
    <n v="3"/>
    <n v="1"/>
    <x v="2"/>
    <n v="1"/>
    <s v="Married"/>
    <n v="4031"/>
    <n v="9396"/>
    <n v="5"/>
    <s v="Y"/>
    <x v="1"/>
    <n v="13"/>
    <n v="3"/>
    <n v="3"/>
    <n v="80"/>
    <n v="1"/>
    <n v="6"/>
    <n v="5"/>
    <n v="3"/>
    <n v="2"/>
    <x v="1"/>
    <n v="2"/>
    <n v="0"/>
    <n v="2"/>
    <x v="3"/>
    <n v="1"/>
  </r>
  <r>
    <n v="52"/>
    <x v="3"/>
    <x v="1"/>
    <x v="0"/>
    <n v="319"/>
    <x v="1"/>
    <n v="3"/>
    <n v="3"/>
    <s v="Medical"/>
    <n v="1"/>
    <n v="543"/>
    <n v="4"/>
    <x v="1"/>
    <n v="39"/>
    <n v="2"/>
    <n v="3"/>
    <x v="3"/>
    <n v="3"/>
    <s v="Married"/>
    <n v="7969"/>
    <n v="19609"/>
    <n v="2"/>
    <s v="Y"/>
    <x v="0"/>
    <n v="14"/>
    <n v="3"/>
    <n v="3"/>
    <n v="80"/>
    <n v="0"/>
    <n v="28"/>
    <n v="4"/>
    <n v="3"/>
    <n v="5"/>
    <x v="2"/>
    <n v="4"/>
    <n v="0"/>
    <n v="4"/>
    <x v="2"/>
    <n v="0"/>
  </r>
  <r>
    <n v="45"/>
    <x v="0"/>
    <x v="1"/>
    <x v="0"/>
    <n v="192"/>
    <x v="1"/>
    <n v="10"/>
    <n v="2"/>
    <s v="Life Sciences"/>
    <n v="1"/>
    <n v="544"/>
    <n v="1"/>
    <x v="1"/>
    <n v="69"/>
    <n v="3"/>
    <n v="1"/>
    <x v="1"/>
    <n v="4"/>
    <s v="Married"/>
    <n v="2654"/>
    <n v="9655"/>
    <n v="3"/>
    <s v="Y"/>
    <x v="1"/>
    <n v="21"/>
    <n v="4"/>
    <n v="4"/>
    <n v="80"/>
    <n v="2"/>
    <n v="8"/>
    <n v="3"/>
    <n v="2"/>
    <n v="2"/>
    <x v="1"/>
    <n v="2"/>
    <n v="0"/>
    <n v="2"/>
    <x v="0"/>
    <n v="0"/>
  </r>
  <r>
    <n v="52"/>
    <x v="3"/>
    <x v="1"/>
    <x v="0"/>
    <n v="1490"/>
    <x v="1"/>
    <n v="4"/>
    <n v="2"/>
    <s v="Life Sciences"/>
    <n v="1"/>
    <n v="546"/>
    <n v="4"/>
    <x v="0"/>
    <n v="30"/>
    <n v="3"/>
    <n v="4"/>
    <x v="5"/>
    <n v="4"/>
    <s v="Married"/>
    <n v="16555"/>
    <n v="10310"/>
    <n v="2"/>
    <s v="Y"/>
    <x v="1"/>
    <n v="13"/>
    <n v="3"/>
    <n v="4"/>
    <n v="80"/>
    <n v="0"/>
    <n v="31"/>
    <n v="2"/>
    <n v="1"/>
    <n v="5"/>
    <x v="2"/>
    <n v="2"/>
    <n v="1"/>
    <n v="4"/>
    <x v="0"/>
    <n v="0"/>
  </r>
  <r>
    <n v="42"/>
    <x v="0"/>
    <x v="1"/>
    <x v="1"/>
    <n v="532"/>
    <x v="1"/>
    <n v="29"/>
    <n v="2"/>
    <s v="Life Sciences"/>
    <n v="1"/>
    <n v="547"/>
    <n v="1"/>
    <x v="0"/>
    <n v="92"/>
    <n v="3"/>
    <n v="2"/>
    <x v="1"/>
    <n v="3"/>
    <s v="Divorced"/>
    <n v="4556"/>
    <n v="12932"/>
    <n v="2"/>
    <s v="Y"/>
    <x v="1"/>
    <n v="11"/>
    <n v="3"/>
    <n v="2"/>
    <n v="80"/>
    <n v="1"/>
    <n v="19"/>
    <n v="3"/>
    <n v="3"/>
    <n v="5"/>
    <x v="2"/>
    <n v="4"/>
    <n v="0"/>
    <n v="2"/>
    <x v="2"/>
    <n v="0"/>
  </r>
  <r>
    <n v="30"/>
    <x v="1"/>
    <x v="1"/>
    <x v="0"/>
    <n v="317"/>
    <x v="1"/>
    <n v="2"/>
    <n v="3"/>
    <s v="Life Sciences"/>
    <n v="1"/>
    <n v="548"/>
    <n v="3"/>
    <x v="0"/>
    <n v="43"/>
    <n v="1"/>
    <n v="2"/>
    <x v="3"/>
    <n v="4"/>
    <s v="Single"/>
    <n v="6091"/>
    <n v="24793"/>
    <n v="2"/>
    <s v="Y"/>
    <x v="1"/>
    <n v="20"/>
    <n v="4"/>
    <n v="3"/>
    <n v="80"/>
    <n v="0"/>
    <n v="11"/>
    <n v="2"/>
    <n v="3"/>
    <n v="5"/>
    <x v="2"/>
    <n v="4"/>
    <n v="0"/>
    <n v="2"/>
    <x v="0"/>
    <n v="0"/>
  </r>
  <r>
    <n v="60"/>
    <x v="3"/>
    <x v="1"/>
    <x v="0"/>
    <n v="422"/>
    <x v="1"/>
    <n v="7"/>
    <n v="3"/>
    <s v="Life Sciences"/>
    <n v="1"/>
    <n v="549"/>
    <n v="1"/>
    <x v="0"/>
    <n v="41"/>
    <n v="3"/>
    <n v="5"/>
    <x v="5"/>
    <n v="1"/>
    <s v="Married"/>
    <n v="19566"/>
    <n v="3854"/>
    <n v="5"/>
    <s v="Y"/>
    <x v="1"/>
    <n v="11"/>
    <n v="3"/>
    <n v="4"/>
    <n v="80"/>
    <n v="0"/>
    <n v="33"/>
    <n v="5"/>
    <n v="1"/>
    <n v="29"/>
    <x v="3"/>
    <n v="8"/>
    <n v="11"/>
    <n v="10"/>
    <x v="3"/>
    <n v="0"/>
  </r>
  <r>
    <n v="46"/>
    <x v="0"/>
    <x v="1"/>
    <x v="0"/>
    <n v="1485"/>
    <x v="1"/>
    <n v="18"/>
    <n v="3"/>
    <s v="Medical"/>
    <n v="1"/>
    <n v="550"/>
    <n v="3"/>
    <x v="0"/>
    <n v="87"/>
    <n v="3"/>
    <n v="2"/>
    <x v="3"/>
    <n v="3"/>
    <s v="Divorced"/>
    <n v="4810"/>
    <n v="26314"/>
    <n v="2"/>
    <s v="Y"/>
    <x v="1"/>
    <n v="14"/>
    <n v="3"/>
    <n v="3"/>
    <n v="80"/>
    <n v="1"/>
    <n v="19"/>
    <n v="5"/>
    <n v="2"/>
    <n v="10"/>
    <x v="0"/>
    <n v="7"/>
    <n v="0"/>
    <n v="8"/>
    <x v="2"/>
    <n v="0"/>
  </r>
  <r>
    <n v="42"/>
    <x v="0"/>
    <x v="1"/>
    <x v="1"/>
    <n v="1368"/>
    <x v="1"/>
    <n v="28"/>
    <n v="4"/>
    <s v="Technical Degree"/>
    <n v="1"/>
    <n v="551"/>
    <n v="4"/>
    <x v="0"/>
    <n v="88"/>
    <n v="2"/>
    <n v="2"/>
    <x v="4"/>
    <n v="4"/>
    <s v="Married"/>
    <n v="4523"/>
    <n v="4386"/>
    <n v="0"/>
    <s v="Y"/>
    <x v="1"/>
    <n v="11"/>
    <n v="3"/>
    <n v="4"/>
    <n v="80"/>
    <n v="3"/>
    <n v="7"/>
    <n v="4"/>
    <n v="4"/>
    <n v="6"/>
    <x v="0"/>
    <n v="5"/>
    <n v="0"/>
    <n v="4"/>
    <x v="0"/>
    <n v="0"/>
  </r>
  <r>
    <n v="24"/>
    <x v="2"/>
    <x v="0"/>
    <x v="0"/>
    <n v="1448"/>
    <x v="0"/>
    <n v="1"/>
    <n v="1"/>
    <s v="Technical Degree"/>
    <n v="1"/>
    <n v="554"/>
    <n v="1"/>
    <x v="0"/>
    <n v="62"/>
    <n v="3"/>
    <n v="1"/>
    <x v="6"/>
    <n v="2"/>
    <s v="Single"/>
    <n v="3202"/>
    <n v="21972"/>
    <n v="1"/>
    <s v="Y"/>
    <x v="0"/>
    <n v="16"/>
    <n v="3"/>
    <n v="2"/>
    <n v="80"/>
    <n v="0"/>
    <n v="6"/>
    <n v="4"/>
    <n v="3"/>
    <n v="5"/>
    <x v="2"/>
    <n v="3"/>
    <n v="1"/>
    <n v="4"/>
    <x v="1"/>
    <n v="1"/>
  </r>
  <r>
    <n v="34"/>
    <x v="1"/>
    <x v="0"/>
    <x v="1"/>
    <n v="296"/>
    <x v="0"/>
    <n v="6"/>
    <n v="2"/>
    <s v="Marketing"/>
    <n v="1"/>
    <n v="555"/>
    <n v="4"/>
    <x v="0"/>
    <n v="33"/>
    <n v="1"/>
    <n v="1"/>
    <x v="6"/>
    <n v="3"/>
    <s v="Divorced"/>
    <n v="2351"/>
    <n v="12253"/>
    <n v="0"/>
    <s v="Y"/>
    <x v="1"/>
    <n v="16"/>
    <n v="3"/>
    <n v="4"/>
    <n v="80"/>
    <n v="1"/>
    <n v="3"/>
    <n v="3"/>
    <n v="2"/>
    <n v="2"/>
    <x v="1"/>
    <n v="2"/>
    <n v="1"/>
    <n v="0"/>
    <x v="2"/>
    <n v="1"/>
  </r>
  <r>
    <n v="38"/>
    <x v="1"/>
    <x v="1"/>
    <x v="1"/>
    <n v="1490"/>
    <x v="1"/>
    <n v="2"/>
    <n v="2"/>
    <s v="Life Sciences"/>
    <n v="1"/>
    <n v="556"/>
    <n v="4"/>
    <x v="1"/>
    <n v="42"/>
    <n v="3"/>
    <n v="1"/>
    <x v="2"/>
    <n v="4"/>
    <s v="Married"/>
    <n v="1702"/>
    <n v="12106"/>
    <n v="1"/>
    <s v="Y"/>
    <x v="0"/>
    <n v="23"/>
    <n v="4"/>
    <n v="3"/>
    <n v="80"/>
    <n v="1"/>
    <n v="1"/>
    <n v="3"/>
    <n v="3"/>
    <n v="1"/>
    <x v="1"/>
    <n v="0"/>
    <n v="0"/>
    <n v="0"/>
    <x v="0"/>
    <n v="0"/>
  </r>
  <r>
    <n v="40"/>
    <x v="1"/>
    <x v="1"/>
    <x v="0"/>
    <n v="1398"/>
    <x v="0"/>
    <n v="2"/>
    <n v="4"/>
    <s v="Life Sciences"/>
    <n v="1"/>
    <n v="558"/>
    <n v="3"/>
    <x v="0"/>
    <n v="79"/>
    <n v="3"/>
    <n v="5"/>
    <x v="5"/>
    <n v="3"/>
    <s v="Married"/>
    <n v="18041"/>
    <n v="13022"/>
    <n v="0"/>
    <s v="Y"/>
    <x v="1"/>
    <n v="14"/>
    <n v="3"/>
    <n v="4"/>
    <n v="80"/>
    <n v="0"/>
    <n v="21"/>
    <n v="2"/>
    <n v="3"/>
    <n v="20"/>
    <x v="3"/>
    <n v="15"/>
    <n v="1"/>
    <n v="12"/>
    <x v="2"/>
    <n v="0"/>
  </r>
  <r>
    <n v="26"/>
    <x v="2"/>
    <x v="1"/>
    <x v="0"/>
    <n v="1349"/>
    <x v="1"/>
    <n v="23"/>
    <n v="3"/>
    <s v="Life Sciences"/>
    <n v="1"/>
    <n v="560"/>
    <n v="1"/>
    <x v="0"/>
    <n v="90"/>
    <n v="3"/>
    <n v="1"/>
    <x v="1"/>
    <n v="4"/>
    <s v="Divorced"/>
    <n v="2886"/>
    <n v="3032"/>
    <n v="1"/>
    <s v="Y"/>
    <x v="1"/>
    <n v="22"/>
    <n v="4"/>
    <n v="2"/>
    <n v="80"/>
    <n v="2"/>
    <n v="3"/>
    <n v="3"/>
    <n v="1"/>
    <n v="3"/>
    <x v="2"/>
    <n v="2"/>
    <n v="0"/>
    <n v="2"/>
    <x v="0"/>
    <n v="0"/>
  </r>
  <r>
    <n v="30"/>
    <x v="1"/>
    <x v="1"/>
    <x v="2"/>
    <n v="1400"/>
    <x v="1"/>
    <n v="3"/>
    <n v="3"/>
    <s v="Life Sciences"/>
    <n v="1"/>
    <n v="562"/>
    <n v="3"/>
    <x v="1"/>
    <n v="53"/>
    <n v="3"/>
    <n v="1"/>
    <x v="2"/>
    <n v="4"/>
    <s v="Married"/>
    <n v="2097"/>
    <n v="16734"/>
    <n v="4"/>
    <s v="Y"/>
    <x v="1"/>
    <n v="15"/>
    <n v="3"/>
    <n v="3"/>
    <n v="80"/>
    <n v="1"/>
    <n v="9"/>
    <n v="3"/>
    <n v="1"/>
    <n v="5"/>
    <x v="2"/>
    <n v="3"/>
    <n v="1"/>
    <n v="4"/>
    <x v="0"/>
    <n v="0"/>
  </r>
  <r>
    <n v="29"/>
    <x v="2"/>
    <x v="1"/>
    <x v="0"/>
    <n v="986"/>
    <x v="1"/>
    <n v="3"/>
    <n v="4"/>
    <s v="Medical"/>
    <n v="1"/>
    <n v="564"/>
    <n v="2"/>
    <x v="1"/>
    <n v="93"/>
    <n v="2"/>
    <n v="3"/>
    <x v="7"/>
    <n v="3"/>
    <s v="Married"/>
    <n v="11935"/>
    <n v="21526"/>
    <n v="1"/>
    <s v="Y"/>
    <x v="1"/>
    <n v="18"/>
    <n v="3"/>
    <n v="3"/>
    <n v="80"/>
    <n v="0"/>
    <n v="10"/>
    <n v="2"/>
    <n v="3"/>
    <n v="10"/>
    <x v="0"/>
    <n v="2"/>
    <n v="0"/>
    <n v="7"/>
    <x v="2"/>
    <n v="0"/>
  </r>
  <r>
    <n v="29"/>
    <x v="2"/>
    <x v="0"/>
    <x v="0"/>
    <n v="408"/>
    <x v="1"/>
    <n v="25"/>
    <n v="5"/>
    <s v="Technical Degree"/>
    <n v="1"/>
    <n v="565"/>
    <n v="3"/>
    <x v="0"/>
    <n v="71"/>
    <n v="2"/>
    <n v="1"/>
    <x v="1"/>
    <n v="2"/>
    <s v="Married"/>
    <n v="2546"/>
    <n v="18300"/>
    <n v="5"/>
    <s v="Y"/>
    <x v="1"/>
    <n v="16"/>
    <n v="3"/>
    <n v="2"/>
    <n v="80"/>
    <n v="0"/>
    <n v="6"/>
    <n v="2"/>
    <n v="4"/>
    <n v="2"/>
    <x v="1"/>
    <n v="2"/>
    <n v="1"/>
    <n v="1"/>
    <x v="1"/>
    <n v="1"/>
  </r>
  <r>
    <n v="19"/>
    <x v="2"/>
    <x v="0"/>
    <x v="0"/>
    <n v="489"/>
    <x v="2"/>
    <n v="2"/>
    <n v="2"/>
    <s v="Technical Degree"/>
    <n v="1"/>
    <n v="566"/>
    <n v="1"/>
    <x v="1"/>
    <n v="52"/>
    <n v="2"/>
    <n v="1"/>
    <x v="8"/>
    <n v="4"/>
    <s v="Single"/>
    <n v="2564"/>
    <n v="18437"/>
    <n v="1"/>
    <s v="Y"/>
    <x v="1"/>
    <n v="12"/>
    <n v="3"/>
    <n v="3"/>
    <n v="80"/>
    <n v="0"/>
    <n v="1"/>
    <n v="3"/>
    <n v="4"/>
    <n v="1"/>
    <x v="1"/>
    <n v="0"/>
    <n v="0"/>
    <n v="0"/>
    <x v="0"/>
    <n v="1"/>
  </r>
  <r>
    <n v="30"/>
    <x v="1"/>
    <x v="1"/>
    <x v="2"/>
    <n v="1398"/>
    <x v="0"/>
    <n v="22"/>
    <n v="4"/>
    <s v="Other"/>
    <n v="1"/>
    <n v="567"/>
    <n v="3"/>
    <x v="0"/>
    <n v="69"/>
    <n v="3"/>
    <n v="3"/>
    <x v="0"/>
    <n v="1"/>
    <s v="Married"/>
    <n v="8412"/>
    <n v="2890"/>
    <n v="0"/>
    <s v="Y"/>
    <x v="1"/>
    <n v="11"/>
    <n v="3"/>
    <n v="3"/>
    <n v="80"/>
    <n v="0"/>
    <n v="10"/>
    <n v="3"/>
    <n v="3"/>
    <n v="9"/>
    <x v="0"/>
    <n v="8"/>
    <n v="7"/>
    <n v="8"/>
    <x v="3"/>
    <n v="0"/>
  </r>
  <r>
    <n v="57"/>
    <x v="3"/>
    <x v="1"/>
    <x v="0"/>
    <n v="210"/>
    <x v="0"/>
    <n v="29"/>
    <n v="3"/>
    <s v="Marketing"/>
    <n v="1"/>
    <n v="568"/>
    <n v="1"/>
    <x v="1"/>
    <n v="56"/>
    <n v="2"/>
    <n v="4"/>
    <x v="5"/>
    <n v="4"/>
    <s v="Divorced"/>
    <n v="14118"/>
    <n v="22102"/>
    <n v="3"/>
    <s v="Y"/>
    <x v="1"/>
    <n v="12"/>
    <n v="3"/>
    <n v="3"/>
    <n v="80"/>
    <n v="1"/>
    <n v="32"/>
    <n v="3"/>
    <n v="2"/>
    <n v="1"/>
    <x v="1"/>
    <n v="0"/>
    <n v="0"/>
    <n v="0"/>
    <x v="0"/>
    <n v="0"/>
  </r>
  <r>
    <n v="50"/>
    <x v="0"/>
    <x v="1"/>
    <x v="0"/>
    <n v="1099"/>
    <x v="1"/>
    <n v="29"/>
    <n v="4"/>
    <s v="Life Sciences"/>
    <n v="1"/>
    <n v="569"/>
    <n v="2"/>
    <x v="1"/>
    <n v="88"/>
    <n v="2"/>
    <n v="4"/>
    <x v="5"/>
    <n v="3"/>
    <s v="Married"/>
    <n v="17046"/>
    <n v="9314"/>
    <n v="0"/>
    <s v="Y"/>
    <x v="1"/>
    <n v="15"/>
    <n v="3"/>
    <n v="2"/>
    <n v="80"/>
    <n v="1"/>
    <n v="28"/>
    <n v="2"/>
    <n v="3"/>
    <n v="27"/>
    <x v="3"/>
    <n v="10"/>
    <n v="15"/>
    <n v="7"/>
    <x v="2"/>
    <n v="0"/>
  </r>
  <r>
    <n v="30"/>
    <x v="1"/>
    <x v="1"/>
    <x v="2"/>
    <n v="1116"/>
    <x v="1"/>
    <n v="2"/>
    <n v="3"/>
    <s v="Medical"/>
    <n v="1"/>
    <n v="571"/>
    <n v="3"/>
    <x v="0"/>
    <n v="49"/>
    <n v="3"/>
    <n v="1"/>
    <x v="2"/>
    <n v="4"/>
    <s v="Single"/>
    <n v="2564"/>
    <n v="7181"/>
    <n v="0"/>
    <s v="Y"/>
    <x v="1"/>
    <n v="14"/>
    <n v="3"/>
    <n v="3"/>
    <n v="80"/>
    <n v="0"/>
    <n v="12"/>
    <n v="2"/>
    <n v="2"/>
    <n v="11"/>
    <x v="3"/>
    <n v="7"/>
    <n v="6"/>
    <n v="7"/>
    <x v="0"/>
    <n v="0"/>
  </r>
  <r>
    <n v="60"/>
    <x v="3"/>
    <x v="1"/>
    <x v="1"/>
    <n v="1499"/>
    <x v="0"/>
    <n v="28"/>
    <n v="3"/>
    <s v="Marketing"/>
    <n v="1"/>
    <n v="573"/>
    <n v="3"/>
    <x v="0"/>
    <n v="80"/>
    <n v="2"/>
    <n v="3"/>
    <x v="0"/>
    <n v="1"/>
    <s v="Married"/>
    <n v="10266"/>
    <n v="2845"/>
    <n v="4"/>
    <s v="Y"/>
    <x v="1"/>
    <n v="19"/>
    <n v="3"/>
    <n v="4"/>
    <n v="80"/>
    <n v="0"/>
    <n v="22"/>
    <n v="5"/>
    <n v="4"/>
    <n v="18"/>
    <x v="3"/>
    <n v="13"/>
    <n v="13"/>
    <n v="11"/>
    <x v="3"/>
    <n v="0"/>
  </r>
  <r>
    <n v="47"/>
    <x v="0"/>
    <x v="1"/>
    <x v="0"/>
    <n v="983"/>
    <x v="1"/>
    <n v="2"/>
    <n v="2"/>
    <s v="Medical"/>
    <n v="1"/>
    <n v="574"/>
    <n v="1"/>
    <x v="0"/>
    <n v="65"/>
    <n v="3"/>
    <n v="2"/>
    <x v="3"/>
    <n v="4"/>
    <s v="Divorced"/>
    <n v="5070"/>
    <n v="7389"/>
    <n v="5"/>
    <s v="Y"/>
    <x v="1"/>
    <n v="13"/>
    <n v="3"/>
    <n v="3"/>
    <n v="80"/>
    <n v="3"/>
    <n v="20"/>
    <n v="2"/>
    <n v="3"/>
    <n v="5"/>
    <x v="2"/>
    <n v="0"/>
    <n v="0"/>
    <n v="4"/>
    <x v="0"/>
    <n v="0"/>
  </r>
  <r>
    <n v="46"/>
    <x v="0"/>
    <x v="1"/>
    <x v="0"/>
    <n v="1009"/>
    <x v="1"/>
    <n v="2"/>
    <n v="3"/>
    <s v="Life Sciences"/>
    <n v="1"/>
    <n v="575"/>
    <n v="1"/>
    <x v="1"/>
    <n v="51"/>
    <n v="3"/>
    <n v="4"/>
    <x v="7"/>
    <n v="3"/>
    <s v="Married"/>
    <n v="17861"/>
    <n v="2288"/>
    <n v="6"/>
    <s v="Y"/>
    <x v="1"/>
    <n v="13"/>
    <n v="3"/>
    <n v="3"/>
    <n v="80"/>
    <n v="0"/>
    <n v="26"/>
    <n v="2"/>
    <n v="1"/>
    <n v="3"/>
    <x v="2"/>
    <n v="2"/>
    <n v="0"/>
    <n v="1"/>
    <x v="2"/>
    <n v="0"/>
  </r>
  <r>
    <n v="35"/>
    <x v="1"/>
    <x v="1"/>
    <x v="0"/>
    <n v="144"/>
    <x v="1"/>
    <n v="22"/>
    <n v="3"/>
    <s v="Life Sciences"/>
    <n v="1"/>
    <n v="577"/>
    <n v="4"/>
    <x v="1"/>
    <n v="46"/>
    <n v="1"/>
    <n v="1"/>
    <x v="2"/>
    <n v="3"/>
    <s v="Single"/>
    <n v="4230"/>
    <n v="19225"/>
    <n v="0"/>
    <s v="Y"/>
    <x v="1"/>
    <n v="15"/>
    <n v="3"/>
    <n v="3"/>
    <n v="80"/>
    <n v="0"/>
    <n v="6"/>
    <n v="2"/>
    <n v="3"/>
    <n v="5"/>
    <x v="2"/>
    <n v="4"/>
    <n v="4"/>
    <n v="3"/>
    <x v="2"/>
    <n v="0"/>
  </r>
  <r>
    <n v="54"/>
    <x v="3"/>
    <x v="1"/>
    <x v="0"/>
    <n v="548"/>
    <x v="1"/>
    <n v="8"/>
    <n v="4"/>
    <s v="Life Sciences"/>
    <n v="1"/>
    <n v="578"/>
    <n v="3"/>
    <x v="0"/>
    <n v="42"/>
    <n v="3"/>
    <n v="2"/>
    <x v="2"/>
    <n v="3"/>
    <s v="Single"/>
    <n v="3780"/>
    <n v="23428"/>
    <n v="7"/>
    <s v="Y"/>
    <x v="1"/>
    <n v="11"/>
    <n v="3"/>
    <n v="3"/>
    <n v="80"/>
    <n v="0"/>
    <n v="19"/>
    <n v="3"/>
    <n v="3"/>
    <n v="1"/>
    <x v="1"/>
    <n v="0"/>
    <n v="0"/>
    <n v="0"/>
    <x v="2"/>
    <n v="0"/>
  </r>
  <r>
    <n v="34"/>
    <x v="1"/>
    <x v="1"/>
    <x v="0"/>
    <n v="1303"/>
    <x v="1"/>
    <n v="2"/>
    <n v="4"/>
    <s v="Life Sciences"/>
    <n v="1"/>
    <n v="579"/>
    <n v="4"/>
    <x v="1"/>
    <n v="62"/>
    <n v="2"/>
    <n v="1"/>
    <x v="1"/>
    <n v="3"/>
    <s v="Divorced"/>
    <n v="2768"/>
    <n v="8416"/>
    <n v="3"/>
    <s v="Y"/>
    <x v="1"/>
    <n v="12"/>
    <n v="3"/>
    <n v="3"/>
    <n v="80"/>
    <n v="1"/>
    <n v="14"/>
    <n v="3"/>
    <n v="3"/>
    <n v="7"/>
    <x v="0"/>
    <n v="3"/>
    <n v="5"/>
    <n v="7"/>
    <x v="2"/>
    <n v="0"/>
  </r>
  <r>
    <n v="46"/>
    <x v="0"/>
    <x v="1"/>
    <x v="0"/>
    <n v="1125"/>
    <x v="0"/>
    <n v="10"/>
    <n v="3"/>
    <s v="Marketing"/>
    <n v="1"/>
    <n v="580"/>
    <n v="3"/>
    <x v="0"/>
    <n v="94"/>
    <n v="2"/>
    <n v="3"/>
    <x v="0"/>
    <n v="4"/>
    <s v="Married"/>
    <n v="9071"/>
    <n v="11563"/>
    <n v="2"/>
    <s v="Y"/>
    <x v="0"/>
    <n v="19"/>
    <n v="3"/>
    <n v="3"/>
    <n v="80"/>
    <n v="1"/>
    <n v="15"/>
    <n v="3"/>
    <n v="3"/>
    <n v="3"/>
    <x v="2"/>
    <n v="2"/>
    <n v="1"/>
    <n v="2"/>
    <x v="0"/>
    <n v="0"/>
  </r>
  <r>
    <n v="31"/>
    <x v="1"/>
    <x v="1"/>
    <x v="0"/>
    <n v="1274"/>
    <x v="1"/>
    <n v="9"/>
    <n v="1"/>
    <s v="Life Sciences"/>
    <n v="1"/>
    <n v="581"/>
    <n v="3"/>
    <x v="1"/>
    <n v="33"/>
    <n v="3"/>
    <n v="3"/>
    <x v="3"/>
    <n v="2"/>
    <s v="Divorced"/>
    <n v="10648"/>
    <n v="14394"/>
    <n v="1"/>
    <s v="Y"/>
    <x v="1"/>
    <n v="25"/>
    <n v="4"/>
    <n v="4"/>
    <n v="80"/>
    <n v="1"/>
    <n v="13"/>
    <n v="6"/>
    <n v="4"/>
    <n v="13"/>
    <x v="3"/>
    <n v="8"/>
    <n v="0"/>
    <n v="8"/>
    <x v="1"/>
    <n v="0"/>
  </r>
  <r>
    <n v="33"/>
    <x v="1"/>
    <x v="0"/>
    <x v="0"/>
    <n v="1277"/>
    <x v="1"/>
    <n v="15"/>
    <n v="1"/>
    <s v="Medical"/>
    <n v="1"/>
    <n v="582"/>
    <n v="2"/>
    <x v="1"/>
    <n v="56"/>
    <n v="3"/>
    <n v="3"/>
    <x v="5"/>
    <n v="3"/>
    <s v="Married"/>
    <n v="13610"/>
    <n v="24619"/>
    <n v="7"/>
    <s v="Y"/>
    <x v="0"/>
    <n v="12"/>
    <n v="3"/>
    <n v="4"/>
    <n v="80"/>
    <n v="0"/>
    <n v="15"/>
    <n v="2"/>
    <n v="4"/>
    <n v="7"/>
    <x v="0"/>
    <n v="6"/>
    <n v="7"/>
    <n v="7"/>
    <x v="2"/>
    <n v="1"/>
  </r>
  <r>
    <n v="33"/>
    <x v="1"/>
    <x v="0"/>
    <x v="0"/>
    <n v="587"/>
    <x v="1"/>
    <n v="10"/>
    <n v="1"/>
    <s v="Medical"/>
    <n v="1"/>
    <n v="584"/>
    <n v="1"/>
    <x v="1"/>
    <n v="38"/>
    <n v="1"/>
    <n v="1"/>
    <x v="2"/>
    <n v="4"/>
    <s v="Divorced"/>
    <n v="3408"/>
    <n v="6705"/>
    <n v="7"/>
    <s v="Y"/>
    <x v="1"/>
    <n v="13"/>
    <n v="3"/>
    <n v="1"/>
    <n v="80"/>
    <n v="3"/>
    <n v="8"/>
    <n v="2"/>
    <n v="3"/>
    <n v="4"/>
    <x v="2"/>
    <n v="3"/>
    <n v="1"/>
    <n v="3"/>
    <x v="0"/>
    <n v="1"/>
  </r>
  <r>
    <n v="30"/>
    <x v="1"/>
    <x v="1"/>
    <x v="0"/>
    <n v="413"/>
    <x v="0"/>
    <n v="7"/>
    <n v="1"/>
    <s v="Marketing"/>
    <n v="1"/>
    <n v="585"/>
    <n v="4"/>
    <x v="1"/>
    <n v="57"/>
    <n v="3"/>
    <n v="1"/>
    <x v="6"/>
    <n v="2"/>
    <s v="Single"/>
    <n v="2983"/>
    <n v="18398"/>
    <n v="0"/>
    <s v="Y"/>
    <x v="1"/>
    <n v="14"/>
    <n v="3"/>
    <n v="1"/>
    <n v="80"/>
    <n v="0"/>
    <n v="4"/>
    <n v="3"/>
    <n v="3"/>
    <n v="3"/>
    <x v="2"/>
    <n v="2"/>
    <n v="1"/>
    <n v="2"/>
    <x v="1"/>
    <n v="0"/>
  </r>
  <r>
    <n v="35"/>
    <x v="1"/>
    <x v="1"/>
    <x v="0"/>
    <n v="1276"/>
    <x v="1"/>
    <n v="16"/>
    <n v="3"/>
    <s v="Life Sciences"/>
    <n v="1"/>
    <n v="586"/>
    <n v="4"/>
    <x v="1"/>
    <n v="72"/>
    <n v="3"/>
    <n v="3"/>
    <x v="4"/>
    <n v="3"/>
    <s v="Married"/>
    <n v="7632"/>
    <n v="14295"/>
    <n v="4"/>
    <s v="Y"/>
    <x v="0"/>
    <n v="12"/>
    <n v="3"/>
    <n v="3"/>
    <n v="80"/>
    <n v="0"/>
    <n v="10"/>
    <n v="2"/>
    <n v="3"/>
    <n v="8"/>
    <x v="0"/>
    <n v="7"/>
    <n v="0"/>
    <n v="0"/>
    <x v="2"/>
    <n v="0"/>
  </r>
  <r>
    <n v="31"/>
    <x v="1"/>
    <x v="0"/>
    <x v="1"/>
    <n v="534"/>
    <x v="1"/>
    <n v="20"/>
    <n v="3"/>
    <s v="Life Sciences"/>
    <n v="1"/>
    <n v="587"/>
    <n v="1"/>
    <x v="1"/>
    <n v="66"/>
    <n v="3"/>
    <n v="3"/>
    <x v="4"/>
    <n v="3"/>
    <s v="Married"/>
    <n v="9824"/>
    <n v="22908"/>
    <n v="3"/>
    <s v="Y"/>
    <x v="1"/>
    <n v="12"/>
    <n v="3"/>
    <n v="1"/>
    <n v="80"/>
    <n v="0"/>
    <n v="12"/>
    <n v="2"/>
    <n v="3"/>
    <n v="1"/>
    <x v="1"/>
    <n v="0"/>
    <n v="0"/>
    <n v="0"/>
    <x v="2"/>
    <n v="1"/>
  </r>
  <r>
    <n v="34"/>
    <x v="1"/>
    <x v="0"/>
    <x v="1"/>
    <n v="988"/>
    <x v="2"/>
    <n v="23"/>
    <n v="3"/>
    <s v="Human Resources"/>
    <n v="1"/>
    <n v="590"/>
    <n v="2"/>
    <x v="0"/>
    <n v="43"/>
    <n v="3"/>
    <n v="3"/>
    <x v="8"/>
    <n v="1"/>
    <s v="Divorced"/>
    <n v="9950"/>
    <n v="11533"/>
    <n v="9"/>
    <s v="Y"/>
    <x v="0"/>
    <n v="15"/>
    <n v="3"/>
    <n v="3"/>
    <n v="80"/>
    <n v="3"/>
    <n v="11"/>
    <n v="2"/>
    <n v="3"/>
    <n v="3"/>
    <x v="2"/>
    <n v="2"/>
    <n v="0"/>
    <n v="2"/>
    <x v="3"/>
    <n v="1"/>
  </r>
  <r>
    <n v="42"/>
    <x v="0"/>
    <x v="1"/>
    <x v="1"/>
    <n v="1474"/>
    <x v="1"/>
    <n v="5"/>
    <n v="2"/>
    <s v="Other"/>
    <n v="1"/>
    <n v="591"/>
    <n v="2"/>
    <x v="1"/>
    <n v="97"/>
    <n v="3"/>
    <n v="1"/>
    <x v="2"/>
    <n v="3"/>
    <s v="Married"/>
    <n v="2093"/>
    <n v="9260"/>
    <n v="4"/>
    <s v="Y"/>
    <x v="1"/>
    <n v="17"/>
    <n v="3"/>
    <n v="4"/>
    <n v="80"/>
    <n v="1"/>
    <n v="8"/>
    <n v="4"/>
    <n v="3"/>
    <n v="2"/>
    <x v="1"/>
    <n v="2"/>
    <n v="2"/>
    <n v="0"/>
    <x v="2"/>
    <n v="0"/>
  </r>
  <r>
    <n v="36"/>
    <x v="1"/>
    <x v="1"/>
    <x v="2"/>
    <n v="635"/>
    <x v="0"/>
    <n v="10"/>
    <n v="4"/>
    <s v="Medical"/>
    <n v="1"/>
    <n v="592"/>
    <n v="2"/>
    <x v="1"/>
    <n v="32"/>
    <n v="3"/>
    <n v="3"/>
    <x v="0"/>
    <n v="4"/>
    <s v="Single"/>
    <n v="9980"/>
    <n v="15318"/>
    <n v="1"/>
    <s v="Y"/>
    <x v="1"/>
    <n v="14"/>
    <n v="3"/>
    <n v="4"/>
    <n v="80"/>
    <n v="0"/>
    <n v="10"/>
    <n v="3"/>
    <n v="2"/>
    <n v="10"/>
    <x v="0"/>
    <n v="3"/>
    <n v="9"/>
    <n v="7"/>
    <x v="0"/>
    <n v="0"/>
  </r>
  <r>
    <n v="22"/>
    <x v="2"/>
    <x v="0"/>
    <x v="1"/>
    <n v="1368"/>
    <x v="1"/>
    <n v="4"/>
    <n v="1"/>
    <s v="Technical Degree"/>
    <n v="1"/>
    <n v="593"/>
    <n v="3"/>
    <x v="1"/>
    <n v="99"/>
    <n v="2"/>
    <n v="1"/>
    <x v="2"/>
    <n v="3"/>
    <s v="Single"/>
    <n v="3894"/>
    <n v="9129"/>
    <n v="5"/>
    <s v="Y"/>
    <x v="1"/>
    <n v="16"/>
    <n v="3"/>
    <n v="3"/>
    <n v="80"/>
    <n v="0"/>
    <n v="4"/>
    <n v="3"/>
    <n v="3"/>
    <n v="2"/>
    <x v="1"/>
    <n v="2"/>
    <n v="1"/>
    <n v="2"/>
    <x v="2"/>
    <n v="1"/>
  </r>
  <r>
    <n v="48"/>
    <x v="0"/>
    <x v="1"/>
    <x v="0"/>
    <n v="163"/>
    <x v="0"/>
    <n v="2"/>
    <n v="5"/>
    <s v="Marketing"/>
    <n v="1"/>
    <n v="595"/>
    <n v="2"/>
    <x v="0"/>
    <n v="37"/>
    <n v="3"/>
    <n v="2"/>
    <x v="0"/>
    <n v="4"/>
    <s v="Married"/>
    <n v="4051"/>
    <n v="19658"/>
    <n v="2"/>
    <s v="Y"/>
    <x v="1"/>
    <n v="14"/>
    <n v="3"/>
    <n v="1"/>
    <n v="80"/>
    <n v="1"/>
    <n v="14"/>
    <n v="2"/>
    <n v="3"/>
    <n v="9"/>
    <x v="0"/>
    <n v="7"/>
    <n v="6"/>
    <n v="7"/>
    <x v="0"/>
    <n v="0"/>
  </r>
  <r>
    <n v="55"/>
    <x v="3"/>
    <x v="1"/>
    <x v="0"/>
    <n v="1117"/>
    <x v="0"/>
    <n v="18"/>
    <n v="5"/>
    <s v="Life Sciences"/>
    <n v="1"/>
    <n v="597"/>
    <n v="1"/>
    <x v="0"/>
    <n v="83"/>
    <n v="3"/>
    <n v="4"/>
    <x v="5"/>
    <n v="2"/>
    <s v="Single"/>
    <n v="16835"/>
    <n v="9873"/>
    <n v="3"/>
    <s v="Y"/>
    <x v="1"/>
    <n v="23"/>
    <n v="4"/>
    <n v="4"/>
    <n v="80"/>
    <n v="0"/>
    <n v="37"/>
    <n v="2"/>
    <n v="3"/>
    <n v="10"/>
    <x v="0"/>
    <n v="9"/>
    <n v="7"/>
    <n v="7"/>
    <x v="1"/>
    <n v="0"/>
  </r>
  <r>
    <n v="41"/>
    <x v="0"/>
    <x v="1"/>
    <x v="2"/>
    <n v="267"/>
    <x v="0"/>
    <n v="10"/>
    <n v="2"/>
    <s v="Life Sciences"/>
    <n v="1"/>
    <n v="599"/>
    <n v="4"/>
    <x v="1"/>
    <n v="56"/>
    <n v="3"/>
    <n v="2"/>
    <x v="0"/>
    <n v="4"/>
    <s v="Single"/>
    <n v="6230"/>
    <n v="13430"/>
    <n v="7"/>
    <s v="Y"/>
    <x v="1"/>
    <n v="14"/>
    <n v="3"/>
    <n v="4"/>
    <n v="80"/>
    <n v="0"/>
    <n v="16"/>
    <n v="3"/>
    <n v="3"/>
    <n v="14"/>
    <x v="3"/>
    <n v="3"/>
    <n v="1"/>
    <n v="10"/>
    <x v="0"/>
    <n v="0"/>
  </r>
  <r>
    <n v="35"/>
    <x v="1"/>
    <x v="1"/>
    <x v="0"/>
    <n v="619"/>
    <x v="0"/>
    <n v="1"/>
    <n v="3"/>
    <s v="Marketing"/>
    <n v="1"/>
    <n v="600"/>
    <n v="2"/>
    <x v="1"/>
    <n v="85"/>
    <n v="3"/>
    <n v="2"/>
    <x v="0"/>
    <n v="3"/>
    <s v="Married"/>
    <n v="4717"/>
    <n v="18659"/>
    <n v="9"/>
    <s v="Y"/>
    <x v="1"/>
    <n v="11"/>
    <n v="3"/>
    <n v="3"/>
    <n v="80"/>
    <n v="0"/>
    <n v="15"/>
    <n v="2"/>
    <n v="3"/>
    <n v="11"/>
    <x v="3"/>
    <n v="9"/>
    <n v="6"/>
    <n v="9"/>
    <x v="2"/>
    <n v="0"/>
  </r>
  <r>
    <n v="40"/>
    <x v="1"/>
    <x v="1"/>
    <x v="0"/>
    <n v="302"/>
    <x v="1"/>
    <n v="6"/>
    <n v="3"/>
    <s v="Life Sciences"/>
    <n v="1"/>
    <n v="601"/>
    <n v="2"/>
    <x v="0"/>
    <n v="75"/>
    <n v="3"/>
    <n v="4"/>
    <x v="3"/>
    <n v="3"/>
    <s v="Single"/>
    <n v="13237"/>
    <n v="20364"/>
    <n v="7"/>
    <s v="Y"/>
    <x v="1"/>
    <n v="15"/>
    <n v="3"/>
    <n v="3"/>
    <n v="80"/>
    <n v="0"/>
    <n v="22"/>
    <n v="3"/>
    <n v="3"/>
    <n v="20"/>
    <x v="3"/>
    <n v="6"/>
    <n v="5"/>
    <n v="13"/>
    <x v="2"/>
    <n v="0"/>
  </r>
  <r>
    <n v="39"/>
    <x v="1"/>
    <x v="1"/>
    <x v="1"/>
    <n v="443"/>
    <x v="1"/>
    <n v="8"/>
    <n v="1"/>
    <s v="Life Sciences"/>
    <n v="1"/>
    <n v="602"/>
    <n v="3"/>
    <x v="0"/>
    <n v="48"/>
    <n v="3"/>
    <n v="1"/>
    <x v="2"/>
    <n v="3"/>
    <s v="Married"/>
    <n v="3755"/>
    <n v="17872"/>
    <n v="1"/>
    <s v="Y"/>
    <x v="1"/>
    <n v="11"/>
    <n v="3"/>
    <n v="1"/>
    <n v="80"/>
    <n v="1"/>
    <n v="8"/>
    <n v="3"/>
    <n v="3"/>
    <n v="8"/>
    <x v="0"/>
    <n v="3"/>
    <n v="0"/>
    <n v="7"/>
    <x v="2"/>
    <n v="0"/>
  </r>
  <r>
    <n v="31"/>
    <x v="1"/>
    <x v="1"/>
    <x v="0"/>
    <n v="828"/>
    <x v="0"/>
    <n v="2"/>
    <n v="1"/>
    <s v="Life Sciences"/>
    <n v="1"/>
    <n v="604"/>
    <n v="2"/>
    <x v="1"/>
    <n v="77"/>
    <n v="3"/>
    <n v="2"/>
    <x v="0"/>
    <n v="4"/>
    <s v="Single"/>
    <n v="6582"/>
    <n v="8346"/>
    <n v="4"/>
    <s v="Y"/>
    <x v="0"/>
    <n v="13"/>
    <n v="3"/>
    <n v="3"/>
    <n v="80"/>
    <n v="0"/>
    <n v="10"/>
    <n v="2"/>
    <n v="4"/>
    <n v="6"/>
    <x v="0"/>
    <n v="5"/>
    <n v="0"/>
    <n v="5"/>
    <x v="0"/>
    <n v="0"/>
  </r>
  <r>
    <n v="42"/>
    <x v="0"/>
    <x v="1"/>
    <x v="0"/>
    <n v="319"/>
    <x v="1"/>
    <n v="24"/>
    <n v="3"/>
    <s v="Medical"/>
    <n v="1"/>
    <n v="605"/>
    <n v="4"/>
    <x v="1"/>
    <n v="56"/>
    <n v="3"/>
    <n v="3"/>
    <x v="3"/>
    <n v="1"/>
    <s v="Married"/>
    <n v="7406"/>
    <n v="6950"/>
    <n v="1"/>
    <s v="Y"/>
    <x v="0"/>
    <n v="21"/>
    <n v="4"/>
    <n v="4"/>
    <n v="80"/>
    <n v="1"/>
    <n v="10"/>
    <n v="5"/>
    <n v="2"/>
    <n v="10"/>
    <x v="0"/>
    <n v="9"/>
    <n v="5"/>
    <n v="8"/>
    <x v="3"/>
    <n v="0"/>
  </r>
  <r>
    <n v="45"/>
    <x v="0"/>
    <x v="1"/>
    <x v="0"/>
    <n v="561"/>
    <x v="0"/>
    <n v="2"/>
    <n v="3"/>
    <s v="Other"/>
    <n v="1"/>
    <n v="606"/>
    <n v="4"/>
    <x v="1"/>
    <n v="61"/>
    <n v="3"/>
    <n v="2"/>
    <x v="0"/>
    <n v="2"/>
    <s v="Married"/>
    <n v="4805"/>
    <n v="16177"/>
    <n v="0"/>
    <s v="Y"/>
    <x v="1"/>
    <n v="19"/>
    <n v="3"/>
    <n v="2"/>
    <n v="80"/>
    <n v="1"/>
    <n v="9"/>
    <n v="3"/>
    <n v="4"/>
    <n v="8"/>
    <x v="0"/>
    <n v="7"/>
    <n v="3"/>
    <n v="7"/>
    <x v="1"/>
    <n v="0"/>
  </r>
  <r>
    <n v="26"/>
    <x v="2"/>
    <x v="0"/>
    <x v="1"/>
    <n v="426"/>
    <x v="2"/>
    <n v="17"/>
    <n v="4"/>
    <s v="Life Sciences"/>
    <n v="1"/>
    <n v="608"/>
    <n v="2"/>
    <x v="0"/>
    <n v="58"/>
    <n v="3"/>
    <n v="1"/>
    <x v="8"/>
    <n v="3"/>
    <s v="Divorced"/>
    <n v="2741"/>
    <n v="22808"/>
    <n v="0"/>
    <s v="Y"/>
    <x v="0"/>
    <n v="11"/>
    <n v="3"/>
    <n v="2"/>
    <n v="80"/>
    <n v="1"/>
    <n v="8"/>
    <n v="2"/>
    <n v="2"/>
    <n v="7"/>
    <x v="0"/>
    <n v="7"/>
    <n v="1"/>
    <n v="0"/>
    <x v="2"/>
    <n v="1"/>
  </r>
  <r>
    <n v="29"/>
    <x v="2"/>
    <x v="1"/>
    <x v="0"/>
    <n v="232"/>
    <x v="1"/>
    <n v="19"/>
    <n v="3"/>
    <s v="Technical Degree"/>
    <n v="1"/>
    <n v="611"/>
    <n v="4"/>
    <x v="1"/>
    <n v="34"/>
    <n v="3"/>
    <n v="2"/>
    <x v="3"/>
    <n v="4"/>
    <s v="Divorced"/>
    <n v="4262"/>
    <n v="22645"/>
    <n v="4"/>
    <s v="Y"/>
    <x v="1"/>
    <n v="12"/>
    <n v="3"/>
    <n v="2"/>
    <n v="80"/>
    <n v="2"/>
    <n v="8"/>
    <n v="2"/>
    <n v="4"/>
    <n v="3"/>
    <x v="2"/>
    <n v="2"/>
    <n v="1"/>
    <n v="2"/>
    <x v="0"/>
    <n v="0"/>
  </r>
  <r>
    <n v="33"/>
    <x v="1"/>
    <x v="1"/>
    <x v="0"/>
    <n v="922"/>
    <x v="1"/>
    <n v="1"/>
    <n v="5"/>
    <s v="Medical"/>
    <n v="1"/>
    <n v="612"/>
    <n v="1"/>
    <x v="0"/>
    <n v="95"/>
    <n v="4"/>
    <n v="4"/>
    <x v="7"/>
    <n v="3"/>
    <s v="Divorced"/>
    <n v="16184"/>
    <n v="22578"/>
    <n v="4"/>
    <s v="Y"/>
    <x v="1"/>
    <n v="19"/>
    <n v="3"/>
    <n v="3"/>
    <n v="80"/>
    <n v="1"/>
    <n v="10"/>
    <n v="2"/>
    <n v="3"/>
    <n v="6"/>
    <x v="0"/>
    <n v="1"/>
    <n v="0"/>
    <n v="5"/>
    <x v="2"/>
    <n v="0"/>
  </r>
  <r>
    <n v="31"/>
    <x v="1"/>
    <x v="1"/>
    <x v="0"/>
    <n v="688"/>
    <x v="0"/>
    <n v="7"/>
    <n v="3"/>
    <s v="Life Sciences"/>
    <n v="1"/>
    <n v="613"/>
    <n v="3"/>
    <x v="1"/>
    <n v="44"/>
    <n v="2"/>
    <n v="3"/>
    <x v="5"/>
    <n v="4"/>
    <s v="Divorced"/>
    <n v="11557"/>
    <n v="25291"/>
    <n v="9"/>
    <s v="Y"/>
    <x v="1"/>
    <n v="21"/>
    <n v="4"/>
    <n v="3"/>
    <n v="80"/>
    <n v="1"/>
    <n v="10"/>
    <n v="3"/>
    <n v="2"/>
    <n v="5"/>
    <x v="2"/>
    <n v="4"/>
    <n v="0"/>
    <n v="1"/>
    <x v="0"/>
    <n v="0"/>
  </r>
  <r>
    <n v="18"/>
    <x v="2"/>
    <x v="0"/>
    <x v="1"/>
    <n v="1306"/>
    <x v="0"/>
    <n v="5"/>
    <n v="3"/>
    <s v="Marketing"/>
    <n v="1"/>
    <n v="614"/>
    <n v="2"/>
    <x v="1"/>
    <n v="69"/>
    <n v="3"/>
    <n v="1"/>
    <x v="6"/>
    <n v="2"/>
    <s v="Single"/>
    <n v="1878"/>
    <n v="8059"/>
    <n v="1"/>
    <s v="Y"/>
    <x v="0"/>
    <n v="14"/>
    <n v="3"/>
    <n v="4"/>
    <n v="80"/>
    <n v="0"/>
    <n v="0"/>
    <n v="3"/>
    <n v="3"/>
    <n v="0"/>
    <x v="1"/>
    <n v="0"/>
    <n v="0"/>
    <n v="0"/>
    <x v="1"/>
    <n v="1"/>
  </r>
  <r>
    <n v="40"/>
    <x v="1"/>
    <x v="1"/>
    <x v="2"/>
    <n v="1094"/>
    <x v="0"/>
    <n v="28"/>
    <n v="3"/>
    <s v="Other"/>
    <n v="1"/>
    <n v="615"/>
    <n v="3"/>
    <x v="1"/>
    <n v="58"/>
    <n v="1"/>
    <n v="3"/>
    <x v="0"/>
    <n v="1"/>
    <s v="Divorced"/>
    <n v="10932"/>
    <n v="11373"/>
    <n v="3"/>
    <s v="Y"/>
    <x v="1"/>
    <n v="15"/>
    <n v="3"/>
    <n v="3"/>
    <n v="80"/>
    <n v="1"/>
    <n v="20"/>
    <n v="2"/>
    <n v="3"/>
    <n v="1"/>
    <x v="1"/>
    <n v="0"/>
    <n v="0"/>
    <n v="1"/>
    <x v="3"/>
    <n v="0"/>
  </r>
  <r>
    <n v="41"/>
    <x v="0"/>
    <x v="1"/>
    <x v="2"/>
    <n v="509"/>
    <x v="1"/>
    <n v="2"/>
    <n v="4"/>
    <s v="Other"/>
    <n v="1"/>
    <n v="616"/>
    <n v="1"/>
    <x v="0"/>
    <n v="62"/>
    <n v="2"/>
    <n v="2"/>
    <x v="4"/>
    <n v="3"/>
    <s v="Single"/>
    <n v="6811"/>
    <n v="2112"/>
    <n v="2"/>
    <s v="Y"/>
    <x v="0"/>
    <n v="17"/>
    <n v="3"/>
    <n v="1"/>
    <n v="80"/>
    <n v="0"/>
    <n v="10"/>
    <n v="3"/>
    <n v="3"/>
    <n v="8"/>
    <x v="0"/>
    <n v="7"/>
    <n v="0"/>
    <n v="7"/>
    <x v="2"/>
    <n v="0"/>
  </r>
  <r>
    <n v="26"/>
    <x v="2"/>
    <x v="1"/>
    <x v="0"/>
    <n v="775"/>
    <x v="0"/>
    <n v="29"/>
    <n v="2"/>
    <s v="Medical"/>
    <n v="1"/>
    <n v="618"/>
    <n v="1"/>
    <x v="1"/>
    <n v="45"/>
    <n v="3"/>
    <n v="2"/>
    <x v="0"/>
    <n v="3"/>
    <s v="Divorced"/>
    <n v="4306"/>
    <n v="4267"/>
    <n v="5"/>
    <s v="Y"/>
    <x v="1"/>
    <n v="12"/>
    <n v="3"/>
    <n v="1"/>
    <n v="80"/>
    <n v="2"/>
    <n v="8"/>
    <n v="5"/>
    <n v="3"/>
    <n v="0"/>
    <x v="1"/>
    <n v="0"/>
    <n v="0"/>
    <n v="0"/>
    <x v="2"/>
    <n v="0"/>
  </r>
  <r>
    <n v="35"/>
    <x v="1"/>
    <x v="1"/>
    <x v="0"/>
    <n v="195"/>
    <x v="0"/>
    <n v="1"/>
    <n v="3"/>
    <s v="Medical"/>
    <n v="1"/>
    <n v="620"/>
    <n v="1"/>
    <x v="0"/>
    <n v="80"/>
    <n v="3"/>
    <n v="2"/>
    <x v="0"/>
    <n v="3"/>
    <s v="Single"/>
    <n v="4859"/>
    <n v="6698"/>
    <n v="1"/>
    <s v="Y"/>
    <x v="1"/>
    <n v="16"/>
    <n v="3"/>
    <n v="4"/>
    <n v="80"/>
    <n v="0"/>
    <n v="5"/>
    <n v="3"/>
    <n v="3"/>
    <n v="5"/>
    <x v="2"/>
    <n v="4"/>
    <n v="0"/>
    <n v="3"/>
    <x v="2"/>
    <n v="0"/>
  </r>
  <r>
    <n v="34"/>
    <x v="1"/>
    <x v="1"/>
    <x v="0"/>
    <n v="258"/>
    <x v="0"/>
    <n v="21"/>
    <n v="4"/>
    <s v="Life Sciences"/>
    <n v="1"/>
    <n v="621"/>
    <n v="4"/>
    <x v="1"/>
    <n v="74"/>
    <n v="4"/>
    <n v="2"/>
    <x v="0"/>
    <n v="4"/>
    <s v="Single"/>
    <n v="5337"/>
    <n v="19921"/>
    <n v="1"/>
    <s v="Y"/>
    <x v="1"/>
    <n v="12"/>
    <n v="3"/>
    <n v="4"/>
    <n v="80"/>
    <n v="0"/>
    <n v="10"/>
    <n v="3"/>
    <n v="3"/>
    <n v="10"/>
    <x v="0"/>
    <n v="7"/>
    <n v="5"/>
    <n v="7"/>
    <x v="0"/>
    <n v="0"/>
  </r>
  <r>
    <n v="26"/>
    <x v="2"/>
    <x v="0"/>
    <x v="0"/>
    <n v="471"/>
    <x v="1"/>
    <n v="24"/>
    <n v="3"/>
    <s v="Technical Degree"/>
    <n v="1"/>
    <n v="622"/>
    <n v="3"/>
    <x v="1"/>
    <n v="66"/>
    <n v="1"/>
    <n v="1"/>
    <x v="2"/>
    <n v="4"/>
    <s v="Single"/>
    <n v="2340"/>
    <n v="23213"/>
    <n v="1"/>
    <s v="Y"/>
    <x v="0"/>
    <n v="18"/>
    <n v="3"/>
    <n v="2"/>
    <n v="80"/>
    <n v="0"/>
    <n v="1"/>
    <n v="3"/>
    <n v="1"/>
    <n v="1"/>
    <x v="1"/>
    <n v="0"/>
    <n v="0"/>
    <n v="0"/>
    <x v="0"/>
    <n v="1"/>
  </r>
  <r>
    <n v="37"/>
    <x v="1"/>
    <x v="1"/>
    <x v="0"/>
    <n v="799"/>
    <x v="1"/>
    <n v="1"/>
    <n v="3"/>
    <s v="Technical Degree"/>
    <n v="1"/>
    <n v="623"/>
    <n v="2"/>
    <x v="0"/>
    <n v="59"/>
    <n v="3"/>
    <n v="3"/>
    <x v="3"/>
    <n v="4"/>
    <s v="Single"/>
    <n v="7491"/>
    <n v="23848"/>
    <n v="4"/>
    <s v="Y"/>
    <x v="1"/>
    <n v="17"/>
    <n v="3"/>
    <n v="4"/>
    <n v="80"/>
    <n v="0"/>
    <n v="12"/>
    <n v="3"/>
    <n v="4"/>
    <n v="6"/>
    <x v="0"/>
    <n v="5"/>
    <n v="1"/>
    <n v="2"/>
    <x v="0"/>
    <n v="0"/>
  </r>
  <r>
    <n v="46"/>
    <x v="0"/>
    <x v="1"/>
    <x v="1"/>
    <n v="1034"/>
    <x v="1"/>
    <n v="18"/>
    <n v="1"/>
    <s v="Medical"/>
    <n v="1"/>
    <n v="624"/>
    <n v="1"/>
    <x v="0"/>
    <n v="86"/>
    <n v="3"/>
    <n v="3"/>
    <x v="4"/>
    <n v="3"/>
    <s v="Married"/>
    <n v="10527"/>
    <n v="8984"/>
    <n v="5"/>
    <s v="Y"/>
    <x v="1"/>
    <n v="11"/>
    <n v="3"/>
    <n v="4"/>
    <n v="80"/>
    <n v="0"/>
    <n v="28"/>
    <n v="3"/>
    <n v="2"/>
    <n v="2"/>
    <x v="1"/>
    <n v="2"/>
    <n v="1"/>
    <n v="2"/>
    <x v="2"/>
    <n v="0"/>
  </r>
  <r>
    <n v="41"/>
    <x v="0"/>
    <x v="1"/>
    <x v="0"/>
    <n v="1276"/>
    <x v="0"/>
    <n v="2"/>
    <n v="5"/>
    <s v="Life Sciences"/>
    <n v="1"/>
    <n v="625"/>
    <n v="2"/>
    <x v="0"/>
    <n v="91"/>
    <n v="3"/>
    <n v="4"/>
    <x v="5"/>
    <n v="1"/>
    <s v="Married"/>
    <n v="16595"/>
    <n v="5626"/>
    <n v="7"/>
    <s v="Y"/>
    <x v="1"/>
    <n v="16"/>
    <n v="3"/>
    <n v="2"/>
    <n v="80"/>
    <n v="1"/>
    <n v="22"/>
    <n v="2"/>
    <n v="3"/>
    <n v="18"/>
    <x v="3"/>
    <n v="16"/>
    <n v="11"/>
    <n v="8"/>
    <x v="3"/>
    <n v="0"/>
  </r>
  <r>
    <n v="37"/>
    <x v="1"/>
    <x v="1"/>
    <x v="2"/>
    <n v="142"/>
    <x v="0"/>
    <n v="9"/>
    <n v="4"/>
    <s v="Medical"/>
    <n v="1"/>
    <n v="626"/>
    <n v="1"/>
    <x v="1"/>
    <n v="69"/>
    <n v="3"/>
    <n v="3"/>
    <x v="0"/>
    <n v="2"/>
    <s v="Divorced"/>
    <n v="8834"/>
    <n v="24666"/>
    <n v="1"/>
    <s v="Y"/>
    <x v="1"/>
    <n v="13"/>
    <n v="3"/>
    <n v="4"/>
    <n v="80"/>
    <n v="1"/>
    <n v="9"/>
    <n v="6"/>
    <n v="3"/>
    <n v="9"/>
    <x v="0"/>
    <n v="5"/>
    <n v="7"/>
    <n v="7"/>
    <x v="1"/>
    <n v="0"/>
  </r>
  <r>
    <n v="52"/>
    <x v="3"/>
    <x v="1"/>
    <x v="0"/>
    <n v="956"/>
    <x v="1"/>
    <n v="6"/>
    <n v="2"/>
    <s v="Technical Degree"/>
    <n v="1"/>
    <n v="630"/>
    <n v="4"/>
    <x v="1"/>
    <n v="78"/>
    <n v="3"/>
    <n v="2"/>
    <x v="1"/>
    <n v="1"/>
    <s v="Divorced"/>
    <n v="5577"/>
    <n v="22087"/>
    <n v="3"/>
    <s v="Y"/>
    <x v="0"/>
    <n v="12"/>
    <n v="3"/>
    <n v="2"/>
    <n v="80"/>
    <n v="2"/>
    <n v="18"/>
    <n v="3"/>
    <n v="3"/>
    <n v="10"/>
    <x v="0"/>
    <n v="9"/>
    <n v="6"/>
    <n v="9"/>
    <x v="3"/>
    <n v="0"/>
  </r>
  <r>
    <n v="32"/>
    <x v="1"/>
    <x v="0"/>
    <x v="2"/>
    <n v="1474"/>
    <x v="0"/>
    <n v="11"/>
    <n v="4"/>
    <s v="Other"/>
    <n v="1"/>
    <n v="631"/>
    <n v="4"/>
    <x v="1"/>
    <n v="60"/>
    <n v="4"/>
    <n v="2"/>
    <x v="0"/>
    <n v="3"/>
    <s v="Married"/>
    <n v="4707"/>
    <n v="23914"/>
    <n v="8"/>
    <s v="Y"/>
    <x v="1"/>
    <n v="12"/>
    <n v="3"/>
    <n v="4"/>
    <n v="80"/>
    <n v="0"/>
    <n v="6"/>
    <n v="2"/>
    <n v="3"/>
    <n v="4"/>
    <x v="2"/>
    <n v="2"/>
    <n v="1"/>
    <n v="2"/>
    <x v="2"/>
    <n v="1"/>
  </r>
  <r>
    <n v="24"/>
    <x v="2"/>
    <x v="1"/>
    <x v="1"/>
    <n v="535"/>
    <x v="0"/>
    <n v="24"/>
    <n v="3"/>
    <s v="Medical"/>
    <n v="1"/>
    <n v="632"/>
    <n v="4"/>
    <x v="1"/>
    <n v="38"/>
    <n v="3"/>
    <n v="1"/>
    <x v="6"/>
    <n v="4"/>
    <s v="Married"/>
    <n v="2400"/>
    <n v="5530"/>
    <n v="0"/>
    <s v="Y"/>
    <x v="1"/>
    <n v="13"/>
    <n v="3"/>
    <n v="3"/>
    <n v="80"/>
    <n v="2"/>
    <n v="3"/>
    <n v="3"/>
    <n v="3"/>
    <n v="2"/>
    <x v="1"/>
    <n v="2"/>
    <n v="2"/>
    <n v="1"/>
    <x v="0"/>
    <n v="0"/>
  </r>
  <r>
    <n v="38"/>
    <x v="1"/>
    <x v="1"/>
    <x v="0"/>
    <n v="1495"/>
    <x v="1"/>
    <n v="10"/>
    <n v="3"/>
    <s v="Medical"/>
    <n v="1"/>
    <n v="634"/>
    <n v="3"/>
    <x v="0"/>
    <n v="76"/>
    <n v="3"/>
    <n v="2"/>
    <x v="4"/>
    <n v="3"/>
    <s v="Married"/>
    <n v="9824"/>
    <n v="22174"/>
    <n v="3"/>
    <s v="Y"/>
    <x v="1"/>
    <n v="19"/>
    <n v="3"/>
    <n v="3"/>
    <n v="80"/>
    <n v="1"/>
    <n v="18"/>
    <n v="4"/>
    <n v="3"/>
    <n v="1"/>
    <x v="1"/>
    <n v="0"/>
    <n v="0"/>
    <n v="0"/>
    <x v="2"/>
    <n v="0"/>
  </r>
  <r>
    <n v="37"/>
    <x v="1"/>
    <x v="1"/>
    <x v="0"/>
    <n v="446"/>
    <x v="1"/>
    <n v="1"/>
    <n v="4"/>
    <s v="Life Sciences"/>
    <n v="1"/>
    <n v="635"/>
    <n v="2"/>
    <x v="0"/>
    <n v="65"/>
    <n v="3"/>
    <n v="2"/>
    <x v="3"/>
    <n v="2"/>
    <s v="Married"/>
    <n v="6447"/>
    <n v="15701"/>
    <n v="6"/>
    <s v="Y"/>
    <x v="1"/>
    <n v="12"/>
    <n v="3"/>
    <n v="2"/>
    <n v="80"/>
    <n v="1"/>
    <n v="8"/>
    <n v="2"/>
    <n v="2"/>
    <n v="6"/>
    <x v="0"/>
    <n v="5"/>
    <n v="4"/>
    <n v="3"/>
    <x v="1"/>
    <n v="0"/>
  </r>
  <r>
    <n v="49"/>
    <x v="0"/>
    <x v="1"/>
    <x v="0"/>
    <n v="1245"/>
    <x v="1"/>
    <n v="18"/>
    <n v="4"/>
    <s v="Life Sciences"/>
    <n v="1"/>
    <n v="638"/>
    <n v="4"/>
    <x v="1"/>
    <n v="58"/>
    <n v="2"/>
    <n v="5"/>
    <x v="7"/>
    <n v="3"/>
    <s v="Divorced"/>
    <n v="19502"/>
    <n v="2125"/>
    <n v="1"/>
    <s v="Y"/>
    <x v="0"/>
    <n v="17"/>
    <n v="3"/>
    <n v="3"/>
    <n v="80"/>
    <n v="1"/>
    <n v="31"/>
    <n v="5"/>
    <n v="3"/>
    <n v="31"/>
    <x v="3"/>
    <n v="9"/>
    <n v="0"/>
    <n v="9"/>
    <x v="2"/>
    <n v="0"/>
  </r>
  <r>
    <n v="24"/>
    <x v="2"/>
    <x v="1"/>
    <x v="0"/>
    <n v="691"/>
    <x v="1"/>
    <n v="23"/>
    <n v="3"/>
    <s v="Medical"/>
    <n v="1"/>
    <n v="639"/>
    <n v="2"/>
    <x v="1"/>
    <n v="89"/>
    <n v="4"/>
    <n v="1"/>
    <x v="1"/>
    <n v="4"/>
    <s v="Married"/>
    <n v="2725"/>
    <n v="21630"/>
    <n v="1"/>
    <s v="Y"/>
    <x v="0"/>
    <n v="11"/>
    <n v="3"/>
    <n v="2"/>
    <n v="80"/>
    <n v="2"/>
    <n v="6"/>
    <n v="3"/>
    <n v="3"/>
    <n v="6"/>
    <x v="0"/>
    <n v="5"/>
    <n v="1"/>
    <n v="4"/>
    <x v="0"/>
    <n v="0"/>
  </r>
  <r>
    <n v="26"/>
    <x v="2"/>
    <x v="1"/>
    <x v="0"/>
    <n v="703"/>
    <x v="0"/>
    <n v="28"/>
    <n v="2"/>
    <s v="Marketing"/>
    <n v="1"/>
    <n v="641"/>
    <n v="1"/>
    <x v="1"/>
    <n v="66"/>
    <n v="3"/>
    <n v="2"/>
    <x v="0"/>
    <n v="2"/>
    <s v="Married"/>
    <n v="6272"/>
    <n v="7428"/>
    <n v="1"/>
    <s v="Y"/>
    <x v="1"/>
    <n v="20"/>
    <n v="4"/>
    <n v="4"/>
    <n v="80"/>
    <n v="2"/>
    <n v="6"/>
    <n v="5"/>
    <n v="4"/>
    <n v="5"/>
    <x v="2"/>
    <n v="3"/>
    <n v="1"/>
    <n v="4"/>
    <x v="1"/>
    <n v="0"/>
  </r>
  <r>
    <n v="24"/>
    <x v="2"/>
    <x v="1"/>
    <x v="0"/>
    <n v="823"/>
    <x v="1"/>
    <n v="17"/>
    <n v="2"/>
    <s v="Other"/>
    <n v="1"/>
    <n v="643"/>
    <n v="4"/>
    <x v="1"/>
    <n v="94"/>
    <n v="2"/>
    <n v="1"/>
    <x v="2"/>
    <n v="2"/>
    <s v="Married"/>
    <n v="2127"/>
    <n v="9100"/>
    <n v="1"/>
    <s v="Y"/>
    <x v="1"/>
    <n v="21"/>
    <n v="4"/>
    <n v="4"/>
    <n v="80"/>
    <n v="1"/>
    <n v="1"/>
    <n v="2"/>
    <n v="3"/>
    <n v="1"/>
    <x v="1"/>
    <n v="0"/>
    <n v="0"/>
    <n v="0"/>
    <x v="1"/>
    <n v="0"/>
  </r>
  <r>
    <n v="50"/>
    <x v="0"/>
    <x v="1"/>
    <x v="1"/>
    <n v="1246"/>
    <x v="2"/>
    <n v="3"/>
    <n v="3"/>
    <s v="Medical"/>
    <n v="1"/>
    <n v="644"/>
    <n v="1"/>
    <x v="1"/>
    <n v="99"/>
    <n v="3"/>
    <n v="5"/>
    <x v="5"/>
    <n v="2"/>
    <s v="Married"/>
    <n v="18200"/>
    <n v="7999"/>
    <n v="1"/>
    <s v="Y"/>
    <x v="1"/>
    <n v="11"/>
    <n v="3"/>
    <n v="3"/>
    <n v="80"/>
    <n v="1"/>
    <n v="32"/>
    <n v="2"/>
    <n v="3"/>
    <n v="32"/>
    <x v="3"/>
    <n v="5"/>
    <n v="10"/>
    <n v="7"/>
    <x v="1"/>
    <n v="0"/>
  </r>
  <r>
    <n v="25"/>
    <x v="2"/>
    <x v="1"/>
    <x v="0"/>
    <n v="622"/>
    <x v="0"/>
    <n v="13"/>
    <n v="1"/>
    <s v="Medical"/>
    <n v="1"/>
    <n v="645"/>
    <n v="2"/>
    <x v="1"/>
    <n v="40"/>
    <n v="3"/>
    <n v="1"/>
    <x v="6"/>
    <n v="3"/>
    <s v="Married"/>
    <n v="2096"/>
    <n v="26376"/>
    <n v="1"/>
    <s v="Y"/>
    <x v="1"/>
    <n v="11"/>
    <n v="3"/>
    <n v="3"/>
    <n v="80"/>
    <n v="0"/>
    <n v="7"/>
    <n v="1"/>
    <n v="3"/>
    <n v="7"/>
    <x v="0"/>
    <n v="4"/>
    <n v="0"/>
    <n v="6"/>
    <x v="2"/>
    <n v="0"/>
  </r>
  <r>
    <n v="24"/>
    <x v="2"/>
    <x v="0"/>
    <x v="1"/>
    <n v="1287"/>
    <x v="1"/>
    <n v="7"/>
    <n v="3"/>
    <s v="Life Sciences"/>
    <n v="1"/>
    <n v="647"/>
    <n v="1"/>
    <x v="0"/>
    <n v="55"/>
    <n v="3"/>
    <n v="1"/>
    <x v="2"/>
    <n v="3"/>
    <s v="Married"/>
    <n v="2886"/>
    <n v="14168"/>
    <n v="1"/>
    <s v="Y"/>
    <x v="0"/>
    <n v="16"/>
    <n v="3"/>
    <n v="4"/>
    <n v="80"/>
    <n v="1"/>
    <n v="6"/>
    <n v="4"/>
    <n v="3"/>
    <n v="6"/>
    <x v="0"/>
    <n v="3"/>
    <n v="1"/>
    <n v="2"/>
    <x v="2"/>
    <n v="1"/>
  </r>
  <r>
    <n v="30"/>
    <x v="1"/>
    <x v="0"/>
    <x v="1"/>
    <n v="448"/>
    <x v="0"/>
    <n v="12"/>
    <n v="4"/>
    <s v="Life Sciences"/>
    <n v="1"/>
    <n v="648"/>
    <n v="2"/>
    <x v="1"/>
    <n v="74"/>
    <n v="2"/>
    <n v="1"/>
    <x v="6"/>
    <n v="1"/>
    <s v="Married"/>
    <n v="2033"/>
    <n v="14470"/>
    <n v="1"/>
    <s v="Y"/>
    <x v="1"/>
    <n v="18"/>
    <n v="3"/>
    <n v="3"/>
    <n v="80"/>
    <n v="1"/>
    <n v="1"/>
    <n v="2"/>
    <n v="4"/>
    <n v="1"/>
    <x v="1"/>
    <n v="0"/>
    <n v="0"/>
    <n v="0"/>
    <x v="3"/>
    <n v="1"/>
  </r>
  <r>
    <n v="34"/>
    <x v="1"/>
    <x v="1"/>
    <x v="0"/>
    <n v="254"/>
    <x v="1"/>
    <n v="1"/>
    <n v="2"/>
    <s v="Life Sciences"/>
    <n v="1"/>
    <n v="649"/>
    <n v="2"/>
    <x v="1"/>
    <n v="83"/>
    <n v="2"/>
    <n v="1"/>
    <x v="1"/>
    <n v="4"/>
    <s v="Married"/>
    <n v="3622"/>
    <n v="22794"/>
    <n v="1"/>
    <s v="Y"/>
    <x v="0"/>
    <n v="13"/>
    <n v="3"/>
    <n v="4"/>
    <n v="80"/>
    <n v="1"/>
    <n v="6"/>
    <n v="3"/>
    <n v="3"/>
    <n v="6"/>
    <x v="0"/>
    <n v="5"/>
    <n v="1"/>
    <n v="3"/>
    <x v="0"/>
    <n v="0"/>
  </r>
  <r>
    <n v="31"/>
    <x v="1"/>
    <x v="0"/>
    <x v="0"/>
    <n v="1365"/>
    <x v="0"/>
    <n v="13"/>
    <n v="4"/>
    <s v="Medical"/>
    <n v="1"/>
    <n v="650"/>
    <n v="2"/>
    <x v="1"/>
    <n v="46"/>
    <n v="3"/>
    <n v="2"/>
    <x v="0"/>
    <n v="1"/>
    <s v="Divorced"/>
    <n v="4233"/>
    <n v="11512"/>
    <n v="2"/>
    <s v="Y"/>
    <x v="1"/>
    <n v="17"/>
    <n v="3"/>
    <n v="3"/>
    <n v="80"/>
    <n v="0"/>
    <n v="9"/>
    <n v="2"/>
    <n v="1"/>
    <n v="3"/>
    <x v="2"/>
    <n v="1"/>
    <n v="1"/>
    <n v="2"/>
    <x v="3"/>
    <n v="1"/>
  </r>
  <r>
    <n v="35"/>
    <x v="1"/>
    <x v="1"/>
    <x v="0"/>
    <n v="538"/>
    <x v="1"/>
    <n v="25"/>
    <n v="2"/>
    <s v="Other"/>
    <n v="1"/>
    <n v="652"/>
    <n v="1"/>
    <x v="1"/>
    <n v="54"/>
    <n v="2"/>
    <n v="2"/>
    <x v="2"/>
    <n v="4"/>
    <s v="Single"/>
    <n v="3681"/>
    <n v="14004"/>
    <n v="4"/>
    <s v="Y"/>
    <x v="1"/>
    <n v="14"/>
    <n v="3"/>
    <n v="4"/>
    <n v="80"/>
    <n v="0"/>
    <n v="9"/>
    <n v="3"/>
    <n v="3"/>
    <n v="3"/>
    <x v="2"/>
    <n v="2"/>
    <n v="0"/>
    <n v="2"/>
    <x v="0"/>
    <n v="0"/>
  </r>
  <r>
    <n v="31"/>
    <x v="1"/>
    <x v="1"/>
    <x v="0"/>
    <n v="525"/>
    <x v="0"/>
    <n v="6"/>
    <n v="4"/>
    <s v="Medical"/>
    <n v="1"/>
    <n v="653"/>
    <n v="1"/>
    <x v="1"/>
    <n v="66"/>
    <n v="4"/>
    <n v="2"/>
    <x v="0"/>
    <n v="4"/>
    <s v="Divorced"/>
    <n v="5460"/>
    <n v="6219"/>
    <n v="4"/>
    <s v="Y"/>
    <x v="1"/>
    <n v="22"/>
    <n v="4"/>
    <n v="4"/>
    <n v="80"/>
    <n v="2"/>
    <n v="13"/>
    <n v="4"/>
    <n v="4"/>
    <n v="7"/>
    <x v="0"/>
    <n v="7"/>
    <n v="5"/>
    <n v="7"/>
    <x v="0"/>
    <n v="0"/>
  </r>
  <r>
    <n v="27"/>
    <x v="2"/>
    <x v="1"/>
    <x v="0"/>
    <n v="798"/>
    <x v="1"/>
    <n v="6"/>
    <n v="4"/>
    <s v="Medical"/>
    <n v="1"/>
    <n v="655"/>
    <n v="1"/>
    <x v="0"/>
    <n v="66"/>
    <n v="2"/>
    <n v="1"/>
    <x v="1"/>
    <n v="3"/>
    <s v="Divorced"/>
    <n v="2187"/>
    <n v="5013"/>
    <n v="0"/>
    <s v="Y"/>
    <x v="1"/>
    <n v="12"/>
    <n v="3"/>
    <n v="3"/>
    <n v="80"/>
    <n v="2"/>
    <n v="6"/>
    <n v="5"/>
    <n v="2"/>
    <n v="5"/>
    <x v="2"/>
    <n v="3"/>
    <n v="0"/>
    <n v="3"/>
    <x v="2"/>
    <n v="0"/>
  </r>
  <r>
    <n v="37"/>
    <x v="1"/>
    <x v="1"/>
    <x v="0"/>
    <n v="558"/>
    <x v="0"/>
    <n v="2"/>
    <n v="3"/>
    <s v="Marketing"/>
    <n v="1"/>
    <n v="656"/>
    <n v="4"/>
    <x v="1"/>
    <n v="75"/>
    <n v="3"/>
    <n v="2"/>
    <x v="0"/>
    <n v="3"/>
    <s v="Married"/>
    <n v="9602"/>
    <n v="3010"/>
    <n v="4"/>
    <s v="Y"/>
    <x v="0"/>
    <n v="11"/>
    <n v="3"/>
    <n v="3"/>
    <n v="80"/>
    <n v="1"/>
    <n v="17"/>
    <n v="3"/>
    <n v="2"/>
    <n v="3"/>
    <x v="2"/>
    <n v="0"/>
    <n v="1"/>
    <n v="0"/>
    <x v="2"/>
    <n v="0"/>
  </r>
  <r>
    <n v="20"/>
    <x v="2"/>
    <x v="1"/>
    <x v="0"/>
    <n v="959"/>
    <x v="1"/>
    <n v="1"/>
    <n v="3"/>
    <s v="Life Sciences"/>
    <n v="1"/>
    <n v="657"/>
    <n v="4"/>
    <x v="0"/>
    <n v="83"/>
    <n v="2"/>
    <n v="1"/>
    <x v="1"/>
    <n v="2"/>
    <s v="Single"/>
    <n v="2836"/>
    <n v="11757"/>
    <n v="1"/>
    <s v="Y"/>
    <x v="1"/>
    <n v="13"/>
    <n v="3"/>
    <n v="4"/>
    <n v="80"/>
    <n v="0"/>
    <n v="1"/>
    <n v="0"/>
    <n v="4"/>
    <n v="1"/>
    <x v="1"/>
    <n v="0"/>
    <n v="0"/>
    <n v="0"/>
    <x v="1"/>
    <n v="0"/>
  </r>
  <r>
    <n v="42"/>
    <x v="0"/>
    <x v="1"/>
    <x v="0"/>
    <n v="622"/>
    <x v="1"/>
    <n v="2"/>
    <n v="4"/>
    <s v="Life Sciences"/>
    <n v="1"/>
    <n v="659"/>
    <n v="3"/>
    <x v="0"/>
    <n v="81"/>
    <n v="3"/>
    <n v="2"/>
    <x v="4"/>
    <n v="4"/>
    <s v="Married"/>
    <n v="4089"/>
    <n v="5718"/>
    <n v="1"/>
    <s v="Y"/>
    <x v="1"/>
    <n v="13"/>
    <n v="3"/>
    <n v="2"/>
    <n v="80"/>
    <n v="2"/>
    <n v="10"/>
    <n v="4"/>
    <n v="3"/>
    <n v="10"/>
    <x v="0"/>
    <n v="2"/>
    <n v="2"/>
    <n v="2"/>
    <x v="0"/>
    <n v="0"/>
  </r>
  <r>
    <n v="43"/>
    <x v="0"/>
    <x v="1"/>
    <x v="0"/>
    <n v="782"/>
    <x v="1"/>
    <n v="6"/>
    <n v="4"/>
    <s v="Other"/>
    <n v="1"/>
    <n v="661"/>
    <n v="2"/>
    <x v="1"/>
    <n v="50"/>
    <n v="2"/>
    <n v="4"/>
    <x v="7"/>
    <n v="4"/>
    <s v="Divorced"/>
    <n v="16627"/>
    <n v="2671"/>
    <n v="4"/>
    <s v="Y"/>
    <x v="0"/>
    <n v="14"/>
    <n v="3"/>
    <n v="3"/>
    <n v="80"/>
    <n v="1"/>
    <n v="21"/>
    <n v="3"/>
    <n v="2"/>
    <n v="1"/>
    <x v="1"/>
    <n v="0"/>
    <n v="0"/>
    <n v="0"/>
    <x v="0"/>
    <n v="0"/>
  </r>
  <r>
    <n v="38"/>
    <x v="1"/>
    <x v="1"/>
    <x v="0"/>
    <n v="362"/>
    <x v="1"/>
    <n v="1"/>
    <n v="1"/>
    <s v="Life Sciences"/>
    <n v="1"/>
    <n v="662"/>
    <n v="3"/>
    <x v="0"/>
    <n v="43"/>
    <n v="3"/>
    <n v="1"/>
    <x v="1"/>
    <n v="1"/>
    <s v="Single"/>
    <n v="2619"/>
    <n v="14561"/>
    <n v="3"/>
    <s v="Y"/>
    <x v="1"/>
    <n v="17"/>
    <n v="3"/>
    <n v="4"/>
    <n v="80"/>
    <n v="0"/>
    <n v="8"/>
    <n v="3"/>
    <n v="2"/>
    <n v="0"/>
    <x v="1"/>
    <n v="0"/>
    <n v="0"/>
    <n v="0"/>
    <x v="3"/>
    <n v="0"/>
  </r>
  <r>
    <n v="43"/>
    <x v="0"/>
    <x v="1"/>
    <x v="1"/>
    <n v="1001"/>
    <x v="1"/>
    <n v="9"/>
    <n v="5"/>
    <s v="Medical"/>
    <n v="1"/>
    <n v="663"/>
    <n v="4"/>
    <x v="1"/>
    <n v="72"/>
    <n v="3"/>
    <n v="2"/>
    <x v="2"/>
    <n v="3"/>
    <s v="Divorced"/>
    <n v="5679"/>
    <n v="19627"/>
    <n v="3"/>
    <s v="Y"/>
    <x v="0"/>
    <n v="13"/>
    <n v="3"/>
    <n v="2"/>
    <n v="80"/>
    <n v="1"/>
    <n v="10"/>
    <n v="3"/>
    <n v="3"/>
    <n v="8"/>
    <x v="0"/>
    <n v="7"/>
    <n v="4"/>
    <n v="7"/>
    <x v="2"/>
    <n v="0"/>
  </r>
  <r>
    <n v="48"/>
    <x v="0"/>
    <x v="1"/>
    <x v="0"/>
    <n v="1236"/>
    <x v="1"/>
    <n v="1"/>
    <n v="4"/>
    <s v="Life Sciences"/>
    <n v="1"/>
    <n v="664"/>
    <n v="4"/>
    <x v="0"/>
    <n v="40"/>
    <n v="2"/>
    <n v="4"/>
    <x v="5"/>
    <n v="1"/>
    <s v="Married"/>
    <n v="15402"/>
    <n v="17997"/>
    <n v="7"/>
    <s v="Y"/>
    <x v="1"/>
    <n v="11"/>
    <n v="3"/>
    <n v="1"/>
    <n v="80"/>
    <n v="1"/>
    <n v="21"/>
    <n v="3"/>
    <n v="1"/>
    <n v="3"/>
    <x v="2"/>
    <n v="2"/>
    <n v="0"/>
    <n v="2"/>
    <x v="3"/>
    <n v="0"/>
  </r>
  <r>
    <n v="44"/>
    <x v="0"/>
    <x v="1"/>
    <x v="0"/>
    <n v="1112"/>
    <x v="2"/>
    <n v="1"/>
    <n v="4"/>
    <s v="Life Sciences"/>
    <n v="1"/>
    <n v="665"/>
    <n v="1"/>
    <x v="0"/>
    <n v="50"/>
    <n v="2"/>
    <n v="2"/>
    <x v="8"/>
    <n v="3"/>
    <s v="Single"/>
    <n v="5985"/>
    <n v="26894"/>
    <n v="4"/>
    <s v="Y"/>
    <x v="1"/>
    <n v="11"/>
    <n v="3"/>
    <n v="2"/>
    <n v="80"/>
    <n v="0"/>
    <n v="10"/>
    <n v="1"/>
    <n v="4"/>
    <n v="2"/>
    <x v="1"/>
    <n v="2"/>
    <n v="0"/>
    <n v="2"/>
    <x v="2"/>
    <n v="0"/>
  </r>
  <r>
    <n v="34"/>
    <x v="1"/>
    <x v="1"/>
    <x v="0"/>
    <n v="204"/>
    <x v="0"/>
    <n v="14"/>
    <n v="3"/>
    <s v="Technical Degree"/>
    <n v="1"/>
    <n v="666"/>
    <n v="3"/>
    <x v="0"/>
    <n v="31"/>
    <n v="3"/>
    <n v="1"/>
    <x v="6"/>
    <n v="3"/>
    <s v="Divorced"/>
    <n v="2579"/>
    <n v="2912"/>
    <n v="1"/>
    <s v="Y"/>
    <x v="0"/>
    <n v="18"/>
    <n v="3"/>
    <n v="4"/>
    <n v="80"/>
    <n v="2"/>
    <n v="8"/>
    <n v="3"/>
    <n v="3"/>
    <n v="8"/>
    <x v="0"/>
    <n v="2"/>
    <n v="0"/>
    <n v="6"/>
    <x v="2"/>
    <n v="0"/>
  </r>
  <r>
    <n v="27"/>
    <x v="2"/>
    <x v="0"/>
    <x v="0"/>
    <n v="1420"/>
    <x v="0"/>
    <n v="2"/>
    <n v="1"/>
    <s v="Marketing"/>
    <n v="1"/>
    <n v="667"/>
    <n v="3"/>
    <x v="1"/>
    <n v="85"/>
    <n v="3"/>
    <n v="1"/>
    <x v="6"/>
    <n v="1"/>
    <s v="Divorced"/>
    <n v="3041"/>
    <n v="16346"/>
    <n v="0"/>
    <s v="Y"/>
    <x v="1"/>
    <n v="11"/>
    <n v="3"/>
    <n v="2"/>
    <n v="80"/>
    <n v="1"/>
    <n v="5"/>
    <n v="3"/>
    <n v="3"/>
    <n v="4"/>
    <x v="2"/>
    <n v="3"/>
    <n v="0"/>
    <n v="2"/>
    <x v="3"/>
    <n v="1"/>
  </r>
  <r>
    <n v="21"/>
    <x v="2"/>
    <x v="1"/>
    <x v="0"/>
    <n v="1343"/>
    <x v="0"/>
    <n v="22"/>
    <n v="1"/>
    <s v="Technical Degree"/>
    <n v="1"/>
    <n v="669"/>
    <n v="3"/>
    <x v="1"/>
    <n v="49"/>
    <n v="3"/>
    <n v="1"/>
    <x v="6"/>
    <n v="3"/>
    <s v="Single"/>
    <n v="3447"/>
    <n v="24444"/>
    <n v="1"/>
    <s v="Y"/>
    <x v="1"/>
    <n v="11"/>
    <n v="3"/>
    <n v="3"/>
    <n v="80"/>
    <n v="0"/>
    <n v="3"/>
    <n v="2"/>
    <n v="3"/>
    <n v="3"/>
    <x v="2"/>
    <n v="2"/>
    <n v="1"/>
    <n v="2"/>
    <x v="2"/>
    <n v="0"/>
  </r>
  <r>
    <n v="44"/>
    <x v="0"/>
    <x v="1"/>
    <x v="0"/>
    <n v="1315"/>
    <x v="1"/>
    <n v="3"/>
    <n v="4"/>
    <s v="Other"/>
    <n v="1"/>
    <n v="671"/>
    <n v="4"/>
    <x v="1"/>
    <n v="35"/>
    <n v="3"/>
    <n v="5"/>
    <x v="5"/>
    <n v="4"/>
    <s v="Married"/>
    <n v="19513"/>
    <n v="9358"/>
    <n v="4"/>
    <s v="Y"/>
    <x v="0"/>
    <n v="12"/>
    <n v="3"/>
    <n v="1"/>
    <n v="80"/>
    <n v="1"/>
    <n v="26"/>
    <n v="2"/>
    <n v="4"/>
    <n v="2"/>
    <x v="1"/>
    <n v="2"/>
    <n v="0"/>
    <n v="1"/>
    <x v="0"/>
    <n v="0"/>
  </r>
  <r>
    <n v="22"/>
    <x v="2"/>
    <x v="1"/>
    <x v="0"/>
    <n v="604"/>
    <x v="1"/>
    <n v="6"/>
    <n v="1"/>
    <s v="Medical"/>
    <n v="1"/>
    <n v="675"/>
    <n v="1"/>
    <x v="1"/>
    <n v="69"/>
    <n v="3"/>
    <n v="1"/>
    <x v="1"/>
    <n v="3"/>
    <s v="Married"/>
    <n v="2773"/>
    <n v="12145"/>
    <n v="0"/>
    <s v="Y"/>
    <x v="1"/>
    <n v="20"/>
    <n v="4"/>
    <n v="4"/>
    <n v="80"/>
    <n v="0"/>
    <n v="3"/>
    <n v="3"/>
    <n v="3"/>
    <n v="2"/>
    <x v="1"/>
    <n v="2"/>
    <n v="2"/>
    <n v="2"/>
    <x v="2"/>
    <n v="0"/>
  </r>
  <r>
    <n v="33"/>
    <x v="1"/>
    <x v="1"/>
    <x v="0"/>
    <n v="1216"/>
    <x v="0"/>
    <n v="8"/>
    <n v="4"/>
    <s v="Marketing"/>
    <n v="1"/>
    <n v="677"/>
    <n v="3"/>
    <x v="1"/>
    <n v="39"/>
    <n v="3"/>
    <n v="2"/>
    <x v="0"/>
    <n v="3"/>
    <s v="Divorced"/>
    <n v="7104"/>
    <n v="20431"/>
    <n v="0"/>
    <s v="Y"/>
    <x v="1"/>
    <n v="12"/>
    <n v="3"/>
    <n v="4"/>
    <n v="80"/>
    <n v="0"/>
    <n v="6"/>
    <n v="3"/>
    <n v="3"/>
    <n v="5"/>
    <x v="2"/>
    <n v="0"/>
    <n v="1"/>
    <n v="2"/>
    <x v="2"/>
    <n v="0"/>
  </r>
  <r>
    <n v="32"/>
    <x v="1"/>
    <x v="1"/>
    <x v="0"/>
    <n v="646"/>
    <x v="1"/>
    <n v="9"/>
    <n v="4"/>
    <s v="Life Sciences"/>
    <n v="1"/>
    <n v="679"/>
    <n v="1"/>
    <x v="0"/>
    <n v="92"/>
    <n v="3"/>
    <n v="2"/>
    <x v="1"/>
    <n v="4"/>
    <s v="Married"/>
    <n v="6322"/>
    <n v="18089"/>
    <n v="1"/>
    <s v="Y"/>
    <x v="0"/>
    <n v="12"/>
    <n v="3"/>
    <n v="4"/>
    <n v="80"/>
    <n v="1"/>
    <n v="6"/>
    <n v="2"/>
    <n v="2"/>
    <n v="6"/>
    <x v="0"/>
    <n v="4"/>
    <n v="0"/>
    <n v="5"/>
    <x v="0"/>
    <n v="0"/>
  </r>
  <r>
    <n v="30"/>
    <x v="1"/>
    <x v="1"/>
    <x v="1"/>
    <n v="160"/>
    <x v="1"/>
    <n v="3"/>
    <n v="3"/>
    <s v="Medical"/>
    <n v="1"/>
    <n v="680"/>
    <n v="3"/>
    <x v="0"/>
    <n v="71"/>
    <n v="3"/>
    <n v="1"/>
    <x v="1"/>
    <n v="3"/>
    <s v="Divorced"/>
    <n v="2083"/>
    <n v="22653"/>
    <n v="1"/>
    <s v="Y"/>
    <x v="1"/>
    <n v="20"/>
    <n v="4"/>
    <n v="3"/>
    <n v="80"/>
    <n v="1"/>
    <n v="1"/>
    <n v="2"/>
    <n v="3"/>
    <n v="1"/>
    <x v="1"/>
    <n v="0"/>
    <n v="0"/>
    <n v="0"/>
    <x v="2"/>
    <n v="0"/>
  </r>
  <r>
    <n v="53"/>
    <x v="3"/>
    <x v="1"/>
    <x v="0"/>
    <n v="238"/>
    <x v="0"/>
    <n v="1"/>
    <n v="1"/>
    <s v="Medical"/>
    <n v="1"/>
    <n v="682"/>
    <n v="4"/>
    <x v="0"/>
    <n v="34"/>
    <n v="3"/>
    <n v="2"/>
    <x v="0"/>
    <n v="1"/>
    <s v="Single"/>
    <n v="8381"/>
    <n v="7507"/>
    <n v="7"/>
    <s v="Y"/>
    <x v="1"/>
    <n v="20"/>
    <n v="4"/>
    <n v="4"/>
    <n v="80"/>
    <n v="0"/>
    <n v="18"/>
    <n v="2"/>
    <n v="4"/>
    <n v="14"/>
    <x v="3"/>
    <n v="7"/>
    <n v="8"/>
    <n v="10"/>
    <x v="3"/>
    <n v="0"/>
  </r>
  <r>
    <n v="34"/>
    <x v="1"/>
    <x v="1"/>
    <x v="0"/>
    <n v="1397"/>
    <x v="1"/>
    <n v="1"/>
    <n v="5"/>
    <s v="Life Sciences"/>
    <n v="1"/>
    <n v="683"/>
    <n v="2"/>
    <x v="1"/>
    <n v="42"/>
    <n v="3"/>
    <n v="1"/>
    <x v="1"/>
    <n v="4"/>
    <s v="Married"/>
    <n v="2691"/>
    <n v="7660"/>
    <n v="1"/>
    <s v="Y"/>
    <x v="1"/>
    <n v="12"/>
    <n v="3"/>
    <n v="4"/>
    <n v="80"/>
    <n v="1"/>
    <n v="10"/>
    <n v="4"/>
    <n v="2"/>
    <n v="10"/>
    <x v="0"/>
    <n v="9"/>
    <n v="8"/>
    <n v="8"/>
    <x v="0"/>
    <n v="0"/>
  </r>
  <r>
    <n v="45"/>
    <x v="0"/>
    <x v="0"/>
    <x v="1"/>
    <n v="306"/>
    <x v="0"/>
    <n v="26"/>
    <n v="4"/>
    <s v="Life Sciences"/>
    <n v="1"/>
    <n v="684"/>
    <n v="1"/>
    <x v="0"/>
    <n v="100"/>
    <n v="3"/>
    <n v="2"/>
    <x v="0"/>
    <n v="1"/>
    <s v="Married"/>
    <n v="4286"/>
    <n v="5630"/>
    <n v="2"/>
    <s v="Y"/>
    <x v="1"/>
    <n v="14"/>
    <n v="3"/>
    <n v="4"/>
    <n v="80"/>
    <n v="2"/>
    <n v="5"/>
    <n v="4"/>
    <n v="3"/>
    <n v="1"/>
    <x v="1"/>
    <n v="1"/>
    <n v="0"/>
    <n v="0"/>
    <x v="3"/>
    <n v="1"/>
  </r>
  <r>
    <n v="26"/>
    <x v="2"/>
    <x v="1"/>
    <x v="0"/>
    <n v="991"/>
    <x v="1"/>
    <n v="6"/>
    <n v="3"/>
    <s v="Life Sciences"/>
    <n v="1"/>
    <n v="686"/>
    <n v="3"/>
    <x v="0"/>
    <n v="71"/>
    <n v="3"/>
    <n v="1"/>
    <x v="2"/>
    <n v="4"/>
    <s v="Married"/>
    <n v="2659"/>
    <n v="17759"/>
    <n v="1"/>
    <s v="Y"/>
    <x v="0"/>
    <n v="13"/>
    <n v="3"/>
    <n v="3"/>
    <n v="80"/>
    <n v="1"/>
    <n v="3"/>
    <n v="2"/>
    <n v="3"/>
    <n v="3"/>
    <x v="2"/>
    <n v="2"/>
    <n v="0"/>
    <n v="2"/>
    <x v="0"/>
    <n v="0"/>
  </r>
  <r>
    <n v="37"/>
    <x v="1"/>
    <x v="1"/>
    <x v="0"/>
    <n v="482"/>
    <x v="1"/>
    <n v="3"/>
    <n v="3"/>
    <s v="Other"/>
    <n v="1"/>
    <n v="689"/>
    <n v="3"/>
    <x v="1"/>
    <n v="36"/>
    <n v="3"/>
    <n v="3"/>
    <x v="3"/>
    <n v="3"/>
    <s v="Married"/>
    <n v="9434"/>
    <n v="9606"/>
    <n v="1"/>
    <s v="Y"/>
    <x v="1"/>
    <n v="15"/>
    <n v="3"/>
    <n v="3"/>
    <n v="80"/>
    <n v="1"/>
    <n v="10"/>
    <n v="2"/>
    <n v="3"/>
    <n v="10"/>
    <x v="0"/>
    <n v="7"/>
    <n v="7"/>
    <n v="8"/>
    <x v="2"/>
    <n v="0"/>
  </r>
  <r>
    <n v="29"/>
    <x v="2"/>
    <x v="1"/>
    <x v="0"/>
    <n v="1176"/>
    <x v="0"/>
    <n v="3"/>
    <n v="2"/>
    <s v="Medical"/>
    <n v="1"/>
    <n v="690"/>
    <n v="2"/>
    <x v="0"/>
    <n v="62"/>
    <n v="3"/>
    <n v="2"/>
    <x v="0"/>
    <n v="3"/>
    <s v="Married"/>
    <n v="5561"/>
    <n v="3487"/>
    <n v="1"/>
    <s v="Y"/>
    <x v="1"/>
    <n v="14"/>
    <n v="3"/>
    <n v="1"/>
    <n v="80"/>
    <n v="1"/>
    <n v="6"/>
    <n v="5"/>
    <n v="2"/>
    <n v="6"/>
    <x v="0"/>
    <n v="0"/>
    <n v="1"/>
    <n v="2"/>
    <x v="2"/>
    <n v="0"/>
  </r>
  <r>
    <n v="35"/>
    <x v="1"/>
    <x v="1"/>
    <x v="0"/>
    <n v="1017"/>
    <x v="1"/>
    <n v="6"/>
    <n v="4"/>
    <s v="Life Sciences"/>
    <n v="1"/>
    <n v="691"/>
    <n v="2"/>
    <x v="1"/>
    <n v="82"/>
    <n v="1"/>
    <n v="2"/>
    <x v="1"/>
    <n v="4"/>
    <s v="Single"/>
    <n v="6646"/>
    <n v="19368"/>
    <n v="1"/>
    <s v="Y"/>
    <x v="1"/>
    <n v="13"/>
    <n v="3"/>
    <n v="2"/>
    <n v="80"/>
    <n v="0"/>
    <n v="17"/>
    <n v="3"/>
    <n v="3"/>
    <n v="17"/>
    <x v="3"/>
    <n v="11"/>
    <n v="11"/>
    <n v="8"/>
    <x v="0"/>
    <n v="0"/>
  </r>
  <r>
    <n v="33"/>
    <x v="1"/>
    <x v="1"/>
    <x v="1"/>
    <n v="1296"/>
    <x v="1"/>
    <n v="6"/>
    <n v="3"/>
    <s v="Life Sciences"/>
    <n v="1"/>
    <n v="692"/>
    <n v="3"/>
    <x v="1"/>
    <n v="30"/>
    <n v="3"/>
    <n v="2"/>
    <x v="4"/>
    <n v="4"/>
    <s v="Divorced"/>
    <n v="7725"/>
    <n v="5335"/>
    <n v="3"/>
    <s v="Y"/>
    <x v="1"/>
    <n v="23"/>
    <n v="4"/>
    <n v="3"/>
    <n v="80"/>
    <n v="1"/>
    <n v="15"/>
    <n v="2"/>
    <n v="1"/>
    <n v="13"/>
    <x v="3"/>
    <n v="11"/>
    <n v="4"/>
    <n v="7"/>
    <x v="0"/>
    <n v="0"/>
  </r>
  <r>
    <n v="54"/>
    <x v="3"/>
    <x v="1"/>
    <x v="0"/>
    <n v="397"/>
    <x v="2"/>
    <n v="19"/>
    <n v="4"/>
    <s v="Medical"/>
    <n v="1"/>
    <n v="698"/>
    <n v="3"/>
    <x v="1"/>
    <n v="88"/>
    <n v="3"/>
    <n v="3"/>
    <x v="8"/>
    <n v="2"/>
    <s v="Married"/>
    <n v="10725"/>
    <n v="6729"/>
    <n v="2"/>
    <s v="Y"/>
    <x v="1"/>
    <n v="15"/>
    <n v="3"/>
    <n v="3"/>
    <n v="80"/>
    <n v="1"/>
    <n v="16"/>
    <n v="1"/>
    <n v="4"/>
    <n v="9"/>
    <x v="0"/>
    <n v="7"/>
    <n v="7"/>
    <n v="1"/>
    <x v="1"/>
    <n v="0"/>
  </r>
  <r>
    <n v="36"/>
    <x v="1"/>
    <x v="1"/>
    <x v="0"/>
    <n v="913"/>
    <x v="1"/>
    <n v="9"/>
    <n v="2"/>
    <s v="Medical"/>
    <n v="1"/>
    <n v="699"/>
    <n v="2"/>
    <x v="1"/>
    <n v="48"/>
    <n v="2"/>
    <n v="2"/>
    <x v="3"/>
    <n v="2"/>
    <s v="Divorced"/>
    <n v="8847"/>
    <n v="13934"/>
    <n v="2"/>
    <s v="Y"/>
    <x v="0"/>
    <n v="11"/>
    <n v="3"/>
    <n v="3"/>
    <n v="80"/>
    <n v="1"/>
    <n v="13"/>
    <n v="2"/>
    <n v="3"/>
    <n v="3"/>
    <x v="2"/>
    <n v="2"/>
    <n v="0"/>
    <n v="2"/>
    <x v="1"/>
    <n v="0"/>
  </r>
  <r>
    <n v="27"/>
    <x v="2"/>
    <x v="1"/>
    <x v="0"/>
    <n v="1115"/>
    <x v="1"/>
    <n v="3"/>
    <n v="4"/>
    <s v="Medical"/>
    <n v="1"/>
    <n v="700"/>
    <n v="1"/>
    <x v="1"/>
    <n v="54"/>
    <n v="2"/>
    <n v="1"/>
    <x v="1"/>
    <n v="4"/>
    <s v="Single"/>
    <n v="2045"/>
    <n v="15174"/>
    <n v="0"/>
    <s v="Y"/>
    <x v="1"/>
    <n v="13"/>
    <n v="3"/>
    <n v="4"/>
    <n v="80"/>
    <n v="0"/>
    <n v="5"/>
    <n v="0"/>
    <n v="3"/>
    <n v="4"/>
    <x v="2"/>
    <n v="2"/>
    <n v="1"/>
    <n v="1"/>
    <x v="0"/>
    <n v="0"/>
  </r>
  <r>
    <n v="20"/>
    <x v="2"/>
    <x v="0"/>
    <x v="0"/>
    <n v="1362"/>
    <x v="1"/>
    <n v="10"/>
    <n v="1"/>
    <s v="Medical"/>
    <n v="1"/>
    <n v="701"/>
    <n v="4"/>
    <x v="1"/>
    <n v="32"/>
    <n v="3"/>
    <n v="1"/>
    <x v="1"/>
    <n v="3"/>
    <s v="Single"/>
    <n v="1009"/>
    <n v="26999"/>
    <n v="1"/>
    <s v="Y"/>
    <x v="0"/>
    <n v="11"/>
    <n v="3"/>
    <n v="4"/>
    <n v="80"/>
    <n v="0"/>
    <n v="1"/>
    <n v="5"/>
    <n v="3"/>
    <n v="1"/>
    <x v="1"/>
    <n v="0"/>
    <n v="1"/>
    <n v="1"/>
    <x v="2"/>
    <n v="1"/>
  </r>
  <r>
    <n v="33"/>
    <x v="1"/>
    <x v="0"/>
    <x v="1"/>
    <n v="1076"/>
    <x v="1"/>
    <n v="3"/>
    <n v="3"/>
    <s v="Life Sciences"/>
    <n v="1"/>
    <n v="702"/>
    <n v="1"/>
    <x v="1"/>
    <n v="70"/>
    <n v="3"/>
    <n v="1"/>
    <x v="1"/>
    <n v="1"/>
    <s v="Single"/>
    <n v="3348"/>
    <n v="3164"/>
    <n v="1"/>
    <s v="Y"/>
    <x v="0"/>
    <n v="11"/>
    <n v="3"/>
    <n v="1"/>
    <n v="80"/>
    <n v="0"/>
    <n v="10"/>
    <n v="3"/>
    <n v="3"/>
    <n v="10"/>
    <x v="0"/>
    <n v="8"/>
    <n v="9"/>
    <n v="7"/>
    <x v="3"/>
    <n v="1"/>
  </r>
  <r>
    <n v="35"/>
    <x v="1"/>
    <x v="1"/>
    <x v="2"/>
    <n v="727"/>
    <x v="1"/>
    <n v="3"/>
    <n v="3"/>
    <s v="Life Sciences"/>
    <n v="1"/>
    <n v="704"/>
    <n v="3"/>
    <x v="1"/>
    <n v="41"/>
    <n v="2"/>
    <n v="1"/>
    <x v="2"/>
    <n v="3"/>
    <s v="Married"/>
    <n v="1281"/>
    <n v="16900"/>
    <n v="1"/>
    <s v="Y"/>
    <x v="1"/>
    <n v="18"/>
    <n v="3"/>
    <n v="3"/>
    <n v="80"/>
    <n v="2"/>
    <n v="1"/>
    <n v="3"/>
    <n v="3"/>
    <n v="1"/>
    <x v="1"/>
    <n v="0"/>
    <n v="0"/>
    <n v="0"/>
    <x v="2"/>
    <n v="0"/>
  </r>
  <r>
    <n v="23"/>
    <x v="2"/>
    <x v="1"/>
    <x v="0"/>
    <n v="885"/>
    <x v="1"/>
    <n v="4"/>
    <n v="3"/>
    <s v="Medical"/>
    <n v="1"/>
    <n v="705"/>
    <n v="1"/>
    <x v="1"/>
    <n v="58"/>
    <n v="4"/>
    <n v="1"/>
    <x v="1"/>
    <n v="1"/>
    <s v="Married"/>
    <n v="2819"/>
    <n v="8544"/>
    <n v="2"/>
    <s v="Y"/>
    <x v="1"/>
    <n v="16"/>
    <n v="3"/>
    <n v="1"/>
    <n v="80"/>
    <n v="1"/>
    <n v="5"/>
    <n v="3"/>
    <n v="4"/>
    <n v="3"/>
    <x v="2"/>
    <n v="2"/>
    <n v="0"/>
    <n v="2"/>
    <x v="3"/>
    <n v="0"/>
  </r>
  <r>
    <n v="25"/>
    <x v="2"/>
    <x v="1"/>
    <x v="0"/>
    <n v="810"/>
    <x v="0"/>
    <n v="8"/>
    <n v="3"/>
    <s v="Life Sciences"/>
    <n v="1"/>
    <n v="707"/>
    <n v="4"/>
    <x v="1"/>
    <n v="57"/>
    <n v="4"/>
    <n v="2"/>
    <x v="0"/>
    <n v="2"/>
    <s v="Married"/>
    <n v="4851"/>
    <n v="15678"/>
    <n v="0"/>
    <s v="Y"/>
    <x v="1"/>
    <n v="22"/>
    <n v="4"/>
    <n v="3"/>
    <n v="80"/>
    <n v="1"/>
    <n v="4"/>
    <n v="4"/>
    <n v="3"/>
    <n v="3"/>
    <x v="2"/>
    <n v="2"/>
    <n v="1"/>
    <n v="2"/>
    <x v="1"/>
    <n v="0"/>
  </r>
  <r>
    <n v="38"/>
    <x v="1"/>
    <x v="1"/>
    <x v="0"/>
    <n v="243"/>
    <x v="0"/>
    <n v="7"/>
    <n v="4"/>
    <s v="Marketing"/>
    <n v="1"/>
    <n v="709"/>
    <n v="4"/>
    <x v="0"/>
    <n v="46"/>
    <n v="2"/>
    <n v="2"/>
    <x v="0"/>
    <n v="4"/>
    <s v="Single"/>
    <n v="4028"/>
    <n v="7791"/>
    <n v="0"/>
    <s v="Y"/>
    <x v="1"/>
    <n v="20"/>
    <n v="4"/>
    <n v="1"/>
    <n v="80"/>
    <n v="0"/>
    <n v="8"/>
    <n v="2"/>
    <n v="3"/>
    <n v="7"/>
    <x v="0"/>
    <n v="7"/>
    <n v="0"/>
    <n v="5"/>
    <x v="0"/>
    <n v="0"/>
  </r>
  <r>
    <n v="29"/>
    <x v="2"/>
    <x v="1"/>
    <x v="1"/>
    <n v="806"/>
    <x v="1"/>
    <n v="1"/>
    <n v="4"/>
    <s v="Life Sciences"/>
    <n v="1"/>
    <n v="710"/>
    <n v="2"/>
    <x v="1"/>
    <n v="76"/>
    <n v="1"/>
    <n v="1"/>
    <x v="1"/>
    <n v="4"/>
    <s v="Divorced"/>
    <n v="2720"/>
    <n v="18959"/>
    <n v="1"/>
    <s v="Y"/>
    <x v="1"/>
    <n v="18"/>
    <n v="3"/>
    <n v="4"/>
    <n v="80"/>
    <n v="1"/>
    <n v="10"/>
    <n v="5"/>
    <n v="3"/>
    <n v="10"/>
    <x v="0"/>
    <n v="7"/>
    <n v="2"/>
    <n v="8"/>
    <x v="0"/>
    <n v="0"/>
  </r>
  <r>
    <n v="48"/>
    <x v="0"/>
    <x v="1"/>
    <x v="0"/>
    <n v="817"/>
    <x v="0"/>
    <n v="2"/>
    <n v="1"/>
    <s v="Marketing"/>
    <n v="1"/>
    <n v="712"/>
    <n v="2"/>
    <x v="1"/>
    <n v="56"/>
    <n v="4"/>
    <n v="2"/>
    <x v="0"/>
    <n v="2"/>
    <s v="Married"/>
    <n v="8120"/>
    <n v="18597"/>
    <n v="3"/>
    <s v="Y"/>
    <x v="1"/>
    <n v="12"/>
    <n v="3"/>
    <n v="4"/>
    <n v="80"/>
    <n v="0"/>
    <n v="12"/>
    <n v="3"/>
    <n v="3"/>
    <n v="2"/>
    <x v="1"/>
    <n v="2"/>
    <n v="2"/>
    <n v="2"/>
    <x v="1"/>
    <n v="0"/>
  </r>
  <r>
    <n v="27"/>
    <x v="2"/>
    <x v="1"/>
    <x v="1"/>
    <n v="1410"/>
    <x v="0"/>
    <n v="3"/>
    <n v="1"/>
    <s v="Medical"/>
    <n v="1"/>
    <n v="714"/>
    <n v="4"/>
    <x v="0"/>
    <n v="71"/>
    <n v="4"/>
    <n v="2"/>
    <x v="0"/>
    <n v="4"/>
    <s v="Divorced"/>
    <n v="4647"/>
    <n v="16673"/>
    <n v="1"/>
    <s v="Y"/>
    <x v="0"/>
    <n v="20"/>
    <n v="4"/>
    <n v="2"/>
    <n v="80"/>
    <n v="2"/>
    <n v="6"/>
    <n v="3"/>
    <n v="3"/>
    <n v="6"/>
    <x v="0"/>
    <n v="5"/>
    <n v="0"/>
    <n v="4"/>
    <x v="0"/>
    <n v="0"/>
  </r>
  <r>
    <n v="37"/>
    <x v="1"/>
    <x v="1"/>
    <x v="0"/>
    <n v="1225"/>
    <x v="1"/>
    <n v="10"/>
    <n v="2"/>
    <s v="Life Sciences"/>
    <n v="1"/>
    <n v="715"/>
    <n v="4"/>
    <x v="1"/>
    <n v="80"/>
    <n v="4"/>
    <n v="1"/>
    <x v="1"/>
    <n v="4"/>
    <s v="Single"/>
    <n v="4680"/>
    <n v="15232"/>
    <n v="3"/>
    <s v="Y"/>
    <x v="1"/>
    <n v="17"/>
    <n v="3"/>
    <n v="1"/>
    <n v="80"/>
    <n v="0"/>
    <n v="4"/>
    <n v="2"/>
    <n v="3"/>
    <n v="1"/>
    <x v="1"/>
    <n v="0"/>
    <n v="0"/>
    <n v="0"/>
    <x v="0"/>
    <n v="0"/>
  </r>
  <r>
    <n v="50"/>
    <x v="0"/>
    <x v="1"/>
    <x v="0"/>
    <n v="1207"/>
    <x v="1"/>
    <n v="28"/>
    <n v="1"/>
    <s v="Medical"/>
    <n v="1"/>
    <n v="716"/>
    <n v="4"/>
    <x v="1"/>
    <n v="74"/>
    <n v="4"/>
    <n v="1"/>
    <x v="2"/>
    <n v="3"/>
    <s v="Married"/>
    <n v="3221"/>
    <n v="3297"/>
    <n v="1"/>
    <s v="Y"/>
    <x v="0"/>
    <n v="11"/>
    <n v="3"/>
    <n v="3"/>
    <n v="80"/>
    <n v="3"/>
    <n v="20"/>
    <n v="3"/>
    <n v="3"/>
    <n v="20"/>
    <x v="3"/>
    <n v="8"/>
    <n v="3"/>
    <n v="8"/>
    <x v="2"/>
    <n v="0"/>
  </r>
  <r>
    <n v="34"/>
    <x v="1"/>
    <x v="1"/>
    <x v="0"/>
    <n v="1442"/>
    <x v="1"/>
    <n v="9"/>
    <n v="3"/>
    <s v="Medical"/>
    <n v="1"/>
    <n v="717"/>
    <n v="4"/>
    <x v="0"/>
    <n v="46"/>
    <n v="2"/>
    <n v="3"/>
    <x v="4"/>
    <n v="2"/>
    <s v="Single"/>
    <n v="8621"/>
    <n v="17654"/>
    <n v="1"/>
    <s v="Y"/>
    <x v="1"/>
    <n v="14"/>
    <n v="3"/>
    <n v="2"/>
    <n v="80"/>
    <n v="0"/>
    <n v="9"/>
    <n v="3"/>
    <n v="4"/>
    <n v="8"/>
    <x v="0"/>
    <n v="7"/>
    <n v="7"/>
    <n v="7"/>
    <x v="1"/>
    <n v="0"/>
  </r>
  <r>
    <n v="24"/>
    <x v="2"/>
    <x v="0"/>
    <x v="0"/>
    <n v="693"/>
    <x v="0"/>
    <n v="3"/>
    <n v="2"/>
    <s v="Life Sciences"/>
    <n v="1"/>
    <n v="720"/>
    <n v="1"/>
    <x v="0"/>
    <n v="65"/>
    <n v="3"/>
    <n v="2"/>
    <x v="0"/>
    <n v="3"/>
    <s v="Single"/>
    <n v="4577"/>
    <n v="24785"/>
    <n v="9"/>
    <s v="Y"/>
    <x v="1"/>
    <n v="14"/>
    <n v="3"/>
    <n v="1"/>
    <n v="80"/>
    <n v="0"/>
    <n v="4"/>
    <n v="3"/>
    <n v="3"/>
    <n v="2"/>
    <x v="1"/>
    <n v="2"/>
    <n v="2"/>
    <n v="0"/>
    <x v="2"/>
    <n v="1"/>
  </r>
  <r>
    <n v="39"/>
    <x v="1"/>
    <x v="1"/>
    <x v="0"/>
    <n v="408"/>
    <x v="1"/>
    <n v="2"/>
    <n v="4"/>
    <s v="Technical Degree"/>
    <n v="1"/>
    <n v="721"/>
    <n v="4"/>
    <x v="0"/>
    <n v="80"/>
    <n v="2"/>
    <n v="2"/>
    <x v="4"/>
    <n v="3"/>
    <s v="Single"/>
    <n v="4553"/>
    <n v="20978"/>
    <n v="1"/>
    <s v="Y"/>
    <x v="1"/>
    <n v="11"/>
    <n v="3"/>
    <n v="1"/>
    <n v="80"/>
    <n v="0"/>
    <n v="20"/>
    <n v="4"/>
    <n v="3"/>
    <n v="20"/>
    <x v="3"/>
    <n v="7"/>
    <n v="11"/>
    <n v="10"/>
    <x v="2"/>
    <n v="0"/>
  </r>
  <r>
    <n v="32"/>
    <x v="1"/>
    <x v="1"/>
    <x v="0"/>
    <n v="929"/>
    <x v="0"/>
    <n v="10"/>
    <n v="3"/>
    <s v="Marketing"/>
    <n v="1"/>
    <n v="722"/>
    <n v="4"/>
    <x v="1"/>
    <n v="55"/>
    <n v="3"/>
    <n v="2"/>
    <x v="0"/>
    <n v="4"/>
    <s v="Single"/>
    <n v="5396"/>
    <n v="21703"/>
    <n v="1"/>
    <s v="Y"/>
    <x v="1"/>
    <n v="12"/>
    <n v="3"/>
    <n v="4"/>
    <n v="80"/>
    <n v="0"/>
    <n v="10"/>
    <n v="2"/>
    <n v="2"/>
    <n v="10"/>
    <x v="0"/>
    <n v="7"/>
    <n v="0"/>
    <n v="8"/>
    <x v="0"/>
    <n v="0"/>
  </r>
  <r>
    <n v="50"/>
    <x v="0"/>
    <x v="0"/>
    <x v="1"/>
    <n v="562"/>
    <x v="0"/>
    <n v="8"/>
    <n v="2"/>
    <s v="Technical Degree"/>
    <n v="1"/>
    <n v="723"/>
    <n v="2"/>
    <x v="1"/>
    <n v="50"/>
    <n v="3"/>
    <n v="2"/>
    <x v="0"/>
    <n v="3"/>
    <s v="Married"/>
    <n v="6796"/>
    <n v="23452"/>
    <n v="3"/>
    <s v="Y"/>
    <x v="0"/>
    <n v="14"/>
    <n v="3"/>
    <n v="1"/>
    <n v="80"/>
    <n v="1"/>
    <n v="18"/>
    <n v="4"/>
    <n v="3"/>
    <n v="4"/>
    <x v="2"/>
    <n v="3"/>
    <n v="1"/>
    <n v="3"/>
    <x v="2"/>
    <n v="1"/>
  </r>
  <r>
    <n v="38"/>
    <x v="1"/>
    <x v="1"/>
    <x v="0"/>
    <n v="827"/>
    <x v="1"/>
    <n v="1"/>
    <n v="4"/>
    <s v="Life Sciences"/>
    <n v="1"/>
    <n v="724"/>
    <n v="2"/>
    <x v="0"/>
    <n v="33"/>
    <n v="4"/>
    <n v="2"/>
    <x v="4"/>
    <n v="4"/>
    <s v="Single"/>
    <n v="7625"/>
    <n v="19383"/>
    <n v="0"/>
    <s v="Y"/>
    <x v="1"/>
    <n v="13"/>
    <n v="3"/>
    <n v="3"/>
    <n v="80"/>
    <n v="0"/>
    <n v="10"/>
    <n v="4"/>
    <n v="2"/>
    <n v="9"/>
    <x v="0"/>
    <n v="7"/>
    <n v="1"/>
    <n v="8"/>
    <x v="0"/>
    <n v="0"/>
  </r>
  <r>
    <n v="27"/>
    <x v="2"/>
    <x v="1"/>
    <x v="0"/>
    <n v="608"/>
    <x v="1"/>
    <n v="1"/>
    <n v="2"/>
    <s v="Life Sciences"/>
    <n v="1"/>
    <n v="725"/>
    <n v="3"/>
    <x v="0"/>
    <n v="68"/>
    <n v="3"/>
    <n v="3"/>
    <x v="3"/>
    <n v="1"/>
    <s v="Married"/>
    <n v="7412"/>
    <n v="6009"/>
    <n v="1"/>
    <s v="Y"/>
    <x v="1"/>
    <n v="11"/>
    <n v="3"/>
    <n v="4"/>
    <n v="80"/>
    <n v="0"/>
    <n v="9"/>
    <n v="3"/>
    <n v="3"/>
    <n v="9"/>
    <x v="0"/>
    <n v="7"/>
    <n v="0"/>
    <n v="7"/>
    <x v="3"/>
    <n v="0"/>
  </r>
  <r>
    <n v="32"/>
    <x v="1"/>
    <x v="1"/>
    <x v="0"/>
    <n v="1018"/>
    <x v="1"/>
    <n v="3"/>
    <n v="2"/>
    <s v="Life Sciences"/>
    <n v="1"/>
    <n v="727"/>
    <n v="3"/>
    <x v="0"/>
    <n v="39"/>
    <n v="3"/>
    <n v="3"/>
    <x v="7"/>
    <n v="4"/>
    <s v="Single"/>
    <n v="11159"/>
    <n v="19373"/>
    <n v="3"/>
    <s v="Y"/>
    <x v="1"/>
    <n v="15"/>
    <n v="3"/>
    <n v="4"/>
    <n v="80"/>
    <n v="0"/>
    <n v="10"/>
    <n v="6"/>
    <n v="3"/>
    <n v="7"/>
    <x v="0"/>
    <n v="7"/>
    <n v="7"/>
    <n v="7"/>
    <x v="0"/>
    <n v="0"/>
  </r>
  <r>
    <n v="47"/>
    <x v="0"/>
    <x v="1"/>
    <x v="0"/>
    <n v="703"/>
    <x v="0"/>
    <n v="14"/>
    <n v="4"/>
    <s v="Marketing"/>
    <n v="1"/>
    <n v="728"/>
    <n v="4"/>
    <x v="1"/>
    <n v="42"/>
    <n v="3"/>
    <n v="2"/>
    <x v="0"/>
    <n v="1"/>
    <s v="Single"/>
    <n v="4960"/>
    <n v="11825"/>
    <n v="2"/>
    <s v="Y"/>
    <x v="1"/>
    <n v="12"/>
    <n v="3"/>
    <n v="4"/>
    <n v="80"/>
    <n v="0"/>
    <n v="20"/>
    <n v="2"/>
    <n v="3"/>
    <n v="7"/>
    <x v="0"/>
    <n v="7"/>
    <n v="1"/>
    <n v="7"/>
    <x v="3"/>
    <n v="0"/>
  </r>
  <r>
    <n v="40"/>
    <x v="1"/>
    <x v="1"/>
    <x v="1"/>
    <n v="580"/>
    <x v="0"/>
    <n v="5"/>
    <n v="4"/>
    <s v="Life Sciences"/>
    <n v="1"/>
    <n v="729"/>
    <n v="4"/>
    <x v="1"/>
    <n v="48"/>
    <n v="2"/>
    <n v="3"/>
    <x v="0"/>
    <n v="1"/>
    <s v="Married"/>
    <n v="10475"/>
    <n v="23772"/>
    <n v="5"/>
    <s v="Y"/>
    <x v="0"/>
    <n v="21"/>
    <n v="4"/>
    <n v="3"/>
    <n v="80"/>
    <n v="1"/>
    <n v="20"/>
    <n v="2"/>
    <n v="3"/>
    <n v="18"/>
    <x v="3"/>
    <n v="13"/>
    <n v="1"/>
    <n v="12"/>
    <x v="3"/>
    <n v="0"/>
  </r>
  <r>
    <n v="53"/>
    <x v="3"/>
    <x v="1"/>
    <x v="0"/>
    <n v="970"/>
    <x v="1"/>
    <n v="7"/>
    <n v="3"/>
    <s v="Life Sciences"/>
    <n v="1"/>
    <n v="730"/>
    <n v="3"/>
    <x v="1"/>
    <n v="59"/>
    <n v="4"/>
    <n v="4"/>
    <x v="7"/>
    <n v="3"/>
    <s v="Married"/>
    <n v="14814"/>
    <n v="13514"/>
    <n v="3"/>
    <s v="Y"/>
    <x v="1"/>
    <n v="19"/>
    <n v="3"/>
    <n v="3"/>
    <n v="80"/>
    <n v="0"/>
    <n v="32"/>
    <n v="3"/>
    <n v="3"/>
    <n v="5"/>
    <x v="2"/>
    <n v="1"/>
    <n v="1"/>
    <n v="3"/>
    <x v="2"/>
    <n v="0"/>
  </r>
  <r>
    <n v="41"/>
    <x v="0"/>
    <x v="1"/>
    <x v="0"/>
    <n v="427"/>
    <x v="2"/>
    <n v="10"/>
    <n v="4"/>
    <s v="Human Resources"/>
    <n v="1"/>
    <n v="731"/>
    <n v="2"/>
    <x v="1"/>
    <n v="73"/>
    <n v="2"/>
    <n v="5"/>
    <x v="5"/>
    <n v="4"/>
    <s v="Divorced"/>
    <n v="19141"/>
    <n v="8861"/>
    <n v="3"/>
    <s v="Y"/>
    <x v="1"/>
    <n v="15"/>
    <n v="3"/>
    <n v="2"/>
    <n v="80"/>
    <n v="3"/>
    <n v="23"/>
    <n v="2"/>
    <n v="2"/>
    <n v="21"/>
    <x v="3"/>
    <n v="6"/>
    <n v="12"/>
    <n v="6"/>
    <x v="0"/>
    <n v="0"/>
  </r>
  <r>
    <n v="60"/>
    <x v="3"/>
    <x v="1"/>
    <x v="0"/>
    <n v="1179"/>
    <x v="0"/>
    <n v="16"/>
    <n v="4"/>
    <s v="Marketing"/>
    <n v="1"/>
    <n v="732"/>
    <n v="1"/>
    <x v="1"/>
    <n v="84"/>
    <n v="3"/>
    <n v="2"/>
    <x v="0"/>
    <n v="1"/>
    <s v="Single"/>
    <n v="5405"/>
    <n v="11924"/>
    <n v="8"/>
    <s v="Y"/>
    <x v="1"/>
    <n v="14"/>
    <n v="3"/>
    <n v="4"/>
    <n v="80"/>
    <n v="0"/>
    <n v="10"/>
    <n v="1"/>
    <n v="3"/>
    <n v="2"/>
    <x v="1"/>
    <n v="2"/>
    <n v="2"/>
    <n v="2"/>
    <x v="3"/>
    <n v="0"/>
  </r>
  <r>
    <n v="27"/>
    <x v="2"/>
    <x v="1"/>
    <x v="1"/>
    <n v="294"/>
    <x v="1"/>
    <n v="10"/>
    <n v="2"/>
    <s v="Life Sciences"/>
    <n v="1"/>
    <n v="733"/>
    <n v="4"/>
    <x v="1"/>
    <n v="32"/>
    <n v="3"/>
    <n v="3"/>
    <x v="3"/>
    <n v="1"/>
    <s v="Divorced"/>
    <n v="8793"/>
    <n v="4809"/>
    <n v="1"/>
    <s v="Y"/>
    <x v="1"/>
    <n v="21"/>
    <n v="4"/>
    <n v="3"/>
    <n v="80"/>
    <n v="2"/>
    <n v="9"/>
    <n v="4"/>
    <n v="2"/>
    <n v="9"/>
    <x v="0"/>
    <n v="7"/>
    <n v="1"/>
    <n v="7"/>
    <x v="3"/>
    <n v="0"/>
  </r>
  <r>
    <n v="41"/>
    <x v="0"/>
    <x v="1"/>
    <x v="0"/>
    <n v="314"/>
    <x v="2"/>
    <n v="1"/>
    <n v="3"/>
    <s v="Human Resources"/>
    <n v="1"/>
    <n v="734"/>
    <n v="4"/>
    <x v="1"/>
    <n v="59"/>
    <n v="2"/>
    <n v="5"/>
    <x v="5"/>
    <n v="3"/>
    <s v="Married"/>
    <n v="19189"/>
    <n v="19562"/>
    <n v="1"/>
    <s v="Y"/>
    <x v="1"/>
    <n v="12"/>
    <n v="3"/>
    <n v="2"/>
    <n v="80"/>
    <n v="1"/>
    <n v="22"/>
    <n v="3"/>
    <n v="3"/>
    <n v="22"/>
    <x v="3"/>
    <n v="7"/>
    <n v="2"/>
    <n v="10"/>
    <x v="2"/>
    <n v="0"/>
  </r>
  <r>
    <n v="50"/>
    <x v="0"/>
    <x v="1"/>
    <x v="0"/>
    <n v="316"/>
    <x v="0"/>
    <n v="8"/>
    <n v="4"/>
    <s v="Marketing"/>
    <n v="1"/>
    <n v="738"/>
    <n v="4"/>
    <x v="1"/>
    <n v="54"/>
    <n v="3"/>
    <n v="1"/>
    <x v="6"/>
    <n v="2"/>
    <s v="Married"/>
    <n v="3875"/>
    <n v="9983"/>
    <n v="7"/>
    <s v="Y"/>
    <x v="1"/>
    <n v="15"/>
    <n v="3"/>
    <n v="4"/>
    <n v="80"/>
    <n v="1"/>
    <n v="4"/>
    <n v="2"/>
    <n v="3"/>
    <n v="2"/>
    <x v="1"/>
    <n v="2"/>
    <n v="2"/>
    <n v="2"/>
    <x v="1"/>
    <n v="0"/>
  </r>
  <r>
    <n v="28"/>
    <x v="2"/>
    <x v="0"/>
    <x v="0"/>
    <n v="654"/>
    <x v="1"/>
    <n v="1"/>
    <n v="2"/>
    <s v="Life Sciences"/>
    <n v="1"/>
    <n v="741"/>
    <n v="1"/>
    <x v="0"/>
    <n v="67"/>
    <n v="1"/>
    <n v="1"/>
    <x v="1"/>
    <n v="2"/>
    <s v="Single"/>
    <n v="2216"/>
    <n v="3872"/>
    <n v="7"/>
    <s v="Y"/>
    <x v="0"/>
    <n v="13"/>
    <n v="3"/>
    <n v="4"/>
    <n v="80"/>
    <n v="0"/>
    <n v="10"/>
    <n v="4"/>
    <n v="3"/>
    <n v="7"/>
    <x v="0"/>
    <n v="7"/>
    <n v="3"/>
    <n v="7"/>
    <x v="1"/>
    <n v="1"/>
  </r>
  <r>
    <n v="36"/>
    <x v="1"/>
    <x v="1"/>
    <x v="2"/>
    <n v="427"/>
    <x v="1"/>
    <n v="8"/>
    <n v="3"/>
    <s v="Life Sciences"/>
    <n v="1"/>
    <n v="742"/>
    <n v="1"/>
    <x v="0"/>
    <n v="63"/>
    <n v="4"/>
    <n v="3"/>
    <x v="7"/>
    <n v="1"/>
    <s v="Married"/>
    <n v="11713"/>
    <n v="20335"/>
    <n v="9"/>
    <s v="Y"/>
    <x v="1"/>
    <n v="14"/>
    <n v="3"/>
    <n v="1"/>
    <n v="80"/>
    <n v="1"/>
    <n v="10"/>
    <n v="2"/>
    <n v="3"/>
    <n v="8"/>
    <x v="0"/>
    <n v="7"/>
    <n v="0"/>
    <n v="5"/>
    <x v="3"/>
    <n v="0"/>
  </r>
  <r>
    <n v="38"/>
    <x v="1"/>
    <x v="1"/>
    <x v="0"/>
    <n v="168"/>
    <x v="1"/>
    <n v="1"/>
    <n v="3"/>
    <s v="Life Sciences"/>
    <n v="1"/>
    <n v="743"/>
    <n v="3"/>
    <x v="0"/>
    <n v="81"/>
    <n v="3"/>
    <n v="3"/>
    <x v="3"/>
    <n v="3"/>
    <s v="Single"/>
    <n v="7861"/>
    <n v="15397"/>
    <n v="4"/>
    <s v="Y"/>
    <x v="0"/>
    <n v="14"/>
    <n v="3"/>
    <n v="4"/>
    <n v="80"/>
    <n v="0"/>
    <n v="10"/>
    <n v="4"/>
    <n v="4"/>
    <n v="1"/>
    <x v="1"/>
    <n v="0"/>
    <n v="0"/>
    <n v="0"/>
    <x v="2"/>
    <n v="0"/>
  </r>
  <r>
    <n v="44"/>
    <x v="0"/>
    <x v="1"/>
    <x v="2"/>
    <n v="381"/>
    <x v="1"/>
    <n v="24"/>
    <n v="3"/>
    <s v="Medical"/>
    <n v="1"/>
    <n v="744"/>
    <n v="1"/>
    <x v="1"/>
    <n v="49"/>
    <n v="1"/>
    <n v="1"/>
    <x v="2"/>
    <n v="3"/>
    <s v="Single"/>
    <n v="3708"/>
    <n v="2104"/>
    <n v="2"/>
    <s v="Y"/>
    <x v="1"/>
    <n v="14"/>
    <n v="3"/>
    <n v="3"/>
    <n v="80"/>
    <n v="0"/>
    <n v="9"/>
    <n v="5"/>
    <n v="3"/>
    <n v="5"/>
    <x v="2"/>
    <n v="2"/>
    <n v="1"/>
    <n v="4"/>
    <x v="2"/>
    <n v="0"/>
  </r>
  <r>
    <n v="47"/>
    <x v="0"/>
    <x v="1"/>
    <x v="1"/>
    <n v="217"/>
    <x v="0"/>
    <n v="3"/>
    <n v="3"/>
    <s v="Medical"/>
    <n v="1"/>
    <n v="746"/>
    <n v="4"/>
    <x v="0"/>
    <n v="49"/>
    <n v="3"/>
    <n v="4"/>
    <x v="0"/>
    <n v="3"/>
    <s v="Divorced"/>
    <n v="13770"/>
    <n v="10225"/>
    <n v="9"/>
    <s v="Y"/>
    <x v="0"/>
    <n v="12"/>
    <n v="3"/>
    <n v="4"/>
    <n v="80"/>
    <n v="2"/>
    <n v="28"/>
    <n v="2"/>
    <n v="2"/>
    <n v="22"/>
    <x v="3"/>
    <n v="2"/>
    <n v="11"/>
    <n v="13"/>
    <x v="2"/>
    <n v="0"/>
  </r>
  <r>
    <n v="30"/>
    <x v="1"/>
    <x v="1"/>
    <x v="0"/>
    <n v="501"/>
    <x v="0"/>
    <n v="27"/>
    <n v="5"/>
    <s v="Marketing"/>
    <n v="1"/>
    <n v="747"/>
    <n v="3"/>
    <x v="1"/>
    <n v="99"/>
    <n v="3"/>
    <n v="2"/>
    <x v="0"/>
    <n v="4"/>
    <s v="Divorced"/>
    <n v="5304"/>
    <n v="25275"/>
    <n v="7"/>
    <s v="Y"/>
    <x v="1"/>
    <n v="23"/>
    <n v="4"/>
    <n v="4"/>
    <n v="80"/>
    <n v="1"/>
    <n v="10"/>
    <n v="2"/>
    <n v="2"/>
    <n v="8"/>
    <x v="0"/>
    <n v="7"/>
    <n v="7"/>
    <n v="7"/>
    <x v="0"/>
    <n v="0"/>
  </r>
  <r>
    <n v="29"/>
    <x v="2"/>
    <x v="1"/>
    <x v="0"/>
    <n v="1396"/>
    <x v="0"/>
    <n v="10"/>
    <n v="3"/>
    <s v="Life Sciences"/>
    <n v="1"/>
    <n v="749"/>
    <n v="3"/>
    <x v="1"/>
    <n v="99"/>
    <n v="3"/>
    <n v="1"/>
    <x v="6"/>
    <n v="3"/>
    <s v="Single"/>
    <n v="2642"/>
    <n v="2755"/>
    <n v="1"/>
    <s v="Y"/>
    <x v="1"/>
    <n v="11"/>
    <n v="3"/>
    <n v="3"/>
    <n v="80"/>
    <n v="0"/>
    <n v="1"/>
    <n v="6"/>
    <n v="3"/>
    <n v="1"/>
    <x v="1"/>
    <n v="0"/>
    <n v="0"/>
    <n v="0"/>
    <x v="2"/>
    <n v="0"/>
  </r>
  <r>
    <n v="42"/>
    <x v="0"/>
    <x v="0"/>
    <x v="1"/>
    <n v="933"/>
    <x v="1"/>
    <n v="19"/>
    <n v="3"/>
    <s v="Medical"/>
    <n v="1"/>
    <n v="752"/>
    <n v="3"/>
    <x v="1"/>
    <n v="57"/>
    <n v="4"/>
    <n v="1"/>
    <x v="1"/>
    <n v="3"/>
    <s v="Divorced"/>
    <n v="2759"/>
    <n v="20366"/>
    <n v="6"/>
    <s v="Y"/>
    <x v="0"/>
    <n v="12"/>
    <n v="3"/>
    <n v="4"/>
    <n v="80"/>
    <n v="0"/>
    <n v="7"/>
    <n v="2"/>
    <n v="3"/>
    <n v="2"/>
    <x v="1"/>
    <n v="2"/>
    <n v="2"/>
    <n v="2"/>
    <x v="2"/>
    <n v="1"/>
  </r>
  <r>
    <n v="43"/>
    <x v="0"/>
    <x v="1"/>
    <x v="1"/>
    <n v="775"/>
    <x v="0"/>
    <n v="15"/>
    <n v="3"/>
    <s v="Life Sciences"/>
    <n v="1"/>
    <n v="754"/>
    <n v="4"/>
    <x v="1"/>
    <n v="47"/>
    <n v="2"/>
    <n v="2"/>
    <x v="0"/>
    <n v="4"/>
    <s v="Married"/>
    <n v="6804"/>
    <n v="23683"/>
    <n v="3"/>
    <s v="Y"/>
    <x v="1"/>
    <n v="18"/>
    <n v="3"/>
    <n v="3"/>
    <n v="80"/>
    <n v="1"/>
    <n v="7"/>
    <n v="5"/>
    <n v="3"/>
    <n v="2"/>
    <x v="1"/>
    <n v="2"/>
    <n v="2"/>
    <n v="2"/>
    <x v="0"/>
    <n v="0"/>
  </r>
  <r>
    <n v="34"/>
    <x v="1"/>
    <x v="1"/>
    <x v="0"/>
    <n v="970"/>
    <x v="1"/>
    <n v="8"/>
    <n v="2"/>
    <s v="Medical"/>
    <n v="1"/>
    <n v="757"/>
    <n v="2"/>
    <x v="0"/>
    <n v="96"/>
    <n v="3"/>
    <n v="2"/>
    <x v="4"/>
    <n v="3"/>
    <s v="Single"/>
    <n v="6142"/>
    <n v="7360"/>
    <n v="3"/>
    <s v="Y"/>
    <x v="1"/>
    <n v="11"/>
    <n v="3"/>
    <n v="4"/>
    <n v="80"/>
    <n v="0"/>
    <n v="10"/>
    <n v="2"/>
    <n v="3"/>
    <n v="5"/>
    <x v="2"/>
    <n v="1"/>
    <n v="4"/>
    <n v="3"/>
    <x v="2"/>
    <n v="0"/>
  </r>
  <r>
    <n v="23"/>
    <x v="2"/>
    <x v="1"/>
    <x v="0"/>
    <n v="650"/>
    <x v="1"/>
    <n v="9"/>
    <n v="1"/>
    <s v="Medical"/>
    <n v="1"/>
    <n v="758"/>
    <n v="2"/>
    <x v="1"/>
    <n v="37"/>
    <n v="3"/>
    <n v="1"/>
    <x v="2"/>
    <n v="1"/>
    <s v="Married"/>
    <n v="2500"/>
    <n v="4344"/>
    <n v="1"/>
    <s v="Y"/>
    <x v="1"/>
    <n v="14"/>
    <n v="3"/>
    <n v="4"/>
    <n v="80"/>
    <n v="1"/>
    <n v="5"/>
    <n v="2"/>
    <n v="4"/>
    <n v="4"/>
    <x v="2"/>
    <n v="3"/>
    <n v="0"/>
    <n v="2"/>
    <x v="3"/>
    <n v="0"/>
  </r>
  <r>
    <n v="39"/>
    <x v="1"/>
    <x v="1"/>
    <x v="0"/>
    <n v="141"/>
    <x v="2"/>
    <n v="3"/>
    <n v="3"/>
    <s v="Human Resources"/>
    <n v="1"/>
    <n v="760"/>
    <n v="3"/>
    <x v="0"/>
    <n v="44"/>
    <n v="4"/>
    <n v="2"/>
    <x v="8"/>
    <n v="2"/>
    <s v="Married"/>
    <n v="6389"/>
    <n v="18767"/>
    <n v="9"/>
    <s v="Y"/>
    <x v="1"/>
    <n v="15"/>
    <n v="3"/>
    <n v="3"/>
    <n v="80"/>
    <n v="1"/>
    <n v="12"/>
    <n v="3"/>
    <n v="1"/>
    <n v="8"/>
    <x v="0"/>
    <n v="3"/>
    <n v="3"/>
    <n v="6"/>
    <x v="1"/>
    <n v="0"/>
  </r>
  <r>
    <n v="56"/>
    <x v="3"/>
    <x v="1"/>
    <x v="0"/>
    <n v="832"/>
    <x v="1"/>
    <n v="9"/>
    <n v="3"/>
    <s v="Medical"/>
    <n v="1"/>
    <n v="762"/>
    <n v="3"/>
    <x v="1"/>
    <n v="81"/>
    <n v="3"/>
    <n v="4"/>
    <x v="4"/>
    <n v="4"/>
    <s v="Married"/>
    <n v="11103"/>
    <n v="20420"/>
    <n v="7"/>
    <s v="Y"/>
    <x v="1"/>
    <n v="11"/>
    <n v="3"/>
    <n v="3"/>
    <n v="80"/>
    <n v="0"/>
    <n v="30"/>
    <n v="1"/>
    <n v="2"/>
    <n v="10"/>
    <x v="0"/>
    <n v="7"/>
    <n v="1"/>
    <n v="1"/>
    <x v="0"/>
    <n v="0"/>
  </r>
  <r>
    <n v="40"/>
    <x v="1"/>
    <x v="1"/>
    <x v="0"/>
    <n v="804"/>
    <x v="1"/>
    <n v="2"/>
    <n v="1"/>
    <s v="Medical"/>
    <n v="1"/>
    <n v="763"/>
    <n v="4"/>
    <x v="0"/>
    <n v="86"/>
    <n v="2"/>
    <n v="1"/>
    <x v="1"/>
    <n v="4"/>
    <s v="Single"/>
    <n v="2342"/>
    <n v="22929"/>
    <n v="0"/>
    <s v="Y"/>
    <x v="0"/>
    <n v="20"/>
    <n v="4"/>
    <n v="4"/>
    <n v="80"/>
    <n v="0"/>
    <n v="5"/>
    <n v="2"/>
    <n v="2"/>
    <n v="4"/>
    <x v="2"/>
    <n v="2"/>
    <n v="2"/>
    <n v="3"/>
    <x v="0"/>
    <n v="0"/>
  </r>
  <r>
    <n v="27"/>
    <x v="2"/>
    <x v="1"/>
    <x v="0"/>
    <n v="975"/>
    <x v="1"/>
    <n v="7"/>
    <n v="3"/>
    <s v="Medical"/>
    <n v="1"/>
    <n v="764"/>
    <n v="4"/>
    <x v="0"/>
    <n v="55"/>
    <n v="2"/>
    <n v="2"/>
    <x v="4"/>
    <n v="1"/>
    <s v="Single"/>
    <n v="6811"/>
    <n v="23398"/>
    <n v="8"/>
    <s v="Y"/>
    <x v="1"/>
    <n v="19"/>
    <n v="3"/>
    <n v="1"/>
    <n v="80"/>
    <n v="0"/>
    <n v="9"/>
    <n v="2"/>
    <n v="1"/>
    <n v="7"/>
    <x v="0"/>
    <n v="6"/>
    <n v="0"/>
    <n v="7"/>
    <x v="3"/>
    <n v="0"/>
  </r>
  <r>
    <n v="29"/>
    <x v="2"/>
    <x v="1"/>
    <x v="0"/>
    <n v="1090"/>
    <x v="0"/>
    <n v="10"/>
    <n v="3"/>
    <s v="Marketing"/>
    <n v="1"/>
    <n v="766"/>
    <n v="4"/>
    <x v="1"/>
    <n v="83"/>
    <n v="3"/>
    <n v="1"/>
    <x v="6"/>
    <n v="2"/>
    <s v="Divorced"/>
    <n v="2297"/>
    <n v="17967"/>
    <n v="1"/>
    <s v="Y"/>
    <x v="1"/>
    <n v="14"/>
    <n v="3"/>
    <n v="4"/>
    <n v="80"/>
    <n v="2"/>
    <n v="2"/>
    <n v="2"/>
    <n v="3"/>
    <n v="2"/>
    <x v="1"/>
    <n v="2"/>
    <n v="2"/>
    <n v="2"/>
    <x v="1"/>
    <n v="0"/>
  </r>
  <r>
    <n v="53"/>
    <x v="3"/>
    <x v="1"/>
    <x v="0"/>
    <n v="346"/>
    <x v="1"/>
    <n v="6"/>
    <n v="3"/>
    <s v="Life Sciences"/>
    <n v="1"/>
    <n v="769"/>
    <n v="4"/>
    <x v="1"/>
    <n v="86"/>
    <n v="3"/>
    <n v="2"/>
    <x v="2"/>
    <n v="4"/>
    <s v="Single"/>
    <n v="2450"/>
    <n v="10919"/>
    <n v="2"/>
    <s v="Y"/>
    <x v="1"/>
    <n v="17"/>
    <n v="3"/>
    <n v="4"/>
    <n v="80"/>
    <n v="0"/>
    <n v="19"/>
    <n v="4"/>
    <n v="3"/>
    <n v="2"/>
    <x v="1"/>
    <n v="2"/>
    <n v="2"/>
    <n v="2"/>
    <x v="0"/>
    <n v="0"/>
  </r>
  <r>
    <n v="35"/>
    <x v="1"/>
    <x v="1"/>
    <x v="2"/>
    <n v="1225"/>
    <x v="1"/>
    <n v="2"/>
    <n v="4"/>
    <s v="Life Sciences"/>
    <n v="1"/>
    <n v="771"/>
    <n v="4"/>
    <x v="0"/>
    <n v="61"/>
    <n v="3"/>
    <n v="2"/>
    <x v="4"/>
    <n v="1"/>
    <s v="Divorced"/>
    <n v="5093"/>
    <n v="4761"/>
    <n v="2"/>
    <s v="Y"/>
    <x v="1"/>
    <n v="11"/>
    <n v="3"/>
    <n v="1"/>
    <n v="80"/>
    <n v="1"/>
    <n v="16"/>
    <n v="2"/>
    <n v="4"/>
    <n v="1"/>
    <x v="1"/>
    <n v="0"/>
    <n v="0"/>
    <n v="0"/>
    <x v="3"/>
    <n v="0"/>
  </r>
  <r>
    <n v="32"/>
    <x v="1"/>
    <x v="1"/>
    <x v="1"/>
    <n v="430"/>
    <x v="1"/>
    <n v="24"/>
    <n v="4"/>
    <s v="Life Sciences"/>
    <n v="1"/>
    <n v="772"/>
    <n v="1"/>
    <x v="1"/>
    <n v="80"/>
    <n v="3"/>
    <n v="2"/>
    <x v="2"/>
    <n v="4"/>
    <s v="Married"/>
    <n v="5309"/>
    <n v="21146"/>
    <n v="1"/>
    <s v="Y"/>
    <x v="1"/>
    <n v="15"/>
    <n v="3"/>
    <n v="4"/>
    <n v="80"/>
    <n v="2"/>
    <n v="10"/>
    <n v="2"/>
    <n v="3"/>
    <n v="10"/>
    <x v="0"/>
    <n v="8"/>
    <n v="4"/>
    <n v="7"/>
    <x v="0"/>
    <n v="0"/>
  </r>
  <r>
    <n v="38"/>
    <x v="1"/>
    <x v="1"/>
    <x v="0"/>
    <n v="268"/>
    <x v="1"/>
    <n v="2"/>
    <n v="5"/>
    <s v="Medical"/>
    <n v="1"/>
    <n v="773"/>
    <n v="4"/>
    <x v="1"/>
    <n v="92"/>
    <n v="3"/>
    <n v="1"/>
    <x v="1"/>
    <n v="3"/>
    <s v="Married"/>
    <n v="3057"/>
    <n v="20471"/>
    <n v="6"/>
    <s v="Y"/>
    <x v="0"/>
    <n v="13"/>
    <n v="3"/>
    <n v="2"/>
    <n v="80"/>
    <n v="1"/>
    <n v="6"/>
    <n v="0"/>
    <n v="1"/>
    <n v="1"/>
    <x v="1"/>
    <n v="0"/>
    <n v="0"/>
    <n v="1"/>
    <x v="2"/>
    <n v="0"/>
  </r>
  <r>
    <n v="34"/>
    <x v="1"/>
    <x v="1"/>
    <x v="0"/>
    <n v="167"/>
    <x v="1"/>
    <n v="8"/>
    <n v="5"/>
    <s v="Life Sciences"/>
    <n v="1"/>
    <n v="775"/>
    <n v="2"/>
    <x v="0"/>
    <n v="32"/>
    <n v="3"/>
    <n v="2"/>
    <x v="3"/>
    <n v="1"/>
    <s v="Divorced"/>
    <n v="5121"/>
    <n v="4187"/>
    <n v="3"/>
    <s v="Y"/>
    <x v="1"/>
    <n v="14"/>
    <n v="3"/>
    <n v="3"/>
    <n v="80"/>
    <n v="1"/>
    <n v="7"/>
    <n v="3"/>
    <n v="3"/>
    <n v="0"/>
    <x v="1"/>
    <n v="0"/>
    <n v="0"/>
    <n v="0"/>
    <x v="3"/>
    <n v="0"/>
  </r>
  <r>
    <n v="52"/>
    <x v="3"/>
    <x v="1"/>
    <x v="0"/>
    <n v="621"/>
    <x v="0"/>
    <n v="3"/>
    <n v="4"/>
    <s v="Marketing"/>
    <n v="1"/>
    <n v="776"/>
    <n v="3"/>
    <x v="1"/>
    <n v="31"/>
    <n v="2"/>
    <n v="4"/>
    <x v="5"/>
    <n v="1"/>
    <s v="Married"/>
    <n v="16856"/>
    <n v="10084"/>
    <n v="1"/>
    <s v="Y"/>
    <x v="1"/>
    <n v="11"/>
    <n v="3"/>
    <n v="1"/>
    <n v="80"/>
    <n v="0"/>
    <n v="34"/>
    <n v="3"/>
    <n v="4"/>
    <n v="34"/>
    <x v="3"/>
    <n v="6"/>
    <n v="1"/>
    <n v="16"/>
    <x v="3"/>
    <n v="0"/>
  </r>
  <r>
    <n v="33"/>
    <x v="1"/>
    <x v="0"/>
    <x v="0"/>
    <n v="527"/>
    <x v="1"/>
    <n v="1"/>
    <n v="4"/>
    <s v="Other"/>
    <n v="1"/>
    <n v="780"/>
    <n v="4"/>
    <x v="1"/>
    <n v="63"/>
    <n v="3"/>
    <n v="1"/>
    <x v="1"/>
    <n v="4"/>
    <s v="Single"/>
    <n v="2686"/>
    <n v="5207"/>
    <n v="1"/>
    <s v="Y"/>
    <x v="0"/>
    <n v="13"/>
    <n v="3"/>
    <n v="3"/>
    <n v="80"/>
    <n v="0"/>
    <n v="10"/>
    <n v="2"/>
    <n v="2"/>
    <n v="10"/>
    <x v="0"/>
    <n v="9"/>
    <n v="7"/>
    <n v="8"/>
    <x v="0"/>
    <n v="1"/>
  </r>
  <r>
    <n v="25"/>
    <x v="2"/>
    <x v="1"/>
    <x v="0"/>
    <n v="883"/>
    <x v="0"/>
    <n v="26"/>
    <n v="1"/>
    <s v="Medical"/>
    <n v="1"/>
    <n v="781"/>
    <n v="3"/>
    <x v="0"/>
    <n v="32"/>
    <n v="3"/>
    <n v="2"/>
    <x v="0"/>
    <n v="4"/>
    <s v="Single"/>
    <n v="6180"/>
    <n v="22807"/>
    <n v="1"/>
    <s v="Y"/>
    <x v="1"/>
    <n v="23"/>
    <n v="4"/>
    <n v="2"/>
    <n v="80"/>
    <n v="0"/>
    <n v="6"/>
    <n v="5"/>
    <n v="2"/>
    <n v="6"/>
    <x v="0"/>
    <n v="5"/>
    <n v="1"/>
    <n v="4"/>
    <x v="0"/>
    <n v="0"/>
  </r>
  <r>
    <n v="45"/>
    <x v="0"/>
    <x v="1"/>
    <x v="0"/>
    <n v="954"/>
    <x v="0"/>
    <n v="2"/>
    <n v="2"/>
    <s v="Technical Degree"/>
    <n v="1"/>
    <n v="783"/>
    <n v="2"/>
    <x v="1"/>
    <n v="46"/>
    <n v="1"/>
    <n v="2"/>
    <x v="6"/>
    <n v="3"/>
    <s v="Single"/>
    <n v="6632"/>
    <n v="12388"/>
    <n v="0"/>
    <s v="Y"/>
    <x v="1"/>
    <n v="13"/>
    <n v="3"/>
    <n v="1"/>
    <n v="80"/>
    <n v="0"/>
    <n v="9"/>
    <n v="3"/>
    <n v="3"/>
    <n v="8"/>
    <x v="0"/>
    <n v="7"/>
    <n v="3"/>
    <n v="1"/>
    <x v="2"/>
    <n v="0"/>
  </r>
  <r>
    <n v="23"/>
    <x v="2"/>
    <x v="1"/>
    <x v="0"/>
    <n v="310"/>
    <x v="1"/>
    <n v="10"/>
    <n v="1"/>
    <s v="Medical"/>
    <n v="1"/>
    <n v="784"/>
    <n v="1"/>
    <x v="1"/>
    <n v="79"/>
    <n v="4"/>
    <n v="1"/>
    <x v="1"/>
    <n v="3"/>
    <s v="Single"/>
    <n v="3505"/>
    <n v="19630"/>
    <n v="1"/>
    <s v="Y"/>
    <x v="1"/>
    <n v="18"/>
    <n v="3"/>
    <n v="4"/>
    <n v="80"/>
    <n v="0"/>
    <n v="2"/>
    <n v="3"/>
    <n v="3"/>
    <n v="2"/>
    <x v="1"/>
    <n v="2"/>
    <n v="0"/>
    <n v="2"/>
    <x v="2"/>
    <n v="0"/>
  </r>
  <r>
    <n v="47"/>
    <x v="0"/>
    <x v="0"/>
    <x v="1"/>
    <n v="719"/>
    <x v="0"/>
    <n v="27"/>
    <n v="2"/>
    <s v="Life Sciences"/>
    <n v="1"/>
    <n v="785"/>
    <n v="2"/>
    <x v="0"/>
    <n v="77"/>
    <n v="4"/>
    <n v="2"/>
    <x v="0"/>
    <n v="3"/>
    <s v="Single"/>
    <n v="6397"/>
    <n v="10339"/>
    <n v="4"/>
    <s v="Y"/>
    <x v="0"/>
    <n v="12"/>
    <n v="3"/>
    <n v="4"/>
    <n v="80"/>
    <n v="0"/>
    <n v="8"/>
    <n v="2"/>
    <n v="3"/>
    <n v="5"/>
    <x v="2"/>
    <n v="4"/>
    <n v="1"/>
    <n v="3"/>
    <x v="2"/>
    <n v="1"/>
  </r>
  <r>
    <n v="34"/>
    <x v="1"/>
    <x v="1"/>
    <x v="0"/>
    <n v="304"/>
    <x v="0"/>
    <n v="2"/>
    <n v="3"/>
    <s v="Other"/>
    <n v="1"/>
    <n v="786"/>
    <n v="4"/>
    <x v="1"/>
    <n v="60"/>
    <n v="3"/>
    <n v="2"/>
    <x v="0"/>
    <n v="4"/>
    <s v="Single"/>
    <n v="6274"/>
    <n v="18686"/>
    <n v="1"/>
    <s v="Y"/>
    <x v="1"/>
    <n v="22"/>
    <n v="4"/>
    <n v="3"/>
    <n v="80"/>
    <n v="0"/>
    <n v="6"/>
    <n v="5"/>
    <n v="3"/>
    <n v="6"/>
    <x v="0"/>
    <n v="5"/>
    <n v="1"/>
    <n v="4"/>
    <x v="0"/>
    <n v="0"/>
  </r>
  <r>
    <n v="55"/>
    <x v="3"/>
    <x v="0"/>
    <x v="0"/>
    <n v="725"/>
    <x v="1"/>
    <n v="2"/>
    <n v="3"/>
    <s v="Medical"/>
    <n v="1"/>
    <n v="787"/>
    <n v="4"/>
    <x v="1"/>
    <n v="78"/>
    <n v="3"/>
    <n v="5"/>
    <x v="5"/>
    <n v="1"/>
    <s v="Married"/>
    <n v="19859"/>
    <n v="21199"/>
    <n v="5"/>
    <s v="Y"/>
    <x v="0"/>
    <n v="13"/>
    <n v="3"/>
    <n v="4"/>
    <n v="80"/>
    <n v="1"/>
    <n v="24"/>
    <n v="2"/>
    <n v="3"/>
    <n v="5"/>
    <x v="2"/>
    <n v="2"/>
    <n v="1"/>
    <n v="4"/>
    <x v="3"/>
    <n v="1"/>
  </r>
  <r>
    <n v="36"/>
    <x v="1"/>
    <x v="1"/>
    <x v="2"/>
    <n v="1434"/>
    <x v="0"/>
    <n v="8"/>
    <n v="4"/>
    <s v="Life Sciences"/>
    <n v="1"/>
    <n v="789"/>
    <n v="1"/>
    <x v="1"/>
    <n v="76"/>
    <n v="2"/>
    <n v="3"/>
    <x v="0"/>
    <n v="1"/>
    <s v="Single"/>
    <n v="7587"/>
    <n v="14229"/>
    <n v="1"/>
    <s v="Y"/>
    <x v="1"/>
    <n v="15"/>
    <n v="3"/>
    <n v="2"/>
    <n v="80"/>
    <n v="0"/>
    <n v="10"/>
    <n v="1"/>
    <n v="3"/>
    <n v="10"/>
    <x v="0"/>
    <n v="7"/>
    <n v="0"/>
    <n v="9"/>
    <x v="3"/>
    <n v="0"/>
  </r>
  <r>
    <n v="52"/>
    <x v="3"/>
    <x v="1"/>
    <x v="2"/>
    <n v="715"/>
    <x v="1"/>
    <n v="19"/>
    <n v="4"/>
    <s v="Medical"/>
    <n v="1"/>
    <n v="791"/>
    <n v="4"/>
    <x v="1"/>
    <n v="41"/>
    <n v="3"/>
    <n v="1"/>
    <x v="1"/>
    <n v="4"/>
    <s v="Married"/>
    <n v="4258"/>
    <n v="26589"/>
    <n v="0"/>
    <s v="Y"/>
    <x v="1"/>
    <n v="18"/>
    <n v="3"/>
    <n v="1"/>
    <n v="80"/>
    <n v="1"/>
    <n v="5"/>
    <n v="3"/>
    <n v="3"/>
    <n v="4"/>
    <x v="2"/>
    <n v="3"/>
    <n v="1"/>
    <n v="2"/>
    <x v="0"/>
    <n v="0"/>
  </r>
  <r>
    <n v="26"/>
    <x v="2"/>
    <x v="1"/>
    <x v="1"/>
    <n v="575"/>
    <x v="1"/>
    <n v="1"/>
    <n v="2"/>
    <s v="Life Sciences"/>
    <n v="1"/>
    <n v="792"/>
    <n v="1"/>
    <x v="0"/>
    <n v="71"/>
    <n v="1"/>
    <n v="1"/>
    <x v="2"/>
    <n v="4"/>
    <s v="Divorced"/>
    <n v="4364"/>
    <n v="5288"/>
    <n v="3"/>
    <s v="Y"/>
    <x v="1"/>
    <n v="14"/>
    <n v="3"/>
    <n v="1"/>
    <n v="80"/>
    <n v="1"/>
    <n v="5"/>
    <n v="2"/>
    <n v="3"/>
    <n v="2"/>
    <x v="1"/>
    <n v="2"/>
    <n v="2"/>
    <n v="0"/>
    <x v="0"/>
    <n v="0"/>
  </r>
  <r>
    <n v="29"/>
    <x v="2"/>
    <x v="1"/>
    <x v="0"/>
    <n v="657"/>
    <x v="1"/>
    <n v="27"/>
    <n v="3"/>
    <s v="Medical"/>
    <n v="1"/>
    <n v="793"/>
    <n v="2"/>
    <x v="0"/>
    <n v="66"/>
    <n v="3"/>
    <n v="2"/>
    <x v="4"/>
    <n v="3"/>
    <s v="Married"/>
    <n v="4335"/>
    <n v="25549"/>
    <n v="4"/>
    <s v="Y"/>
    <x v="1"/>
    <n v="12"/>
    <n v="3"/>
    <n v="1"/>
    <n v="80"/>
    <n v="1"/>
    <n v="11"/>
    <n v="3"/>
    <n v="2"/>
    <n v="8"/>
    <x v="0"/>
    <n v="7"/>
    <n v="1"/>
    <n v="1"/>
    <x v="2"/>
    <n v="0"/>
  </r>
  <r>
    <n v="26"/>
    <x v="2"/>
    <x v="0"/>
    <x v="0"/>
    <n v="1146"/>
    <x v="0"/>
    <n v="8"/>
    <n v="3"/>
    <s v="Technical Degree"/>
    <n v="1"/>
    <n v="796"/>
    <n v="4"/>
    <x v="1"/>
    <n v="38"/>
    <n v="2"/>
    <n v="2"/>
    <x v="0"/>
    <n v="1"/>
    <s v="Single"/>
    <n v="5326"/>
    <n v="3064"/>
    <n v="6"/>
    <s v="Y"/>
    <x v="1"/>
    <n v="17"/>
    <n v="3"/>
    <n v="3"/>
    <n v="80"/>
    <n v="0"/>
    <n v="6"/>
    <n v="2"/>
    <n v="2"/>
    <n v="4"/>
    <x v="2"/>
    <n v="3"/>
    <n v="1"/>
    <n v="2"/>
    <x v="3"/>
    <n v="1"/>
  </r>
  <r>
    <n v="34"/>
    <x v="1"/>
    <x v="1"/>
    <x v="0"/>
    <n v="182"/>
    <x v="1"/>
    <n v="1"/>
    <n v="4"/>
    <s v="Life Sciences"/>
    <n v="1"/>
    <n v="797"/>
    <n v="2"/>
    <x v="0"/>
    <n v="72"/>
    <n v="4"/>
    <n v="1"/>
    <x v="1"/>
    <n v="4"/>
    <s v="Single"/>
    <n v="3280"/>
    <n v="13551"/>
    <n v="2"/>
    <s v="Y"/>
    <x v="1"/>
    <n v="16"/>
    <n v="3"/>
    <n v="3"/>
    <n v="80"/>
    <n v="0"/>
    <n v="10"/>
    <n v="2"/>
    <n v="3"/>
    <n v="4"/>
    <x v="2"/>
    <n v="2"/>
    <n v="1"/>
    <n v="3"/>
    <x v="0"/>
    <n v="0"/>
  </r>
  <r>
    <n v="54"/>
    <x v="3"/>
    <x v="1"/>
    <x v="0"/>
    <n v="376"/>
    <x v="1"/>
    <n v="19"/>
    <n v="4"/>
    <s v="Medical"/>
    <n v="1"/>
    <n v="799"/>
    <n v="4"/>
    <x v="0"/>
    <n v="95"/>
    <n v="3"/>
    <n v="2"/>
    <x v="3"/>
    <n v="1"/>
    <s v="Divorced"/>
    <n v="5485"/>
    <n v="22670"/>
    <n v="9"/>
    <s v="Y"/>
    <x v="0"/>
    <n v="11"/>
    <n v="3"/>
    <n v="2"/>
    <n v="80"/>
    <n v="2"/>
    <n v="9"/>
    <n v="4"/>
    <n v="3"/>
    <n v="5"/>
    <x v="2"/>
    <n v="3"/>
    <n v="1"/>
    <n v="4"/>
    <x v="3"/>
    <n v="0"/>
  </r>
  <r>
    <n v="27"/>
    <x v="2"/>
    <x v="1"/>
    <x v="1"/>
    <n v="829"/>
    <x v="0"/>
    <n v="8"/>
    <n v="1"/>
    <s v="Marketing"/>
    <n v="1"/>
    <n v="800"/>
    <n v="3"/>
    <x v="1"/>
    <n v="84"/>
    <n v="3"/>
    <n v="2"/>
    <x v="0"/>
    <n v="4"/>
    <s v="Married"/>
    <n v="4342"/>
    <n v="24008"/>
    <n v="0"/>
    <s v="Y"/>
    <x v="1"/>
    <n v="19"/>
    <n v="3"/>
    <n v="2"/>
    <n v="80"/>
    <n v="1"/>
    <n v="5"/>
    <n v="3"/>
    <n v="3"/>
    <n v="4"/>
    <x v="2"/>
    <n v="2"/>
    <n v="1"/>
    <n v="1"/>
    <x v="0"/>
    <n v="0"/>
  </r>
  <r>
    <n v="37"/>
    <x v="1"/>
    <x v="1"/>
    <x v="0"/>
    <n v="571"/>
    <x v="1"/>
    <n v="10"/>
    <n v="1"/>
    <s v="Life Sciences"/>
    <n v="1"/>
    <n v="802"/>
    <n v="4"/>
    <x v="0"/>
    <n v="82"/>
    <n v="3"/>
    <n v="1"/>
    <x v="1"/>
    <n v="1"/>
    <s v="Divorced"/>
    <n v="2782"/>
    <n v="19905"/>
    <n v="0"/>
    <s v="Y"/>
    <x v="0"/>
    <n v="13"/>
    <n v="3"/>
    <n v="2"/>
    <n v="80"/>
    <n v="2"/>
    <n v="6"/>
    <n v="3"/>
    <n v="2"/>
    <n v="5"/>
    <x v="2"/>
    <n v="3"/>
    <n v="4"/>
    <n v="3"/>
    <x v="3"/>
    <n v="0"/>
  </r>
  <r>
    <n v="38"/>
    <x v="1"/>
    <x v="1"/>
    <x v="1"/>
    <n v="240"/>
    <x v="1"/>
    <n v="2"/>
    <n v="4"/>
    <s v="Life Sciences"/>
    <n v="1"/>
    <n v="803"/>
    <n v="1"/>
    <x v="0"/>
    <n v="75"/>
    <n v="4"/>
    <n v="2"/>
    <x v="3"/>
    <n v="1"/>
    <s v="Single"/>
    <n v="5980"/>
    <n v="26085"/>
    <n v="6"/>
    <s v="Y"/>
    <x v="0"/>
    <n v="12"/>
    <n v="3"/>
    <n v="4"/>
    <n v="80"/>
    <n v="0"/>
    <n v="17"/>
    <n v="2"/>
    <n v="3"/>
    <n v="15"/>
    <x v="3"/>
    <n v="7"/>
    <n v="4"/>
    <n v="12"/>
    <x v="3"/>
    <n v="0"/>
  </r>
  <r>
    <n v="34"/>
    <x v="1"/>
    <x v="1"/>
    <x v="0"/>
    <n v="121"/>
    <x v="1"/>
    <n v="2"/>
    <n v="4"/>
    <s v="Medical"/>
    <n v="1"/>
    <n v="804"/>
    <n v="3"/>
    <x v="0"/>
    <n v="86"/>
    <n v="2"/>
    <n v="1"/>
    <x v="1"/>
    <n v="1"/>
    <s v="Single"/>
    <n v="4381"/>
    <n v="7530"/>
    <n v="1"/>
    <s v="Y"/>
    <x v="1"/>
    <n v="11"/>
    <n v="3"/>
    <n v="3"/>
    <n v="80"/>
    <n v="0"/>
    <n v="6"/>
    <n v="3"/>
    <n v="3"/>
    <n v="6"/>
    <x v="0"/>
    <n v="5"/>
    <n v="1"/>
    <n v="3"/>
    <x v="3"/>
    <n v="0"/>
  </r>
  <r>
    <n v="35"/>
    <x v="1"/>
    <x v="1"/>
    <x v="0"/>
    <n v="384"/>
    <x v="0"/>
    <n v="8"/>
    <n v="4"/>
    <s v="Life Sciences"/>
    <n v="1"/>
    <n v="805"/>
    <n v="1"/>
    <x v="0"/>
    <n v="72"/>
    <n v="3"/>
    <n v="1"/>
    <x v="6"/>
    <n v="4"/>
    <s v="Married"/>
    <n v="2572"/>
    <n v="20317"/>
    <n v="1"/>
    <s v="Y"/>
    <x v="1"/>
    <n v="16"/>
    <n v="3"/>
    <n v="2"/>
    <n v="80"/>
    <n v="1"/>
    <n v="3"/>
    <n v="1"/>
    <n v="2"/>
    <n v="3"/>
    <x v="2"/>
    <n v="2"/>
    <n v="0"/>
    <n v="2"/>
    <x v="0"/>
    <n v="0"/>
  </r>
  <r>
    <n v="30"/>
    <x v="1"/>
    <x v="1"/>
    <x v="0"/>
    <n v="921"/>
    <x v="1"/>
    <n v="1"/>
    <n v="3"/>
    <s v="Life Sciences"/>
    <n v="1"/>
    <n v="806"/>
    <n v="4"/>
    <x v="1"/>
    <n v="38"/>
    <n v="1"/>
    <n v="1"/>
    <x v="2"/>
    <n v="3"/>
    <s v="Married"/>
    <n v="3833"/>
    <n v="24375"/>
    <n v="3"/>
    <s v="Y"/>
    <x v="1"/>
    <n v="21"/>
    <n v="4"/>
    <n v="3"/>
    <n v="80"/>
    <n v="2"/>
    <n v="7"/>
    <n v="2"/>
    <n v="3"/>
    <n v="2"/>
    <x v="1"/>
    <n v="2"/>
    <n v="0"/>
    <n v="2"/>
    <x v="2"/>
    <n v="0"/>
  </r>
  <r>
    <n v="40"/>
    <x v="1"/>
    <x v="1"/>
    <x v="1"/>
    <n v="791"/>
    <x v="1"/>
    <n v="2"/>
    <n v="2"/>
    <s v="Medical"/>
    <n v="1"/>
    <n v="807"/>
    <n v="3"/>
    <x v="0"/>
    <n v="38"/>
    <n v="4"/>
    <n v="2"/>
    <x v="4"/>
    <n v="2"/>
    <s v="Married"/>
    <n v="4244"/>
    <n v="9931"/>
    <n v="1"/>
    <s v="Y"/>
    <x v="1"/>
    <n v="24"/>
    <n v="4"/>
    <n v="4"/>
    <n v="80"/>
    <n v="1"/>
    <n v="8"/>
    <n v="2"/>
    <n v="3"/>
    <n v="8"/>
    <x v="0"/>
    <n v="7"/>
    <n v="3"/>
    <n v="7"/>
    <x v="1"/>
    <n v="0"/>
  </r>
  <r>
    <n v="34"/>
    <x v="1"/>
    <x v="1"/>
    <x v="0"/>
    <n v="1111"/>
    <x v="0"/>
    <n v="8"/>
    <n v="2"/>
    <s v="Life Sciences"/>
    <n v="1"/>
    <n v="808"/>
    <n v="3"/>
    <x v="0"/>
    <n v="93"/>
    <n v="3"/>
    <n v="2"/>
    <x v="0"/>
    <n v="1"/>
    <s v="Married"/>
    <n v="6500"/>
    <n v="13305"/>
    <n v="5"/>
    <s v="Y"/>
    <x v="1"/>
    <n v="17"/>
    <n v="3"/>
    <n v="2"/>
    <n v="80"/>
    <n v="1"/>
    <n v="6"/>
    <n v="1"/>
    <n v="3"/>
    <n v="3"/>
    <x v="2"/>
    <n v="2"/>
    <n v="1"/>
    <n v="2"/>
    <x v="3"/>
    <n v="0"/>
  </r>
  <r>
    <n v="42"/>
    <x v="0"/>
    <x v="1"/>
    <x v="1"/>
    <n v="570"/>
    <x v="1"/>
    <n v="8"/>
    <n v="3"/>
    <s v="Life Sciences"/>
    <n v="1"/>
    <n v="809"/>
    <n v="2"/>
    <x v="1"/>
    <n v="66"/>
    <n v="3"/>
    <n v="5"/>
    <x v="5"/>
    <n v="4"/>
    <s v="Divorced"/>
    <n v="18430"/>
    <n v="16225"/>
    <n v="1"/>
    <s v="Y"/>
    <x v="1"/>
    <n v="13"/>
    <n v="3"/>
    <n v="2"/>
    <n v="80"/>
    <n v="1"/>
    <n v="24"/>
    <n v="4"/>
    <n v="2"/>
    <n v="24"/>
    <x v="3"/>
    <n v="7"/>
    <n v="14"/>
    <n v="9"/>
    <x v="0"/>
    <n v="0"/>
  </r>
  <r>
    <n v="23"/>
    <x v="2"/>
    <x v="0"/>
    <x v="0"/>
    <n v="1243"/>
    <x v="1"/>
    <n v="6"/>
    <n v="3"/>
    <s v="Life Sciences"/>
    <n v="1"/>
    <n v="811"/>
    <n v="3"/>
    <x v="1"/>
    <n v="63"/>
    <n v="4"/>
    <n v="1"/>
    <x v="2"/>
    <n v="1"/>
    <s v="Married"/>
    <n v="1601"/>
    <n v="3445"/>
    <n v="1"/>
    <s v="Y"/>
    <x v="0"/>
    <n v="21"/>
    <n v="4"/>
    <n v="3"/>
    <n v="80"/>
    <n v="2"/>
    <n v="1"/>
    <n v="2"/>
    <n v="3"/>
    <n v="0"/>
    <x v="1"/>
    <n v="0"/>
    <n v="0"/>
    <n v="0"/>
    <x v="3"/>
    <n v="1"/>
  </r>
  <r>
    <n v="24"/>
    <x v="2"/>
    <x v="1"/>
    <x v="2"/>
    <n v="1092"/>
    <x v="1"/>
    <n v="9"/>
    <n v="3"/>
    <s v="Life Sciences"/>
    <n v="1"/>
    <n v="812"/>
    <n v="3"/>
    <x v="1"/>
    <n v="60"/>
    <n v="2"/>
    <n v="1"/>
    <x v="2"/>
    <n v="2"/>
    <s v="Divorced"/>
    <n v="2694"/>
    <n v="26551"/>
    <n v="1"/>
    <s v="Y"/>
    <x v="1"/>
    <n v="11"/>
    <n v="3"/>
    <n v="3"/>
    <n v="80"/>
    <n v="3"/>
    <n v="1"/>
    <n v="4"/>
    <n v="3"/>
    <n v="1"/>
    <x v="1"/>
    <n v="0"/>
    <n v="0"/>
    <n v="0"/>
    <x v="1"/>
    <n v="0"/>
  </r>
  <r>
    <n v="52"/>
    <x v="3"/>
    <x v="1"/>
    <x v="0"/>
    <n v="1325"/>
    <x v="1"/>
    <n v="11"/>
    <n v="4"/>
    <s v="Life Sciences"/>
    <n v="1"/>
    <n v="813"/>
    <n v="4"/>
    <x v="0"/>
    <n v="82"/>
    <n v="3"/>
    <n v="2"/>
    <x v="2"/>
    <n v="3"/>
    <s v="Married"/>
    <n v="3149"/>
    <n v="21821"/>
    <n v="8"/>
    <s v="Y"/>
    <x v="1"/>
    <n v="20"/>
    <n v="4"/>
    <n v="2"/>
    <n v="80"/>
    <n v="1"/>
    <n v="9"/>
    <n v="3"/>
    <n v="3"/>
    <n v="5"/>
    <x v="2"/>
    <n v="2"/>
    <n v="1"/>
    <n v="4"/>
    <x v="2"/>
    <n v="0"/>
  </r>
  <r>
    <n v="50"/>
    <x v="0"/>
    <x v="1"/>
    <x v="0"/>
    <n v="691"/>
    <x v="1"/>
    <n v="2"/>
    <n v="3"/>
    <s v="Medical"/>
    <n v="1"/>
    <n v="815"/>
    <n v="3"/>
    <x v="1"/>
    <n v="64"/>
    <n v="3"/>
    <n v="4"/>
    <x v="7"/>
    <n v="3"/>
    <s v="Married"/>
    <n v="17639"/>
    <n v="6881"/>
    <n v="5"/>
    <s v="Y"/>
    <x v="1"/>
    <n v="16"/>
    <n v="3"/>
    <n v="4"/>
    <n v="80"/>
    <n v="0"/>
    <n v="30"/>
    <n v="3"/>
    <n v="3"/>
    <n v="4"/>
    <x v="2"/>
    <n v="3"/>
    <n v="0"/>
    <n v="3"/>
    <x v="2"/>
    <n v="0"/>
  </r>
  <r>
    <n v="29"/>
    <x v="2"/>
    <x v="0"/>
    <x v="0"/>
    <n v="805"/>
    <x v="1"/>
    <n v="1"/>
    <n v="2"/>
    <s v="Life Sciences"/>
    <n v="1"/>
    <n v="816"/>
    <n v="2"/>
    <x v="0"/>
    <n v="36"/>
    <n v="2"/>
    <n v="1"/>
    <x v="2"/>
    <n v="1"/>
    <s v="Married"/>
    <n v="2319"/>
    <n v="6689"/>
    <n v="1"/>
    <s v="Y"/>
    <x v="0"/>
    <n v="11"/>
    <n v="3"/>
    <n v="4"/>
    <n v="80"/>
    <n v="1"/>
    <n v="1"/>
    <n v="1"/>
    <n v="3"/>
    <n v="1"/>
    <x v="1"/>
    <n v="0"/>
    <n v="0"/>
    <n v="0"/>
    <x v="3"/>
    <n v="1"/>
  </r>
  <r>
    <n v="33"/>
    <x v="1"/>
    <x v="1"/>
    <x v="0"/>
    <n v="213"/>
    <x v="1"/>
    <n v="7"/>
    <n v="3"/>
    <s v="Medical"/>
    <n v="1"/>
    <n v="817"/>
    <n v="3"/>
    <x v="1"/>
    <n v="49"/>
    <n v="3"/>
    <n v="3"/>
    <x v="7"/>
    <n v="3"/>
    <s v="Married"/>
    <n v="11691"/>
    <n v="25995"/>
    <n v="0"/>
    <s v="Y"/>
    <x v="1"/>
    <n v="11"/>
    <n v="3"/>
    <n v="4"/>
    <n v="80"/>
    <n v="0"/>
    <n v="14"/>
    <n v="3"/>
    <n v="4"/>
    <n v="13"/>
    <x v="3"/>
    <n v="9"/>
    <n v="3"/>
    <n v="7"/>
    <x v="2"/>
    <n v="0"/>
  </r>
  <r>
    <n v="33"/>
    <x v="1"/>
    <x v="0"/>
    <x v="0"/>
    <n v="118"/>
    <x v="0"/>
    <n v="16"/>
    <n v="3"/>
    <s v="Marketing"/>
    <n v="1"/>
    <n v="819"/>
    <n v="1"/>
    <x v="0"/>
    <n v="69"/>
    <n v="3"/>
    <n v="2"/>
    <x v="0"/>
    <n v="1"/>
    <s v="Single"/>
    <n v="5324"/>
    <n v="26507"/>
    <n v="5"/>
    <s v="Y"/>
    <x v="1"/>
    <n v="15"/>
    <n v="3"/>
    <n v="3"/>
    <n v="80"/>
    <n v="0"/>
    <n v="6"/>
    <n v="3"/>
    <n v="3"/>
    <n v="3"/>
    <x v="2"/>
    <n v="2"/>
    <n v="0"/>
    <n v="2"/>
    <x v="3"/>
    <n v="1"/>
  </r>
  <r>
    <n v="47"/>
    <x v="0"/>
    <x v="1"/>
    <x v="0"/>
    <n v="202"/>
    <x v="1"/>
    <n v="2"/>
    <n v="2"/>
    <s v="Other"/>
    <n v="1"/>
    <n v="820"/>
    <n v="3"/>
    <x v="0"/>
    <n v="33"/>
    <n v="3"/>
    <n v="4"/>
    <x v="5"/>
    <n v="4"/>
    <s v="Married"/>
    <n v="16752"/>
    <n v="12982"/>
    <n v="1"/>
    <s v="Y"/>
    <x v="0"/>
    <n v="11"/>
    <n v="3"/>
    <n v="3"/>
    <n v="80"/>
    <n v="1"/>
    <n v="26"/>
    <n v="3"/>
    <n v="2"/>
    <n v="26"/>
    <x v="3"/>
    <n v="14"/>
    <n v="3"/>
    <n v="0"/>
    <x v="0"/>
    <n v="0"/>
  </r>
  <r>
    <n v="36"/>
    <x v="1"/>
    <x v="1"/>
    <x v="0"/>
    <n v="676"/>
    <x v="1"/>
    <n v="1"/>
    <n v="3"/>
    <s v="Other"/>
    <n v="1"/>
    <n v="823"/>
    <n v="3"/>
    <x v="0"/>
    <n v="35"/>
    <n v="3"/>
    <n v="2"/>
    <x v="3"/>
    <n v="2"/>
    <s v="Married"/>
    <n v="5228"/>
    <n v="23361"/>
    <n v="0"/>
    <s v="Y"/>
    <x v="1"/>
    <n v="15"/>
    <n v="3"/>
    <n v="1"/>
    <n v="80"/>
    <n v="1"/>
    <n v="10"/>
    <n v="2"/>
    <n v="3"/>
    <n v="9"/>
    <x v="0"/>
    <n v="7"/>
    <n v="0"/>
    <n v="5"/>
    <x v="1"/>
    <n v="0"/>
  </r>
  <r>
    <n v="29"/>
    <x v="2"/>
    <x v="1"/>
    <x v="0"/>
    <n v="1252"/>
    <x v="1"/>
    <n v="23"/>
    <n v="2"/>
    <s v="Life Sciences"/>
    <n v="1"/>
    <n v="824"/>
    <n v="3"/>
    <x v="1"/>
    <n v="81"/>
    <n v="4"/>
    <n v="1"/>
    <x v="1"/>
    <n v="3"/>
    <s v="Married"/>
    <n v="2700"/>
    <n v="23779"/>
    <n v="1"/>
    <s v="Y"/>
    <x v="1"/>
    <n v="24"/>
    <n v="4"/>
    <n v="3"/>
    <n v="80"/>
    <n v="1"/>
    <n v="10"/>
    <n v="3"/>
    <n v="3"/>
    <n v="10"/>
    <x v="0"/>
    <n v="7"/>
    <n v="0"/>
    <n v="7"/>
    <x v="2"/>
    <n v="0"/>
  </r>
  <r>
    <n v="58"/>
    <x v="3"/>
    <x v="0"/>
    <x v="0"/>
    <n v="286"/>
    <x v="1"/>
    <n v="2"/>
    <n v="4"/>
    <s v="Life Sciences"/>
    <n v="1"/>
    <n v="825"/>
    <n v="4"/>
    <x v="1"/>
    <n v="31"/>
    <n v="3"/>
    <n v="5"/>
    <x v="7"/>
    <n v="2"/>
    <s v="Single"/>
    <n v="19246"/>
    <n v="25761"/>
    <n v="7"/>
    <s v="Y"/>
    <x v="0"/>
    <n v="12"/>
    <n v="3"/>
    <n v="4"/>
    <n v="80"/>
    <n v="0"/>
    <n v="40"/>
    <n v="2"/>
    <n v="3"/>
    <n v="31"/>
    <x v="3"/>
    <n v="15"/>
    <n v="13"/>
    <n v="8"/>
    <x v="1"/>
    <n v="1"/>
  </r>
  <r>
    <n v="35"/>
    <x v="1"/>
    <x v="1"/>
    <x v="0"/>
    <n v="1258"/>
    <x v="1"/>
    <n v="1"/>
    <n v="4"/>
    <s v="Life Sciences"/>
    <n v="1"/>
    <n v="826"/>
    <n v="4"/>
    <x v="0"/>
    <n v="40"/>
    <n v="4"/>
    <n v="1"/>
    <x v="1"/>
    <n v="3"/>
    <s v="Single"/>
    <n v="2506"/>
    <n v="13301"/>
    <n v="3"/>
    <s v="Y"/>
    <x v="1"/>
    <n v="13"/>
    <n v="3"/>
    <n v="3"/>
    <n v="80"/>
    <n v="0"/>
    <n v="7"/>
    <n v="0"/>
    <n v="3"/>
    <n v="2"/>
    <x v="1"/>
    <n v="2"/>
    <n v="2"/>
    <n v="2"/>
    <x v="2"/>
    <n v="0"/>
  </r>
  <r>
    <n v="42"/>
    <x v="0"/>
    <x v="1"/>
    <x v="0"/>
    <n v="932"/>
    <x v="1"/>
    <n v="1"/>
    <n v="2"/>
    <s v="Life Sciences"/>
    <n v="1"/>
    <n v="827"/>
    <n v="4"/>
    <x v="0"/>
    <n v="43"/>
    <n v="2"/>
    <n v="2"/>
    <x v="3"/>
    <n v="4"/>
    <s v="Married"/>
    <n v="6062"/>
    <n v="4051"/>
    <n v="9"/>
    <s v="Y"/>
    <x v="0"/>
    <n v="13"/>
    <n v="3"/>
    <n v="4"/>
    <n v="80"/>
    <n v="1"/>
    <n v="8"/>
    <n v="4"/>
    <n v="3"/>
    <n v="4"/>
    <x v="2"/>
    <n v="3"/>
    <n v="0"/>
    <n v="2"/>
    <x v="0"/>
    <n v="0"/>
  </r>
  <r>
    <n v="28"/>
    <x v="2"/>
    <x v="0"/>
    <x v="0"/>
    <n v="890"/>
    <x v="1"/>
    <n v="2"/>
    <n v="4"/>
    <s v="Medical"/>
    <n v="1"/>
    <n v="828"/>
    <n v="3"/>
    <x v="1"/>
    <n v="46"/>
    <n v="3"/>
    <n v="1"/>
    <x v="1"/>
    <n v="3"/>
    <s v="Single"/>
    <n v="4382"/>
    <n v="16374"/>
    <n v="6"/>
    <s v="Y"/>
    <x v="1"/>
    <n v="17"/>
    <n v="3"/>
    <n v="4"/>
    <n v="80"/>
    <n v="0"/>
    <n v="5"/>
    <n v="3"/>
    <n v="2"/>
    <n v="2"/>
    <x v="1"/>
    <n v="2"/>
    <n v="2"/>
    <n v="1"/>
    <x v="2"/>
    <n v="1"/>
  </r>
  <r>
    <n v="36"/>
    <x v="1"/>
    <x v="1"/>
    <x v="0"/>
    <n v="1041"/>
    <x v="2"/>
    <n v="13"/>
    <n v="3"/>
    <s v="Human Resources"/>
    <n v="1"/>
    <n v="829"/>
    <n v="3"/>
    <x v="1"/>
    <n v="36"/>
    <n v="3"/>
    <n v="1"/>
    <x v="8"/>
    <n v="2"/>
    <s v="Married"/>
    <n v="2143"/>
    <n v="25527"/>
    <n v="4"/>
    <s v="Y"/>
    <x v="1"/>
    <n v="13"/>
    <n v="3"/>
    <n v="2"/>
    <n v="80"/>
    <n v="1"/>
    <n v="8"/>
    <n v="2"/>
    <n v="3"/>
    <n v="5"/>
    <x v="2"/>
    <n v="2"/>
    <n v="0"/>
    <n v="4"/>
    <x v="1"/>
    <n v="0"/>
  </r>
  <r>
    <n v="32"/>
    <x v="1"/>
    <x v="1"/>
    <x v="0"/>
    <n v="859"/>
    <x v="1"/>
    <n v="4"/>
    <n v="3"/>
    <s v="Life Sciences"/>
    <n v="1"/>
    <n v="830"/>
    <n v="3"/>
    <x v="0"/>
    <n v="98"/>
    <n v="2"/>
    <n v="2"/>
    <x v="3"/>
    <n v="3"/>
    <s v="Married"/>
    <n v="6162"/>
    <n v="19124"/>
    <n v="1"/>
    <s v="Y"/>
    <x v="1"/>
    <n v="12"/>
    <n v="3"/>
    <n v="3"/>
    <n v="80"/>
    <n v="1"/>
    <n v="14"/>
    <n v="3"/>
    <n v="3"/>
    <n v="14"/>
    <x v="3"/>
    <n v="13"/>
    <n v="6"/>
    <n v="8"/>
    <x v="2"/>
    <n v="0"/>
  </r>
  <r>
    <n v="40"/>
    <x v="1"/>
    <x v="1"/>
    <x v="1"/>
    <n v="720"/>
    <x v="1"/>
    <n v="16"/>
    <n v="4"/>
    <s v="Medical"/>
    <n v="1"/>
    <n v="832"/>
    <n v="1"/>
    <x v="1"/>
    <n v="51"/>
    <n v="2"/>
    <n v="2"/>
    <x v="2"/>
    <n v="3"/>
    <s v="Single"/>
    <n v="5094"/>
    <n v="11983"/>
    <n v="6"/>
    <s v="Y"/>
    <x v="1"/>
    <n v="14"/>
    <n v="3"/>
    <n v="4"/>
    <n v="80"/>
    <n v="0"/>
    <n v="10"/>
    <n v="6"/>
    <n v="3"/>
    <n v="1"/>
    <x v="1"/>
    <n v="0"/>
    <n v="0"/>
    <n v="0"/>
    <x v="2"/>
    <n v="0"/>
  </r>
  <r>
    <n v="30"/>
    <x v="1"/>
    <x v="1"/>
    <x v="0"/>
    <n v="946"/>
    <x v="1"/>
    <n v="2"/>
    <n v="3"/>
    <s v="Medical"/>
    <n v="1"/>
    <n v="833"/>
    <n v="3"/>
    <x v="0"/>
    <n v="52"/>
    <n v="2"/>
    <n v="2"/>
    <x v="3"/>
    <n v="4"/>
    <s v="Single"/>
    <n v="6877"/>
    <n v="20234"/>
    <n v="5"/>
    <s v="Y"/>
    <x v="0"/>
    <n v="24"/>
    <n v="4"/>
    <n v="2"/>
    <n v="80"/>
    <n v="0"/>
    <n v="12"/>
    <n v="4"/>
    <n v="2"/>
    <n v="0"/>
    <x v="1"/>
    <n v="0"/>
    <n v="0"/>
    <n v="0"/>
    <x v="0"/>
    <n v="0"/>
  </r>
  <r>
    <n v="45"/>
    <x v="0"/>
    <x v="1"/>
    <x v="0"/>
    <n v="252"/>
    <x v="1"/>
    <n v="2"/>
    <n v="3"/>
    <s v="Life Sciences"/>
    <n v="1"/>
    <n v="834"/>
    <n v="2"/>
    <x v="0"/>
    <n v="95"/>
    <n v="2"/>
    <n v="1"/>
    <x v="1"/>
    <n v="3"/>
    <s v="Single"/>
    <n v="2274"/>
    <n v="6153"/>
    <n v="1"/>
    <s v="Y"/>
    <x v="1"/>
    <n v="14"/>
    <n v="3"/>
    <n v="4"/>
    <n v="80"/>
    <n v="0"/>
    <n v="1"/>
    <n v="3"/>
    <n v="3"/>
    <n v="1"/>
    <x v="1"/>
    <n v="0"/>
    <n v="0"/>
    <n v="0"/>
    <x v="2"/>
    <n v="0"/>
  </r>
  <r>
    <n v="42"/>
    <x v="0"/>
    <x v="1"/>
    <x v="0"/>
    <n v="933"/>
    <x v="1"/>
    <n v="29"/>
    <n v="3"/>
    <s v="Life Sciences"/>
    <n v="1"/>
    <n v="836"/>
    <n v="2"/>
    <x v="1"/>
    <n v="98"/>
    <n v="3"/>
    <n v="2"/>
    <x v="3"/>
    <n v="2"/>
    <s v="Married"/>
    <n v="4434"/>
    <n v="11806"/>
    <n v="1"/>
    <s v="Y"/>
    <x v="1"/>
    <n v="13"/>
    <n v="3"/>
    <n v="4"/>
    <n v="80"/>
    <n v="1"/>
    <n v="10"/>
    <n v="3"/>
    <n v="2"/>
    <n v="9"/>
    <x v="0"/>
    <n v="8"/>
    <n v="7"/>
    <n v="8"/>
    <x v="1"/>
    <n v="0"/>
  </r>
  <r>
    <n v="38"/>
    <x v="1"/>
    <x v="1"/>
    <x v="1"/>
    <n v="471"/>
    <x v="1"/>
    <n v="12"/>
    <n v="3"/>
    <s v="Life Sciences"/>
    <n v="1"/>
    <n v="837"/>
    <n v="1"/>
    <x v="1"/>
    <n v="45"/>
    <n v="2"/>
    <n v="2"/>
    <x v="4"/>
    <n v="1"/>
    <s v="Divorced"/>
    <n v="6288"/>
    <n v="4284"/>
    <n v="2"/>
    <s v="Y"/>
    <x v="1"/>
    <n v="15"/>
    <n v="3"/>
    <n v="3"/>
    <n v="80"/>
    <n v="1"/>
    <n v="13"/>
    <n v="3"/>
    <n v="2"/>
    <n v="4"/>
    <x v="2"/>
    <n v="3"/>
    <n v="1"/>
    <n v="2"/>
    <x v="3"/>
    <n v="0"/>
  </r>
  <r>
    <n v="34"/>
    <x v="1"/>
    <x v="1"/>
    <x v="1"/>
    <n v="702"/>
    <x v="1"/>
    <n v="16"/>
    <n v="4"/>
    <s v="Life Sciences"/>
    <n v="1"/>
    <n v="838"/>
    <n v="3"/>
    <x v="0"/>
    <n v="100"/>
    <n v="2"/>
    <n v="1"/>
    <x v="1"/>
    <n v="4"/>
    <s v="Single"/>
    <n v="2553"/>
    <n v="8306"/>
    <n v="1"/>
    <s v="Y"/>
    <x v="1"/>
    <n v="16"/>
    <n v="3"/>
    <n v="3"/>
    <n v="80"/>
    <n v="0"/>
    <n v="6"/>
    <n v="3"/>
    <n v="3"/>
    <n v="5"/>
    <x v="2"/>
    <n v="2"/>
    <n v="1"/>
    <n v="3"/>
    <x v="0"/>
    <n v="0"/>
  </r>
  <r>
    <n v="49"/>
    <x v="0"/>
    <x v="0"/>
    <x v="0"/>
    <n v="1184"/>
    <x v="0"/>
    <n v="11"/>
    <n v="3"/>
    <s v="Marketing"/>
    <n v="1"/>
    <n v="840"/>
    <n v="3"/>
    <x v="0"/>
    <n v="43"/>
    <n v="3"/>
    <n v="3"/>
    <x v="0"/>
    <n v="4"/>
    <s v="Married"/>
    <n v="7654"/>
    <n v="5860"/>
    <n v="1"/>
    <s v="Y"/>
    <x v="1"/>
    <n v="18"/>
    <n v="3"/>
    <n v="1"/>
    <n v="80"/>
    <n v="2"/>
    <n v="9"/>
    <n v="3"/>
    <n v="4"/>
    <n v="9"/>
    <x v="0"/>
    <n v="8"/>
    <n v="7"/>
    <n v="7"/>
    <x v="0"/>
    <n v="1"/>
  </r>
  <r>
    <n v="55"/>
    <x v="3"/>
    <x v="0"/>
    <x v="0"/>
    <n v="436"/>
    <x v="0"/>
    <n v="2"/>
    <n v="1"/>
    <s v="Medical"/>
    <n v="1"/>
    <n v="842"/>
    <n v="3"/>
    <x v="1"/>
    <n v="37"/>
    <n v="3"/>
    <n v="2"/>
    <x v="0"/>
    <n v="4"/>
    <s v="Single"/>
    <n v="5160"/>
    <n v="21519"/>
    <n v="4"/>
    <s v="Y"/>
    <x v="1"/>
    <n v="16"/>
    <n v="3"/>
    <n v="3"/>
    <n v="80"/>
    <n v="0"/>
    <n v="12"/>
    <n v="3"/>
    <n v="2"/>
    <n v="9"/>
    <x v="0"/>
    <n v="7"/>
    <n v="7"/>
    <n v="3"/>
    <x v="0"/>
    <n v="1"/>
  </r>
  <r>
    <n v="43"/>
    <x v="0"/>
    <x v="1"/>
    <x v="0"/>
    <n v="589"/>
    <x v="1"/>
    <n v="14"/>
    <n v="2"/>
    <s v="Life Sciences"/>
    <n v="1"/>
    <n v="843"/>
    <n v="2"/>
    <x v="1"/>
    <n v="94"/>
    <n v="3"/>
    <n v="4"/>
    <x v="7"/>
    <n v="1"/>
    <s v="Married"/>
    <n v="17159"/>
    <n v="5200"/>
    <n v="6"/>
    <s v="Y"/>
    <x v="1"/>
    <n v="24"/>
    <n v="4"/>
    <n v="3"/>
    <n v="80"/>
    <n v="1"/>
    <n v="22"/>
    <n v="3"/>
    <n v="3"/>
    <n v="4"/>
    <x v="2"/>
    <n v="1"/>
    <n v="1"/>
    <n v="0"/>
    <x v="3"/>
    <n v="0"/>
  </r>
  <r>
    <n v="27"/>
    <x v="2"/>
    <x v="1"/>
    <x v="0"/>
    <n v="269"/>
    <x v="1"/>
    <n v="5"/>
    <n v="1"/>
    <s v="Technical Degree"/>
    <n v="1"/>
    <n v="844"/>
    <n v="3"/>
    <x v="1"/>
    <n v="42"/>
    <n v="2"/>
    <n v="3"/>
    <x v="7"/>
    <n v="4"/>
    <s v="Divorced"/>
    <n v="12808"/>
    <n v="8842"/>
    <n v="1"/>
    <s v="Y"/>
    <x v="0"/>
    <n v="16"/>
    <n v="3"/>
    <n v="2"/>
    <n v="80"/>
    <n v="1"/>
    <n v="9"/>
    <n v="3"/>
    <n v="3"/>
    <n v="9"/>
    <x v="0"/>
    <n v="8"/>
    <n v="0"/>
    <n v="8"/>
    <x v="0"/>
    <n v="0"/>
  </r>
  <r>
    <n v="35"/>
    <x v="1"/>
    <x v="1"/>
    <x v="0"/>
    <n v="950"/>
    <x v="1"/>
    <n v="7"/>
    <n v="3"/>
    <s v="Other"/>
    <n v="1"/>
    <n v="845"/>
    <n v="3"/>
    <x v="1"/>
    <n v="59"/>
    <n v="3"/>
    <n v="3"/>
    <x v="3"/>
    <n v="3"/>
    <s v="Single"/>
    <n v="10221"/>
    <n v="18869"/>
    <n v="3"/>
    <s v="Y"/>
    <x v="1"/>
    <n v="21"/>
    <n v="4"/>
    <n v="2"/>
    <n v="80"/>
    <n v="0"/>
    <n v="17"/>
    <n v="3"/>
    <n v="4"/>
    <n v="8"/>
    <x v="0"/>
    <n v="5"/>
    <n v="1"/>
    <n v="6"/>
    <x v="2"/>
    <n v="0"/>
  </r>
  <r>
    <n v="28"/>
    <x v="2"/>
    <x v="1"/>
    <x v="0"/>
    <n v="760"/>
    <x v="0"/>
    <n v="2"/>
    <n v="4"/>
    <s v="Marketing"/>
    <n v="1"/>
    <n v="846"/>
    <n v="2"/>
    <x v="0"/>
    <n v="81"/>
    <n v="3"/>
    <n v="2"/>
    <x v="0"/>
    <n v="2"/>
    <s v="Married"/>
    <n v="4779"/>
    <n v="3698"/>
    <n v="1"/>
    <s v="Y"/>
    <x v="0"/>
    <n v="20"/>
    <n v="4"/>
    <n v="1"/>
    <n v="80"/>
    <n v="0"/>
    <n v="8"/>
    <n v="2"/>
    <n v="3"/>
    <n v="8"/>
    <x v="0"/>
    <n v="7"/>
    <n v="7"/>
    <n v="5"/>
    <x v="1"/>
    <n v="0"/>
  </r>
  <r>
    <n v="34"/>
    <x v="1"/>
    <x v="1"/>
    <x v="0"/>
    <n v="829"/>
    <x v="2"/>
    <n v="3"/>
    <n v="2"/>
    <s v="Human Resources"/>
    <n v="1"/>
    <n v="847"/>
    <n v="3"/>
    <x v="1"/>
    <n v="88"/>
    <n v="3"/>
    <n v="1"/>
    <x v="8"/>
    <n v="4"/>
    <s v="Married"/>
    <n v="3737"/>
    <n v="2243"/>
    <n v="0"/>
    <s v="Y"/>
    <x v="1"/>
    <n v="19"/>
    <n v="3"/>
    <n v="3"/>
    <n v="80"/>
    <n v="1"/>
    <n v="4"/>
    <n v="1"/>
    <n v="1"/>
    <n v="3"/>
    <x v="2"/>
    <n v="2"/>
    <n v="0"/>
    <n v="2"/>
    <x v="0"/>
    <n v="0"/>
  </r>
  <r>
    <n v="26"/>
    <x v="2"/>
    <x v="0"/>
    <x v="1"/>
    <n v="887"/>
    <x v="1"/>
    <n v="5"/>
    <n v="2"/>
    <s v="Medical"/>
    <n v="1"/>
    <n v="848"/>
    <n v="3"/>
    <x v="0"/>
    <n v="88"/>
    <n v="2"/>
    <n v="1"/>
    <x v="1"/>
    <n v="3"/>
    <s v="Married"/>
    <n v="2366"/>
    <n v="20898"/>
    <n v="1"/>
    <s v="Y"/>
    <x v="0"/>
    <n v="14"/>
    <n v="3"/>
    <n v="1"/>
    <n v="80"/>
    <n v="1"/>
    <n v="8"/>
    <n v="2"/>
    <n v="3"/>
    <n v="8"/>
    <x v="0"/>
    <n v="7"/>
    <n v="1"/>
    <n v="7"/>
    <x v="2"/>
    <n v="1"/>
  </r>
  <r>
    <n v="27"/>
    <x v="2"/>
    <x v="1"/>
    <x v="2"/>
    <n v="443"/>
    <x v="1"/>
    <n v="3"/>
    <n v="3"/>
    <s v="Medical"/>
    <n v="1"/>
    <n v="850"/>
    <n v="4"/>
    <x v="1"/>
    <n v="50"/>
    <n v="3"/>
    <n v="1"/>
    <x v="1"/>
    <n v="4"/>
    <s v="Married"/>
    <n v="1706"/>
    <n v="16571"/>
    <n v="1"/>
    <s v="Y"/>
    <x v="1"/>
    <n v="11"/>
    <n v="3"/>
    <n v="3"/>
    <n v="80"/>
    <n v="3"/>
    <n v="0"/>
    <n v="6"/>
    <n v="2"/>
    <n v="0"/>
    <x v="1"/>
    <n v="0"/>
    <n v="0"/>
    <n v="0"/>
    <x v="0"/>
    <n v="0"/>
  </r>
  <r>
    <n v="51"/>
    <x v="3"/>
    <x v="1"/>
    <x v="0"/>
    <n v="1318"/>
    <x v="0"/>
    <n v="26"/>
    <n v="4"/>
    <s v="Marketing"/>
    <n v="1"/>
    <n v="851"/>
    <n v="1"/>
    <x v="0"/>
    <n v="66"/>
    <n v="3"/>
    <n v="4"/>
    <x v="5"/>
    <n v="3"/>
    <s v="Married"/>
    <n v="16307"/>
    <n v="5594"/>
    <n v="2"/>
    <s v="Y"/>
    <x v="1"/>
    <n v="14"/>
    <n v="3"/>
    <n v="3"/>
    <n v="80"/>
    <n v="1"/>
    <n v="29"/>
    <n v="2"/>
    <n v="2"/>
    <n v="20"/>
    <x v="3"/>
    <n v="6"/>
    <n v="4"/>
    <n v="17"/>
    <x v="2"/>
    <n v="0"/>
  </r>
  <r>
    <n v="44"/>
    <x v="0"/>
    <x v="1"/>
    <x v="0"/>
    <n v="625"/>
    <x v="1"/>
    <n v="4"/>
    <n v="3"/>
    <s v="Medical"/>
    <n v="1"/>
    <n v="852"/>
    <n v="4"/>
    <x v="1"/>
    <n v="50"/>
    <n v="3"/>
    <n v="2"/>
    <x v="4"/>
    <n v="2"/>
    <s v="Single"/>
    <n v="5933"/>
    <n v="5197"/>
    <n v="9"/>
    <s v="Y"/>
    <x v="1"/>
    <n v="12"/>
    <n v="3"/>
    <n v="4"/>
    <n v="80"/>
    <n v="0"/>
    <n v="10"/>
    <n v="2"/>
    <n v="2"/>
    <n v="5"/>
    <x v="2"/>
    <n v="2"/>
    <n v="2"/>
    <n v="3"/>
    <x v="1"/>
    <n v="0"/>
  </r>
  <r>
    <n v="25"/>
    <x v="2"/>
    <x v="1"/>
    <x v="0"/>
    <n v="180"/>
    <x v="1"/>
    <n v="2"/>
    <n v="1"/>
    <s v="Medical"/>
    <n v="1"/>
    <n v="854"/>
    <n v="1"/>
    <x v="1"/>
    <n v="65"/>
    <n v="4"/>
    <n v="1"/>
    <x v="1"/>
    <n v="1"/>
    <s v="Single"/>
    <n v="3424"/>
    <n v="21632"/>
    <n v="7"/>
    <s v="Y"/>
    <x v="1"/>
    <n v="13"/>
    <n v="3"/>
    <n v="3"/>
    <n v="80"/>
    <n v="0"/>
    <n v="6"/>
    <n v="3"/>
    <n v="2"/>
    <n v="4"/>
    <x v="2"/>
    <n v="3"/>
    <n v="0"/>
    <n v="1"/>
    <x v="3"/>
    <n v="0"/>
  </r>
  <r>
    <n v="33"/>
    <x v="1"/>
    <x v="1"/>
    <x v="0"/>
    <n v="586"/>
    <x v="0"/>
    <n v="1"/>
    <n v="3"/>
    <s v="Medical"/>
    <n v="1"/>
    <n v="855"/>
    <n v="1"/>
    <x v="1"/>
    <n v="48"/>
    <n v="4"/>
    <n v="2"/>
    <x v="0"/>
    <n v="1"/>
    <s v="Divorced"/>
    <n v="4037"/>
    <n v="21816"/>
    <n v="1"/>
    <s v="Y"/>
    <x v="1"/>
    <n v="22"/>
    <n v="4"/>
    <n v="1"/>
    <n v="80"/>
    <n v="1"/>
    <n v="9"/>
    <n v="5"/>
    <n v="3"/>
    <n v="9"/>
    <x v="0"/>
    <n v="8"/>
    <n v="0"/>
    <n v="8"/>
    <x v="3"/>
    <n v="0"/>
  </r>
  <r>
    <n v="35"/>
    <x v="1"/>
    <x v="1"/>
    <x v="0"/>
    <n v="1343"/>
    <x v="1"/>
    <n v="27"/>
    <n v="1"/>
    <s v="Medical"/>
    <n v="1"/>
    <n v="856"/>
    <n v="3"/>
    <x v="0"/>
    <n v="53"/>
    <n v="2"/>
    <n v="1"/>
    <x v="1"/>
    <n v="1"/>
    <s v="Single"/>
    <n v="2559"/>
    <n v="17852"/>
    <n v="1"/>
    <s v="Y"/>
    <x v="1"/>
    <n v="11"/>
    <n v="3"/>
    <n v="4"/>
    <n v="80"/>
    <n v="0"/>
    <n v="6"/>
    <n v="3"/>
    <n v="2"/>
    <n v="6"/>
    <x v="0"/>
    <n v="5"/>
    <n v="1"/>
    <n v="1"/>
    <x v="3"/>
    <n v="0"/>
  </r>
  <r>
    <n v="36"/>
    <x v="1"/>
    <x v="1"/>
    <x v="0"/>
    <n v="928"/>
    <x v="0"/>
    <n v="1"/>
    <n v="2"/>
    <s v="Life Sciences"/>
    <n v="1"/>
    <n v="857"/>
    <n v="2"/>
    <x v="1"/>
    <n v="56"/>
    <n v="3"/>
    <n v="2"/>
    <x v="0"/>
    <n v="4"/>
    <s v="Married"/>
    <n v="6201"/>
    <n v="2823"/>
    <n v="1"/>
    <s v="Y"/>
    <x v="0"/>
    <n v="14"/>
    <n v="3"/>
    <n v="4"/>
    <n v="80"/>
    <n v="1"/>
    <n v="18"/>
    <n v="1"/>
    <n v="2"/>
    <n v="18"/>
    <x v="3"/>
    <n v="14"/>
    <n v="4"/>
    <n v="11"/>
    <x v="0"/>
    <n v="0"/>
  </r>
  <r>
    <n v="32"/>
    <x v="1"/>
    <x v="1"/>
    <x v="0"/>
    <n v="117"/>
    <x v="0"/>
    <n v="13"/>
    <n v="4"/>
    <s v="Life Sciences"/>
    <n v="1"/>
    <n v="859"/>
    <n v="2"/>
    <x v="1"/>
    <n v="73"/>
    <n v="3"/>
    <n v="2"/>
    <x v="0"/>
    <n v="4"/>
    <s v="Divorced"/>
    <n v="4403"/>
    <n v="9250"/>
    <n v="2"/>
    <s v="Y"/>
    <x v="1"/>
    <n v="11"/>
    <n v="3"/>
    <n v="3"/>
    <n v="80"/>
    <n v="1"/>
    <n v="8"/>
    <n v="3"/>
    <n v="2"/>
    <n v="5"/>
    <x v="2"/>
    <n v="2"/>
    <n v="0"/>
    <n v="3"/>
    <x v="0"/>
    <n v="0"/>
  </r>
  <r>
    <n v="30"/>
    <x v="1"/>
    <x v="1"/>
    <x v="1"/>
    <n v="1012"/>
    <x v="1"/>
    <n v="5"/>
    <n v="4"/>
    <s v="Life Sciences"/>
    <n v="1"/>
    <n v="861"/>
    <n v="2"/>
    <x v="1"/>
    <n v="75"/>
    <n v="2"/>
    <n v="1"/>
    <x v="1"/>
    <n v="4"/>
    <s v="Divorced"/>
    <n v="3761"/>
    <n v="2373"/>
    <n v="9"/>
    <s v="Y"/>
    <x v="1"/>
    <n v="12"/>
    <n v="3"/>
    <n v="2"/>
    <n v="80"/>
    <n v="1"/>
    <n v="10"/>
    <n v="3"/>
    <n v="2"/>
    <n v="5"/>
    <x v="2"/>
    <n v="4"/>
    <n v="0"/>
    <n v="3"/>
    <x v="0"/>
    <n v="0"/>
  </r>
  <r>
    <n v="53"/>
    <x v="3"/>
    <x v="1"/>
    <x v="0"/>
    <n v="661"/>
    <x v="0"/>
    <n v="7"/>
    <n v="2"/>
    <s v="Marketing"/>
    <n v="1"/>
    <n v="862"/>
    <n v="1"/>
    <x v="0"/>
    <n v="78"/>
    <n v="2"/>
    <n v="3"/>
    <x v="0"/>
    <n v="4"/>
    <s v="Married"/>
    <n v="10934"/>
    <n v="20715"/>
    <n v="7"/>
    <s v="Y"/>
    <x v="0"/>
    <n v="18"/>
    <n v="3"/>
    <n v="4"/>
    <n v="80"/>
    <n v="1"/>
    <n v="35"/>
    <n v="3"/>
    <n v="3"/>
    <n v="5"/>
    <x v="2"/>
    <n v="2"/>
    <n v="0"/>
    <n v="4"/>
    <x v="0"/>
    <n v="0"/>
  </r>
  <r>
    <n v="45"/>
    <x v="0"/>
    <x v="1"/>
    <x v="0"/>
    <n v="930"/>
    <x v="0"/>
    <n v="9"/>
    <n v="3"/>
    <s v="Marketing"/>
    <n v="1"/>
    <n v="864"/>
    <n v="4"/>
    <x v="1"/>
    <n v="74"/>
    <n v="3"/>
    <n v="3"/>
    <x v="0"/>
    <n v="1"/>
    <s v="Divorced"/>
    <n v="10761"/>
    <n v="19239"/>
    <n v="4"/>
    <s v="Y"/>
    <x v="0"/>
    <n v="12"/>
    <n v="3"/>
    <n v="3"/>
    <n v="80"/>
    <n v="1"/>
    <n v="18"/>
    <n v="2"/>
    <n v="3"/>
    <n v="5"/>
    <x v="2"/>
    <n v="4"/>
    <n v="0"/>
    <n v="2"/>
    <x v="3"/>
    <n v="0"/>
  </r>
  <r>
    <n v="32"/>
    <x v="1"/>
    <x v="1"/>
    <x v="0"/>
    <n v="638"/>
    <x v="1"/>
    <n v="8"/>
    <n v="2"/>
    <s v="Medical"/>
    <n v="1"/>
    <n v="865"/>
    <n v="3"/>
    <x v="0"/>
    <n v="91"/>
    <n v="4"/>
    <n v="2"/>
    <x v="1"/>
    <n v="3"/>
    <s v="Married"/>
    <n v="5175"/>
    <n v="22162"/>
    <n v="5"/>
    <s v="Y"/>
    <x v="1"/>
    <n v="12"/>
    <n v="3"/>
    <n v="3"/>
    <n v="80"/>
    <n v="1"/>
    <n v="9"/>
    <n v="3"/>
    <n v="2"/>
    <n v="5"/>
    <x v="2"/>
    <n v="3"/>
    <n v="1"/>
    <n v="3"/>
    <x v="2"/>
    <n v="0"/>
  </r>
  <r>
    <n v="52"/>
    <x v="3"/>
    <x v="1"/>
    <x v="1"/>
    <n v="890"/>
    <x v="1"/>
    <n v="25"/>
    <n v="4"/>
    <s v="Medical"/>
    <n v="1"/>
    <n v="867"/>
    <n v="3"/>
    <x v="0"/>
    <n v="81"/>
    <n v="2"/>
    <n v="4"/>
    <x v="3"/>
    <n v="4"/>
    <s v="Married"/>
    <n v="13826"/>
    <n v="19028"/>
    <n v="3"/>
    <s v="Y"/>
    <x v="1"/>
    <n v="22"/>
    <n v="4"/>
    <n v="3"/>
    <n v="80"/>
    <n v="0"/>
    <n v="31"/>
    <n v="3"/>
    <n v="3"/>
    <n v="9"/>
    <x v="0"/>
    <n v="8"/>
    <n v="0"/>
    <n v="0"/>
    <x v="0"/>
    <n v="0"/>
  </r>
  <r>
    <n v="37"/>
    <x v="1"/>
    <x v="1"/>
    <x v="0"/>
    <n v="342"/>
    <x v="0"/>
    <n v="16"/>
    <n v="4"/>
    <s v="Marketing"/>
    <n v="1"/>
    <n v="868"/>
    <n v="4"/>
    <x v="1"/>
    <n v="66"/>
    <n v="2"/>
    <n v="2"/>
    <x v="0"/>
    <n v="3"/>
    <s v="Divorced"/>
    <n v="6334"/>
    <n v="24558"/>
    <n v="4"/>
    <s v="Y"/>
    <x v="1"/>
    <n v="19"/>
    <n v="3"/>
    <n v="4"/>
    <n v="80"/>
    <n v="2"/>
    <n v="9"/>
    <n v="2"/>
    <n v="3"/>
    <n v="1"/>
    <x v="1"/>
    <n v="0"/>
    <n v="0"/>
    <n v="0"/>
    <x v="2"/>
    <n v="0"/>
  </r>
  <r>
    <n v="28"/>
    <x v="2"/>
    <x v="1"/>
    <x v="0"/>
    <n v="1169"/>
    <x v="2"/>
    <n v="8"/>
    <n v="2"/>
    <s v="Medical"/>
    <n v="1"/>
    <n v="869"/>
    <n v="2"/>
    <x v="1"/>
    <n v="63"/>
    <n v="2"/>
    <n v="1"/>
    <x v="8"/>
    <n v="4"/>
    <s v="Divorced"/>
    <n v="4936"/>
    <n v="23965"/>
    <n v="1"/>
    <s v="Y"/>
    <x v="1"/>
    <n v="13"/>
    <n v="3"/>
    <n v="4"/>
    <n v="80"/>
    <n v="1"/>
    <n v="6"/>
    <n v="6"/>
    <n v="3"/>
    <n v="5"/>
    <x v="2"/>
    <n v="1"/>
    <n v="0"/>
    <n v="4"/>
    <x v="0"/>
    <n v="0"/>
  </r>
  <r>
    <n v="22"/>
    <x v="2"/>
    <x v="1"/>
    <x v="0"/>
    <n v="1230"/>
    <x v="1"/>
    <n v="1"/>
    <n v="2"/>
    <s v="Life Sciences"/>
    <n v="1"/>
    <n v="872"/>
    <n v="4"/>
    <x v="1"/>
    <n v="33"/>
    <n v="2"/>
    <n v="2"/>
    <x v="3"/>
    <n v="4"/>
    <s v="Married"/>
    <n v="4775"/>
    <n v="19146"/>
    <n v="6"/>
    <s v="Y"/>
    <x v="1"/>
    <n v="22"/>
    <n v="4"/>
    <n v="1"/>
    <n v="80"/>
    <n v="2"/>
    <n v="4"/>
    <n v="2"/>
    <n v="1"/>
    <n v="2"/>
    <x v="1"/>
    <n v="2"/>
    <n v="2"/>
    <n v="2"/>
    <x v="0"/>
    <n v="0"/>
  </r>
  <r>
    <n v="44"/>
    <x v="0"/>
    <x v="1"/>
    <x v="0"/>
    <n v="986"/>
    <x v="1"/>
    <n v="8"/>
    <n v="4"/>
    <s v="Life Sciences"/>
    <n v="1"/>
    <n v="874"/>
    <n v="1"/>
    <x v="1"/>
    <n v="62"/>
    <n v="4"/>
    <n v="1"/>
    <x v="2"/>
    <n v="4"/>
    <s v="Married"/>
    <n v="2818"/>
    <n v="5044"/>
    <n v="2"/>
    <s v="Y"/>
    <x v="0"/>
    <n v="24"/>
    <n v="4"/>
    <n v="3"/>
    <n v="80"/>
    <n v="1"/>
    <n v="10"/>
    <n v="2"/>
    <n v="2"/>
    <n v="3"/>
    <x v="2"/>
    <n v="2"/>
    <n v="0"/>
    <n v="2"/>
    <x v="0"/>
    <n v="0"/>
  </r>
  <r>
    <n v="42"/>
    <x v="0"/>
    <x v="1"/>
    <x v="1"/>
    <n v="1271"/>
    <x v="1"/>
    <n v="2"/>
    <n v="1"/>
    <s v="Medical"/>
    <n v="1"/>
    <n v="875"/>
    <n v="2"/>
    <x v="1"/>
    <n v="35"/>
    <n v="3"/>
    <n v="1"/>
    <x v="1"/>
    <n v="4"/>
    <s v="Single"/>
    <n v="2515"/>
    <n v="9068"/>
    <n v="5"/>
    <s v="Y"/>
    <x v="0"/>
    <n v="14"/>
    <n v="3"/>
    <n v="4"/>
    <n v="80"/>
    <n v="0"/>
    <n v="8"/>
    <n v="2"/>
    <n v="3"/>
    <n v="2"/>
    <x v="1"/>
    <n v="1"/>
    <n v="2"/>
    <n v="2"/>
    <x v="0"/>
    <n v="0"/>
  </r>
  <r>
    <n v="36"/>
    <x v="1"/>
    <x v="1"/>
    <x v="0"/>
    <n v="1278"/>
    <x v="2"/>
    <n v="8"/>
    <n v="3"/>
    <s v="Life Sciences"/>
    <n v="1"/>
    <n v="878"/>
    <n v="1"/>
    <x v="1"/>
    <n v="77"/>
    <n v="2"/>
    <n v="1"/>
    <x v="8"/>
    <n v="1"/>
    <s v="Married"/>
    <n v="2342"/>
    <n v="8635"/>
    <n v="0"/>
    <s v="Y"/>
    <x v="1"/>
    <n v="21"/>
    <n v="4"/>
    <n v="3"/>
    <n v="80"/>
    <n v="0"/>
    <n v="6"/>
    <n v="3"/>
    <n v="3"/>
    <n v="5"/>
    <x v="2"/>
    <n v="4"/>
    <n v="0"/>
    <n v="3"/>
    <x v="3"/>
    <n v="0"/>
  </r>
  <r>
    <n v="25"/>
    <x v="2"/>
    <x v="1"/>
    <x v="0"/>
    <n v="141"/>
    <x v="0"/>
    <n v="3"/>
    <n v="1"/>
    <s v="Other"/>
    <n v="1"/>
    <n v="879"/>
    <n v="3"/>
    <x v="1"/>
    <n v="98"/>
    <n v="3"/>
    <n v="2"/>
    <x v="0"/>
    <n v="1"/>
    <s v="Married"/>
    <n v="4194"/>
    <n v="14363"/>
    <n v="1"/>
    <s v="Y"/>
    <x v="0"/>
    <n v="18"/>
    <n v="3"/>
    <n v="4"/>
    <n v="80"/>
    <n v="0"/>
    <n v="5"/>
    <n v="3"/>
    <n v="3"/>
    <n v="5"/>
    <x v="2"/>
    <n v="3"/>
    <n v="0"/>
    <n v="3"/>
    <x v="3"/>
    <n v="0"/>
  </r>
  <r>
    <n v="35"/>
    <x v="1"/>
    <x v="1"/>
    <x v="0"/>
    <n v="607"/>
    <x v="1"/>
    <n v="9"/>
    <n v="3"/>
    <s v="Life Sciences"/>
    <n v="1"/>
    <n v="880"/>
    <n v="4"/>
    <x v="0"/>
    <n v="66"/>
    <n v="2"/>
    <n v="3"/>
    <x v="3"/>
    <n v="3"/>
    <s v="Married"/>
    <n v="10685"/>
    <n v="23457"/>
    <n v="1"/>
    <s v="Y"/>
    <x v="0"/>
    <n v="20"/>
    <n v="4"/>
    <n v="2"/>
    <n v="80"/>
    <n v="1"/>
    <n v="17"/>
    <n v="2"/>
    <n v="3"/>
    <n v="17"/>
    <x v="3"/>
    <n v="14"/>
    <n v="5"/>
    <n v="15"/>
    <x v="2"/>
    <n v="0"/>
  </r>
  <r>
    <n v="35"/>
    <x v="1"/>
    <x v="0"/>
    <x v="1"/>
    <n v="130"/>
    <x v="1"/>
    <n v="25"/>
    <n v="4"/>
    <s v="Life Sciences"/>
    <n v="1"/>
    <n v="881"/>
    <n v="4"/>
    <x v="0"/>
    <n v="96"/>
    <n v="3"/>
    <n v="1"/>
    <x v="1"/>
    <n v="2"/>
    <s v="Divorced"/>
    <n v="2022"/>
    <n v="16612"/>
    <n v="1"/>
    <s v="Y"/>
    <x v="0"/>
    <n v="19"/>
    <n v="3"/>
    <n v="1"/>
    <n v="80"/>
    <n v="1"/>
    <n v="10"/>
    <n v="3"/>
    <n v="2"/>
    <n v="10"/>
    <x v="0"/>
    <n v="2"/>
    <n v="7"/>
    <n v="8"/>
    <x v="1"/>
    <n v="1"/>
  </r>
  <r>
    <n v="32"/>
    <x v="1"/>
    <x v="1"/>
    <x v="2"/>
    <n v="300"/>
    <x v="1"/>
    <n v="1"/>
    <n v="3"/>
    <s v="Life Sciences"/>
    <n v="1"/>
    <n v="882"/>
    <n v="4"/>
    <x v="1"/>
    <n v="61"/>
    <n v="3"/>
    <n v="1"/>
    <x v="2"/>
    <n v="4"/>
    <s v="Divorced"/>
    <n v="2314"/>
    <n v="9148"/>
    <n v="0"/>
    <s v="Y"/>
    <x v="1"/>
    <n v="12"/>
    <n v="3"/>
    <n v="2"/>
    <n v="80"/>
    <n v="1"/>
    <n v="4"/>
    <n v="2"/>
    <n v="3"/>
    <n v="3"/>
    <x v="2"/>
    <n v="0"/>
    <n v="0"/>
    <n v="2"/>
    <x v="0"/>
    <n v="0"/>
  </r>
  <r>
    <n v="25"/>
    <x v="2"/>
    <x v="1"/>
    <x v="0"/>
    <n v="583"/>
    <x v="0"/>
    <n v="4"/>
    <n v="1"/>
    <s v="Marketing"/>
    <n v="1"/>
    <n v="885"/>
    <n v="3"/>
    <x v="1"/>
    <n v="87"/>
    <n v="2"/>
    <n v="2"/>
    <x v="0"/>
    <n v="1"/>
    <s v="Married"/>
    <n v="4256"/>
    <n v="18154"/>
    <n v="1"/>
    <s v="Y"/>
    <x v="1"/>
    <n v="12"/>
    <n v="3"/>
    <n v="1"/>
    <n v="80"/>
    <n v="0"/>
    <n v="5"/>
    <n v="1"/>
    <n v="4"/>
    <n v="5"/>
    <x v="2"/>
    <n v="2"/>
    <n v="0"/>
    <n v="3"/>
    <x v="3"/>
    <n v="0"/>
  </r>
  <r>
    <n v="49"/>
    <x v="0"/>
    <x v="1"/>
    <x v="0"/>
    <n v="1418"/>
    <x v="1"/>
    <n v="1"/>
    <n v="3"/>
    <s v="Technical Degree"/>
    <n v="1"/>
    <n v="887"/>
    <n v="3"/>
    <x v="0"/>
    <n v="36"/>
    <n v="3"/>
    <n v="1"/>
    <x v="1"/>
    <n v="1"/>
    <s v="Married"/>
    <n v="3580"/>
    <n v="10554"/>
    <n v="2"/>
    <s v="Y"/>
    <x v="1"/>
    <n v="16"/>
    <n v="3"/>
    <n v="2"/>
    <n v="80"/>
    <n v="1"/>
    <n v="7"/>
    <n v="2"/>
    <n v="3"/>
    <n v="4"/>
    <x v="2"/>
    <n v="2"/>
    <n v="0"/>
    <n v="2"/>
    <x v="3"/>
    <n v="0"/>
  </r>
  <r>
    <n v="24"/>
    <x v="2"/>
    <x v="1"/>
    <x v="2"/>
    <n v="1269"/>
    <x v="1"/>
    <n v="4"/>
    <n v="1"/>
    <s v="Life Sciences"/>
    <n v="1"/>
    <n v="888"/>
    <n v="1"/>
    <x v="1"/>
    <n v="46"/>
    <n v="2"/>
    <n v="1"/>
    <x v="2"/>
    <n v="4"/>
    <s v="Married"/>
    <n v="3162"/>
    <n v="10778"/>
    <n v="0"/>
    <s v="Y"/>
    <x v="1"/>
    <n v="17"/>
    <n v="3"/>
    <n v="4"/>
    <n v="80"/>
    <n v="0"/>
    <n v="6"/>
    <n v="2"/>
    <n v="2"/>
    <n v="5"/>
    <x v="2"/>
    <n v="2"/>
    <n v="3"/>
    <n v="4"/>
    <x v="0"/>
    <n v="0"/>
  </r>
  <r>
    <n v="32"/>
    <x v="1"/>
    <x v="1"/>
    <x v="1"/>
    <n v="379"/>
    <x v="0"/>
    <n v="5"/>
    <n v="2"/>
    <s v="Life Sciences"/>
    <n v="1"/>
    <n v="889"/>
    <n v="2"/>
    <x v="1"/>
    <n v="48"/>
    <n v="3"/>
    <n v="2"/>
    <x v="0"/>
    <n v="2"/>
    <s v="Married"/>
    <n v="6524"/>
    <n v="8891"/>
    <n v="1"/>
    <s v="Y"/>
    <x v="1"/>
    <n v="14"/>
    <n v="3"/>
    <n v="4"/>
    <n v="80"/>
    <n v="1"/>
    <n v="10"/>
    <n v="3"/>
    <n v="3"/>
    <n v="10"/>
    <x v="0"/>
    <n v="8"/>
    <n v="5"/>
    <n v="3"/>
    <x v="1"/>
    <n v="0"/>
  </r>
  <r>
    <n v="38"/>
    <x v="1"/>
    <x v="1"/>
    <x v="0"/>
    <n v="395"/>
    <x v="0"/>
    <n v="9"/>
    <n v="3"/>
    <s v="Marketing"/>
    <n v="1"/>
    <n v="893"/>
    <n v="2"/>
    <x v="1"/>
    <n v="98"/>
    <n v="2"/>
    <n v="1"/>
    <x v="6"/>
    <n v="2"/>
    <s v="Married"/>
    <n v="2899"/>
    <n v="12102"/>
    <n v="0"/>
    <s v="Y"/>
    <x v="1"/>
    <n v="19"/>
    <n v="3"/>
    <n v="4"/>
    <n v="80"/>
    <n v="1"/>
    <n v="3"/>
    <n v="3"/>
    <n v="3"/>
    <n v="2"/>
    <x v="1"/>
    <n v="2"/>
    <n v="1"/>
    <n v="2"/>
    <x v="1"/>
    <n v="0"/>
  </r>
  <r>
    <n v="42"/>
    <x v="0"/>
    <x v="1"/>
    <x v="0"/>
    <n v="1265"/>
    <x v="1"/>
    <n v="3"/>
    <n v="3"/>
    <s v="Life Sciences"/>
    <n v="1"/>
    <n v="894"/>
    <n v="3"/>
    <x v="0"/>
    <n v="95"/>
    <n v="4"/>
    <n v="2"/>
    <x v="2"/>
    <n v="4"/>
    <s v="Married"/>
    <n v="5231"/>
    <n v="23726"/>
    <n v="2"/>
    <s v="Y"/>
    <x v="0"/>
    <n v="13"/>
    <n v="3"/>
    <n v="2"/>
    <n v="80"/>
    <n v="1"/>
    <n v="17"/>
    <n v="1"/>
    <n v="2"/>
    <n v="5"/>
    <x v="2"/>
    <n v="3"/>
    <n v="1"/>
    <n v="3"/>
    <x v="0"/>
    <n v="0"/>
  </r>
  <r>
    <n v="31"/>
    <x v="1"/>
    <x v="1"/>
    <x v="0"/>
    <n v="1222"/>
    <x v="1"/>
    <n v="11"/>
    <n v="4"/>
    <s v="Life Sciences"/>
    <n v="1"/>
    <n v="895"/>
    <n v="4"/>
    <x v="1"/>
    <n v="48"/>
    <n v="3"/>
    <n v="1"/>
    <x v="1"/>
    <n v="4"/>
    <s v="Married"/>
    <n v="2356"/>
    <n v="14871"/>
    <n v="3"/>
    <s v="Y"/>
    <x v="0"/>
    <n v="19"/>
    <n v="3"/>
    <n v="2"/>
    <n v="80"/>
    <n v="1"/>
    <n v="8"/>
    <n v="2"/>
    <n v="3"/>
    <n v="6"/>
    <x v="0"/>
    <n v="4"/>
    <n v="0"/>
    <n v="2"/>
    <x v="0"/>
    <n v="0"/>
  </r>
  <r>
    <n v="29"/>
    <x v="2"/>
    <x v="0"/>
    <x v="0"/>
    <n v="341"/>
    <x v="0"/>
    <n v="1"/>
    <n v="3"/>
    <s v="Medical"/>
    <n v="1"/>
    <n v="896"/>
    <n v="2"/>
    <x v="0"/>
    <n v="48"/>
    <n v="2"/>
    <n v="1"/>
    <x v="6"/>
    <n v="3"/>
    <s v="Divorced"/>
    <n v="2800"/>
    <n v="23522"/>
    <n v="6"/>
    <s v="Y"/>
    <x v="0"/>
    <n v="19"/>
    <n v="3"/>
    <n v="3"/>
    <n v="80"/>
    <n v="3"/>
    <n v="5"/>
    <n v="3"/>
    <n v="3"/>
    <n v="3"/>
    <x v="2"/>
    <n v="2"/>
    <n v="0"/>
    <n v="2"/>
    <x v="2"/>
    <n v="1"/>
  </r>
  <r>
    <n v="53"/>
    <x v="3"/>
    <x v="1"/>
    <x v="0"/>
    <n v="868"/>
    <x v="0"/>
    <n v="8"/>
    <n v="3"/>
    <s v="Marketing"/>
    <n v="1"/>
    <n v="897"/>
    <n v="1"/>
    <x v="1"/>
    <n v="73"/>
    <n v="3"/>
    <n v="4"/>
    <x v="0"/>
    <n v="4"/>
    <s v="Married"/>
    <n v="11836"/>
    <n v="22789"/>
    <n v="5"/>
    <s v="Y"/>
    <x v="1"/>
    <n v="14"/>
    <n v="3"/>
    <n v="3"/>
    <n v="80"/>
    <n v="1"/>
    <n v="28"/>
    <n v="3"/>
    <n v="3"/>
    <n v="2"/>
    <x v="1"/>
    <n v="0"/>
    <n v="2"/>
    <n v="2"/>
    <x v="0"/>
    <n v="0"/>
  </r>
  <r>
    <n v="35"/>
    <x v="1"/>
    <x v="1"/>
    <x v="0"/>
    <n v="672"/>
    <x v="1"/>
    <n v="25"/>
    <n v="3"/>
    <s v="Technical Degree"/>
    <n v="1"/>
    <n v="899"/>
    <n v="4"/>
    <x v="1"/>
    <n v="78"/>
    <n v="2"/>
    <n v="3"/>
    <x v="3"/>
    <n v="2"/>
    <s v="Married"/>
    <n v="10903"/>
    <n v="9129"/>
    <n v="3"/>
    <s v="Y"/>
    <x v="1"/>
    <n v="16"/>
    <n v="3"/>
    <n v="1"/>
    <n v="80"/>
    <n v="0"/>
    <n v="16"/>
    <n v="2"/>
    <n v="3"/>
    <n v="13"/>
    <x v="3"/>
    <n v="10"/>
    <n v="4"/>
    <n v="8"/>
    <x v="1"/>
    <n v="0"/>
  </r>
  <r>
    <n v="37"/>
    <x v="1"/>
    <x v="1"/>
    <x v="1"/>
    <n v="1231"/>
    <x v="0"/>
    <n v="21"/>
    <n v="2"/>
    <s v="Medical"/>
    <n v="1"/>
    <n v="900"/>
    <n v="3"/>
    <x v="0"/>
    <n v="54"/>
    <n v="3"/>
    <n v="1"/>
    <x v="6"/>
    <n v="4"/>
    <s v="Married"/>
    <n v="2973"/>
    <n v="21222"/>
    <n v="5"/>
    <s v="Y"/>
    <x v="1"/>
    <n v="15"/>
    <n v="3"/>
    <n v="2"/>
    <n v="80"/>
    <n v="1"/>
    <n v="10"/>
    <n v="3"/>
    <n v="3"/>
    <n v="5"/>
    <x v="2"/>
    <n v="4"/>
    <n v="0"/>
    <n v="0"/>
    <x v="0"/>
    <n v="0"/>
  </r>
  <r>
    <n v="53"/>
    <x v="3"/>
    <x v="1"/>
    <x v="0"/>
    <n v="102"/>
    <x v="1"/>
    <n v="23"/>
    <n v="4"/>
    <s v="Life Sciences"/>
    <n v="1"/>
    <n v="901"/>
    <n v="4"/>
    <x v="0"/>
    <n v="72"/>
    <n v="3"/>
    <n v="4"/>
    <x v="7"/>
    <n v="4"/>
    <s v="Single"/>
    <n v="14275"/>
    <n v="20206"/>
    <n v="6"/>
    <s v="Y"/>
    <x v="1"/>
    <n v="18"/>
    <n v="3"/>
    <n v="3"/>
    <n v="80"/>
    <n v="0"/>
    <n v="33"/>
    <n v="0"/>
    <n v="3"/>
    <n v="12"/>
    <x v="3"/>
    <n v="9"/>
    <n v="3"/>
    <n v="8"/>
    <x v="0"/>
    <n v="0"/>
  </r>
  <r>
    <n v="43"/>
    <x v="0"/>
    <x v="1"/>
    <x v="1"/>
    <n v="422"/>
    <x v="1"/>
    <n v="1"/>
    <n v="3"/>
    <s v="Life Sciences"/>
    <n v="1"/>
    <n v="902"/>
    <n v="4"/>
    <x v="0"/>
    <n v="33"/>
    <n v="3"/>
    <n v="2"/>
    <x v="4"/>
    <n v="4"/>
    <s v="Married"/>
    <n v="5562"/>
    <n v="21782"/>
    <n v="4"/>
    <s v="Y"/>
    <x v="1"/>
    <n v="13"/>
    <n v="3"/>
    <n v="2"/>
    <n v="80"/>
    <n v="1"/>
    <n v="12"/>
    <n v="2"/>
    <n v="2"/>
    <n v="5"/>
    <x v="2"/>
    <n v="2"/>
    <n v="2"/>
    <n v="2"/>
    <x v="0"/>
    <n v="0"/>
  </r>
  <r>
    <n v="47"/>
    <x v="0"/>
    <x v="1"/>
    <x v="0"/>
    <n v="249"/>
    <x v="0"/>
    <n v="2"/>
    <n v="2"/>
    <s v="Marketing"/>
    <n v="1"/>
    <n v="903"/>
    <n v="3"/>
    <x v="0"/>
    <n v="35"/>
    <n v="3"/>
    <n v="2"/>
    <x v="0"/>
    <n v="4"/>
    <s v="Married"/>
    <n v="4537"/>
    <n v="17783"/>
    <n v="0"/>
    <s v="Y"/>
    <x v="0"/>
    <n v="22"/>
    <n v="4"/>
    <n v="1"/>
    <n v="80"/>
    <n v="1"/>
    <n v="8"/>
    <n v="2"/>
    <n v="3"/>
    <n v="7"/>
    <x v="0"/>
    <n v="6"/>
    <n v="7"/>
    <n v="7"/>
    <x v="0"/>
    <n v="0"/>
  </r>
  <r>
    <n v="37"/>
    <x v="1"/>
    <x v="1"/>
    <x v="2"/>
    <n v="1252"/>
    <x v="0"/>
    <n v="19"/>
    <n v="2"/>
    <s v="Medical"/>
    <n v="1"/>
    <n v="904"/>
    <n v="1"/>
    <x v="1"/>
    <n v="32"/>
    <n v="3"/>
    <n v="3"/>
    <x v="0"/>
    <n v="2"/>
    <s v="Single"/>
    <n v="7642"/>
    <n v="4814"/>
    <n v="1"/>
    <s v="Y"/>
    <x v="0"/>
    <n v="13"/>
    <n v="3"/>
    <n v="4"/>
    <n v="80"/>
    <n v="0"/>
    <n v="10"/>
    <n v="2"/>
    <n v="3"/>
    <n v="10"/>
    <x v="0"/>
    <n v="0"/>
    <n v="0"/>
    <n v="9"/>
    <x v="1"/>
    <n v="0"/>
  </r>
  <r>
    <n v="50"/>
    <x v="0"/>
    <x v="1"/>
    <x v="2"/>
    <n v="881"/>
    <x v="1"/>
    <n v="2"/>
    <n v="4"/>
    <s v="Life Sciences"/>
    <n v="1"/>
    <n v="905"/>
    <n v="1"/>
    <x v="1"/>
    <n v="98"/>
    <n v="3"/>
    <n v="4"/>
    <x v="5"/>
    <n v="1"/>
    <s v="Divorced"/>
    <n v="17924"/>
    <n v="4544"/>
    <n v="1"/>
    <s v="Y"/>
    <x v="1"/>
    <n v="11"/>
    <n v="3"/>
    <n v="4"/>
    <n v="80"/>
    <n v="1"/>
    <n v="31"/>
    <n v="3"/>
    <n v="3"/>
    <n v="31"/>
    <x v="3"/>
    <n v="6"/>
    <n v="14"/>
    <n v="7"/>
    <x v="3"/>
    <n v="0"/>
  </r>
  <r>
    <n v="39"/>
    <x v="1"/>
    <x v="1"/>
    <x v="0"/>
    <n v="1383"/>
    <x v="2"/>
    <n v="2"/>
    <n v="3"/>
    <s v="Life Sciences"/>
    <n v="1"/>
    <n v="909"/>
    <n v="4"/>
    <x v="0"/>
    <n v="42"/>
    <n v="2"/>
    <n v="2"/>
    <x v="8"/>
    <n v="4"/>
    <s v="Married"/>
    <n v="5204"/>
    <n v="7790"/>
    <n v="8"/>
    <s v="Y"/>
    <x v="1"/>
    <n v="11"/>
    <n v="3"/>
    <n v="3"/>
    <n v="80"/>
    <n v="2"/>
    <n v="13"/>
    <n v="2"/>
    <n v="3"/>
    <n v="5"/>
    <x v="2"/>
    <n v="4"/>
    <n v="0"/>
    <n v="4"/>
    <x v="0"/>
    <n v="0"/>
  </r>
  <r>
    <n v="33"/>
    <x v="1"/>
    <x v="1"/>
    <x v="0"/>
    <n v="1075"/>
    <x v="2"/>
    <n v="3"/>
    <n v="2"/>
    <s v="Human Resources"/>
    <n v="1"/>
    <n v="910"/>
    <n v="4"/>
    <x v="1"/>
    <n v="57"/>
    <n v="3"/>
    <n v="1"/>
    <x v="8"/>
    <n v="2"/>
    <s v="Divorced"/>
    <n v="2277"/>
    <n v="22650"/>
    <n v="3"/>
    <s v="Y"/>
    <x v="0"/>
    <n v="11"/>
    <n v="3"/>
    <n v="3"/>
    <n v="80"/>
    <n v="1"/>
    <n v="7"/>
    <n v="4"/>
    <n v="4"/>
    <n v="4"/>
    <x v="2"/>
    <n v="3"/>
    <n v="0"/>
    <n v="3"/>
    <x v="1"/>
    <n v="0"/>
  </r>
  <r>
    <n v="32"/>
    <x v="1"/>
    <x v="0"/>
    <x v="0"/>
    <n v="374"/>
    <x v="1"/>
    <n v="25"/>
    <n v="4"/>
    <s v="Life Sciences"/>
    <n v="1"/>
    <n v="911"/>
    <n v="1"/>
    <x v="1"/>
    <n v="87"/>
    <n v="3"/>
    <n v="1"/>
    <x v="2"/>
    <n v="4"/>
    <s v="Single"/>
    <n v="2795"/>
    <n v="18016"/>
    <n v="1"/>
    <s v="Y"/>
    <x v="0"/>
    <n v="24"/>
    <n v="4"/>
    <n v="3"/>
    <n v="80"/>
    <n v="0"/>
    <n v="1"/>
    <n v="2"/>
    <n v="1"/>
    <n v="1"/>
    <x v="1"/>
    <n v="0"/>
    <n v="0"/>
    <n v="1"/>
    <x v="0"/>
    <n v="1"/>
  </r>
  <r>
    <n v="29"/>
    <x v="2"/>
    <x v="1"/>
    <x v="0"/>
    <n v="1086"/>
    <x v="1"/>
    <n v="7"/>
    <n v="1"/>
    <s v="Medical"/>
    <n v="1"/>
    <n v="912"/>
    <n v="1"/>
    <x v="0"/>
    <n v="62"/>
    <n v="2"/>
    <n v="1"/>
    <x v="2"/>
    <n v="4"/>
    <s v="Divorced"/>
    <n v="2532"/>
    <n v="6054"/>
    <n v="6"/>
    <s v="Y"/>
    <x v="1"/>
    <n v="14"/>
    <n v="3"/>
    <n v="3"/>
    <n v="80"/>
    <n v="3"/>
    <n v="8"/>
    <n v="5"/>
    <n v="3"/>
    <n v="4"/>
    <x v="2"/>
    <n v="3"/>
    <n v="0"/>
    <n v="3"/>
    <x v="0"/>
    <n v="0"/>
  </r>
  <r>
    <n v="44"/>
    <x v="0"/>
    <x v="1"/>
    <x v="0"/>
    <n v="661"/>
    <x v="1"/>
    <n v="9"/>
    <n v="2"/>
    <s v="Life Sciences"/>
    <n v="1"/>
    <n v="913"/>
    <n v="2"/>
    <x v="1"/>
    <n v="61"/>
    <n v="3"/>
    <n v="1"/>
    <x v="1"/>
    <n v="1"/>
    <s v="Married"/>
    <n v="2559"/>
    <n v="7508"/>
    <n v="1"/>
    <s v="Y"/>
    <x v="0"/>
    <n v="13"/>
    <n v="3"/>
    <n v="4"/>
    <n v="80"/>
    <n v="0"/>
    <n v="8"/>
    <n v="0"/>
    <n v="3"/>
    <n v="8"/>
    <x v="0"/>
    <n v="7"/>
    <n v="7"/>
    <n v="1"/>
    <x v="3"/>
    <n v="0"/>
  </r>
  <r>
    <n v="28"/>
    <x v="2"/>
    <x v="1"/>
    <x v="0"/>
    <n v="821"/>
    <x v="0"/>
    <n v="5"/>
    <n v="4"/>
    <s v="Medical"/>
    <n v="1"/>
    <n v="916"/>
    <n v="1"/>
    <x v="1"/>
    <n v="98"/>
    <n v="3"/>
    <n v="2"/>
    <x v="0"/>
    <n v="4"/>
    <s v="Single"/>
    <n v="4908"/>
    <n v="24252"/>
    <n v="1"/>
    <s v="Y"/>
    <x v="1"/>
    <n v="14"/>
    <n v="3"/>
    <n v="2"/>
    <n v="80"/>
    <n v="0"/>
    <n v="4"/>
    <n v="3"/>
    <n v="3"/>
    <n v="4"/>
    <x v="2"/>
    <n v="2"/>
    <n v="0"/>
    <n v="2"/>
    <x v="0"/>
    <n v="0"/>
  </r>
  <r>
    <n v="58"/>
    <x v="3"/>
    <x v="0"/>
    <x v="1"/>
    <n v="781"/>
    <x v="1"/>
    <n v="2"/>
    <n v="1"/>
    <s v="Life Sciences"/>
    <n v="1"/>
    <n v="918"/>
    <n v="4"/>
    <x v="1"/>
    <n v="57"/>
    <n v="2"/>
    <n v="1"/>
    <x v="2"/>
    <n v="4"/>
    <s v="Divorced"/>
    <n v="2380"/>
    <n v="13384"/>
    <n v="9"/>
    <s v="Y"/>
    <x v="0"/>
    <n v="14"/>
    <n v="3"/>
    <n v="4"/>
    <n v="80"/>
    <n v="1"/>
    <n v="3"/>
    <n v="3"/>
    <n v="2"/>
    <n v="1"/>
    <x v="1"/>
    <n v="0"/>
    <n v="0"/>
    <n v="0"/>
    <x v="0"/>
    <n v="1"/>
  </r>
  <r>
    <n v="43"/>
    <x v="0"/>
    <x v="1"/>
    <x v="0"/>
    <n v="177"/>
    <x v="1"/>
    <n v="8"/>
    <n v="3"/>
    <s v="Life Sciences"/>
    <n v="1"/>
    <n v="920"/>
    <n v="1"/>
    <x v="0"/>
    <n v="55"/>
    <n v="3"/>
    <n v="2"/>
    <x v="3"/>
    <n v="2"/>
    <s v="Divorced"/>
    <n v="4765"/>
    <n v="23814"/>
    <n v="4"/>
    <s v="Y"/>
    <x v="1"/>
    <n v="21"/>
    <n v="4"/>
    <n v="3"/>
    <n v="80"/>
    <n v="1"/>
    <n v="4"/>
    <n v="2"/>
    <n v="4"/>
    <n v="1"/>
    <x v="1"/>
    <n v="0"/>
    <n v="0"/>
    <n v="0"/>
    <x v="1"/>
    <n v="0"/>
  </r>
  <r>
    <n v="20"/>
    <x v="2"/>
    <x v="0"/>
    <x v="0"/>
    <n v="500"/>
    <x v="0"/>
    <n v="2"/>
    <n v="3"/>
    <s v="Medical"/>
    <n v="1"/>
    <n v="922"/>
    <n v="3"/>
    <x v="0"/>
    <n v="49"/>
    <n v="2"/>
    <n v="1"/>
    <x v="6"/>
    <n v="3"/>
    <s v="Single"/>
    <n v="2044"/>
    <n v="22052"/>
    <n v="1"/>
    <s v="Y"/>
    <x v="1"/>
    <n v="13"/>
    <n v="3"/>
    <n v="4"/>
    <n v="80"/>
    <n v="0"/>
    <n v="2"/>
    <n v="3"/>
    <n v="2"/>
    <n v="2"/>
    <x v="1"/>
    <n v="2"/>
    <n v="0"/>
    <n v="2"/>
    <x v="2"/>
    <n v="1"/>
  </r>
  <r>
    <n v="21"/>
    <x v="2"/>
    <x v="0"/>
    <x v="0"/>
    <n v="1427"/>
    <x v="1"/>
    <n v="18"/>
    <n v="1"/>
    <s v="Other"/>
    <n v="1"/>
    <n v="923"/>
    <n v="4"/>
    <x v="0"/>
    <n v="65"/>
    <n v="3"/>
    <n v="1"/>
    <x v="1"/>
    <n v="4"/>
    <s v="Single"/>
    <n v="2693"/>
    <n v="8870"/>
    <n v="1"/>
    <s v="Y"/>
    <x v="1"/>
    <n v="19"/>
    <n v="3"/>
    <n v="1"/>
    <n v="80"/>
    <n v="0"/>
    <n v="1"/>
    <n v="3"/>
    <n v="2"/>
    <n v="1"/>
    <x v="1"/>
    <n v="0"/>
    <n v="0"/>
    <n v="0"/>
    <x v="0"/>
    <n v="1"/>
  </r>
  <r>
    <n v="36"/>
    <x v="1"/>
    <x v="1"/>
    <x v="0"/>
    <n v="1425"/>
    <x v="1"/>
    <n v="14"/>
    <n v="1"/>
    <s v="Life Sciences"/>
    <n v="1"/>
    <n v="924"/>
    <n v="3"/>
    <x v="1"/>
    <n v="68"/>
    <n v="3"/>
    <n v="2"/>
    <x v="4"/>
    <n v="4"/>
    <s v="Married"/>
    <n v="6586"/>
    <n v="4821"/>
    <n v="0"/>
    <s v="Y"/>
    <x v="0"/>
    <n v="17"/>
    <n v="3"/>
    <n v="1"/>
    <n v="80"/>
    <n v="1"/>
    <n v="17"/>
    <n v="2"/>
    <n v="2"/>
    <n v="16"/>
    <x v="3"/>
    <n v="8"/>
    <n v="4"/>
    <n v="11"/>
    <x v="0"/>
    <n v="0"/>
  </r>
  <r>
    <n v="47"/>
    <x v="0"/>
    <x v="1"/>
    <x v="0"/>
    <n v="1454"/>
    <x v="0"/>
    <n v="2"/>
    <n v="4"/>
    <s v="Life Sciences"/>
    <n v="1"/>
    <n v="925"/>
    <n v="4"/>
    <x v="0"/>
    <n v="65"/>
    <n v="2"/>
    <n v="1"/>
    <x v="6"/>
    <n v="4"/>
    <s v="Single"/>
    <n v="3294"/>
    <n v="13137"/>
    <n v="1"/>
    <s v="Y"/>
    <x v="0"/>
    <n v="18"/>
    <n v="3"/>
    <n v="1"/>
    <n v="80"/>
    <n v="0"/>
    <n v="3"/>
    <n v="3"/>
    <n v="2"/>
    <n v="3"/>
    <x v="2"/>
    <n v="2"/>
    <n v="1"/>
    <n v="2"/>
    <x v="0"/>
    <n v="0"/>
  </r>
  <r>
    <n v="22"/>
    <x v="2"/>
    <x v="0"/>
    <x v="0"/>
    <n v="617"/>
    <x v="1"/>
    <n v="3"/>
    <n v="1"/>
    <s v="Life Sciences"/>
    <n v="1"/>
    <n v="926"/>
    <n v="2"/>
    <x v="0"/>
    <n v="34"/>
    <n v="3"/>
    <n v="2"/>
    <x v="3"/>
    <n v="3"/>
    <s v="Married"/>
    <n v="4171"/>
    <n v="10022"/>
    <n v="0"/>
    <s v="Y"/>
    <x v="0"/>
    <n v="19"/>
    <n v="3"/>
    <n v="1"/>
    <n v="80"/>
    <n v="1"/>
    <n v="4"/>
    <n v="3"/>
    <n v="4"/>
    <n v="3"/>
    <x v="2"/>
    <n v="2"/>
    <n v="0"/>
    <n v="2"/>
    <x v="2"/>
    <n v="1"/>
  </r>
  <r>
    <n v="41"/>
    <x v="0"/>
    <x v="0"/>
    <x v="0"/>
    <n v="1085"/>
    <x v="1"/>
    <n v="2"/>
    <n v="4"/>
    <s v="Life Sciences"/>
    <n v="1"/>
    <n v="927"/>
    <n v="2"/>
    <x v="0"/>
    <n v="57"/>
    <n v="1"/>
    <n v="1"/>
    <x v="2"/>
    <n v="4"/>
    <s v="Divorced"/>
    <n v="2778"/>
    <n v="17725"/>
    <n v="4"/>
    <s v="Y"/>
    <x v="0"/>
    <n v="13"/>
    <n v="3"/>
    <n v="3"/>
    <n v="80"/>
    <n v="1"/>
    <n v="10"/>
    <n v="1"/>
    <n v="2"/>
    <n v="7"/>
    <x v="0"/>
    <n v="7"/>
    <n v="1"/>
    <n v="0"/>
    <x v="0"/>
    <n v="1"/>
  </r>
  <r>
    <n v="28"/>
    <x v="2"/>
    <x v="1"/>
    <x v="0"/>
    <n v="995"/>
    <x v="1"/>
    <n v="9"/>
    <n v="3"/>
    <s v="Medical"/>
    <n v="1"/>
    <n v="930"/>
    <n v="3"/>
    <x v="0"/>
    <n v="77"/>
    <n v="3"/>
    <n v="1"/>
    <x v="1"/>
    <n v="3"/>
    <s v="Divorced"/>
    <n v="2377"/>
    <n v="9834"/>
    <n v="5"/>
    <s v="Y"/>
    <x v="1"/>
    <n v="18"/>
    <n v="3"/>
    <n v="2"/>
    <n v="80"/>
    <n v="1"/>
    <n v="6"/>
    <n v="2"/>
    <n v="3"/>
    <n v="2"/>
    <x v="1"/>
    <n v="2"/>
    <n v="2"/>
    <n v="2"/>
    <x v="2"/>
    <n v="0"/>
  </r>
  <r>
    <n v="39"/>
    <x v="1"/>
    <x v="0"/>
    <x v="0"/>
    <n v="1122"/>
    <x v="1"/>
    <n v="6"/>
    <n v="3"/>
    <s v="Medical"/>
    <n v="1"/>
    <n v="932"/>
    <n v="4"/>
    <x v="1"/>
    <n v="70"/>
    <n v="3"/>
    <n v="1"/>
    <x v="2"/>
    <n v="1"/>
    <s v="Married"/>
    <n v="2404"/>
    <n v="4303"/>
    <n v="7"/>
    <s v="Y"/>
    <x v="0"/>
    <n v="21"/>
    <n v="4"/>
    <n v="4"/>
    <n v="80"/>
    <n v="0"/>
    <n v="8"/>
    <n v="2"/>
    <n v="1"/>
    <n v="2"/>
    <x v="1"/>
    <n v="2"/>
    <n v="2"/>
    <n v="2"/>
    <x v="3"/>
    <n v="1"/>
  </r>
  <r>
    <n v="27"/>
    <x v="2"/>
    <x v="1"/>
    <x v="0"/>
    <n v="618"/>
    <x v="1"/>
    <n v="4"/>
    <n v="3"/>
    <s v="Life Sciences"/>
    <n v="1"/>
    <n v="933"/>
    <n v="2"/>
    <x v="0"/>
    <n v="76"/>
    <n v="3"/>
    <n v="1"/>
    <x v="1"/>
    <n v="3"/>
    <s v="Single"/>
    <n v="2318"/>
    <n v="17808"/>
    <n v="1"/>
    <s v="Y"/>
    <x v="1"/>
    <n v="19"/>
    <n v="3"/>
    <n v="3"/>
    <n v="80"/>
    <n v="0"/>
    <n v="1"/>
    <n v="2"/>
    <n v="3"/>
    <n v="1"/>
    <x v="1"/>
    <n v="1"/>
    <n v="0"/>
    <n v="0"/>
    <x v="2"/>
    <n v="0"/>
  </r>
  <r>
    <n v="34"/>
    <x v="1"/>
    <x v="1"/>
    <x v="0"/>
    <n v="546"/>
    <x v="1"/>
    <n v="10"/>
    <n v="3"/>
    <s v="Life Sciences"/>
    <n v="1"/>
    <n v="934"/>
    <n v="2"/>
    <x v="1"/>
    <n v="83"/>
    <n v="3"/>
    <n v="1"/>
    <x v="2"/>
    <n v="2"/>
    <s v="Divorced"/>
    <n v="2008"/>
    <n v="6896"/>
    <n v="1"/>
    <s v="Y"/>
    <x v="1"/>
    <n v="14"/>
    <n v="3"/>
    <n v="2"/>
    <n v="80"/>
    <n v="2"/>
    <n v="1"/>
    <n v="3"/>
    <n v="3"/>
    <n v="1"/>
    <x v="1"/>
    <n v="0"/>
    <n v="1"/>
    <n v="0"/>
    <x v="1"/>
    <n v="0"/>
  </r>
  <r>
    <n v="42"/>
    <x v="0"/>
    <x v="1"/>
    <x v="0"/>
    <n v="462"/>
    <x v="0"/>
    <n v="14"/>
    <n v="2"/>
    <s v="Medical"/>
    <n v="1"/>
    <n v="936"/>
    <n v="3"/>
    <x v="0"/>
    <n v="68"/>
    <n v="2"/>
    <n v="2"/>
    <x v="0"/>
    <n v="3"/>
    <s v="Single"/>
    <n v="6244"/>
    <n v="7824"/>
    <n v="7"/>
    <s v="Y"/>
    <x v="1"/>
    <n v="17"/>
    <n v="3"/>
    <n v="1"/>
    <n v="80"/>
    <n v="0"/>
    <n v="10"/>
    <n v="6"/>
    <n v="3"/>
    <n v="5"/>
    <x v="2"/>
    <n v="4"/>
    <n v="0"/>
    <n v="3"/>
    <x v="2"/>
    <n v="0"/>
  </r>
  <r>
    <n v="33"/>
    <x v="1"/>
    <x v="1"/>
    <x v="0"/>
    <n v="1198"/>
    <x v="1"/>
    <n v="1"/>
    <n v="4"/>
    <s v="Other"/>
    <n v="1"/>
    <n v="939"/>
    <n v="3"/>
    <x v="1"/>
    <n v="100"/>
    <n v="2"/>
    <n v="1"/>
    <x v="1"/>
    <n v="1"/>
    <s v="Single"/>
    <n v="2799"/>
    <n v="3339"/>
    <n v="3"/>
    <s v="Y"/>
    <x v="0"/>
    <n v="11"/>
    <n v="3"/>
    <n v="2"/>
    <n v="80"/>
    <n v="0"/>
    <n v="6"/>
    <n v="1"/>
    <n v="3"/>
    <n v="3"/>
    <x v="2"/>
    <n v="2"/>
    <n v="0"/>
    <n v="2"/>
    <x v="3"/>
    <n v="0"/>
  </r>
  <r>
    <n v="58"/>
    <x v="3"/>
    <x v="1"/>
    <x v="0"/>
    <n v="1272"/>
    <x v="1"/>
    <n v="5"/>
    <n v="3"/>
    <s v="Technical Degree"/>
    <n v="1"/>
    <n v="940"/>
    <n v="3"/>
    <x v="0"/>
    <n v="37"/>
    <n v="2"/>
    <n v="3"/>
    <x v="4"/>
    <n v="2"/>
    <s v="Divorced"/>
    <n v="10552"/>
    <n v="9255"/>
    <n v="2"/>
    <s v="Y"/>
    <x v="0"/>
    <n v="13"/>
    <n v="3"/>
    <n v="4"/>
    <n v="80"/>
    <n v="1"/>
    <n v="24"/>
    <n v="3"/>
    <n v="3"/>
    <n v="6"/>
    <x v="0"/>
    <n v="0"/>
    <n v="0"/>
    <n v="4"/>
    <x v="1"/>
    <n v="0"/>
  </r>
  <r>
    <n v="31"/>
    <x v="1"/>
    <x v="1"/>
    <x v="0"/>
    <n v="154"/>
    <x v="0"/>
    <n v="7"/>
    <n v="4"/>
    <s v="Life Sciences"/>
    <n v="1"/>
    <n v="941"/>
    <n v="2"/>
    <x v="1"/>
    <n v="41"/>
    <n v="2"/>
    <n v="1"/>
    <x v="6"/>
    <n v="3"/>
    <s v="Married"/>
    <n v="2329"/>
    <n v="11737"/>
    <n v="3"/>
    <s v="Y"/>
    <x v="1"/>
    <n v="15"/>
    <n v="3"/>
    <n v="2"/>
    <n v="80"/>
    <n v="0"/>
    <n v="13"/>
    <n v="2"/>
    <n v="4"/>
    <n v="7"/>
    <x v="0"/>
    <n v="7"/>
    <n v="5"/>
    <n v="2"/>
    <x v="2"/>
    <n v="0"/>
  </r>
  <r>
    <n v="35"/>
    <x v="1"/>
    <x v="1"/>
    <x v="0"/>
    <n v="1137"/>
    <x v="1"/>
    <n v="21"/>
    <n v="1"/>
    <s v="Life Sciences"/>
    <n v="1"/>
    <n v="942"/>
    <n v="4"/>
    <x v="0"/>
    <n v="51"/>
    <n v="3"/>
    <n v="2"/>
    <x v="4"/>
    <n v="4"/>
    <s v="Married"/>
    <n v="4014"/>
    <n v="19170"/>
    <n v="1"/>
    <s v="Y"/>
    <x v="0"/>
    <n v="25"/>
    <n v="4"/>
    <n v="4"/>
    <n v="80"/>
    <n v="1"/>
    <n v="10"/>
    <n v="2"/>
    <n v="1"/>
    <n v="10"/>
    <x v="0"/>
    <n v="6"/>
    <n v="0"/>
    <n v="7"/>
    <x v="0"/>
    <n v="0"/>
  </r>
  <r>
    <n v="49"/>
    <x v="0"/>
    <x v="1"/>
    <x v="0"/>
    <n v="527"/>
    <x v="1"/>
    <n v="8"/>
    <n v="2"/>
    <s v="Other"/>
    <n v="1"/>
    <n v="944"/>
    <n v="1"/>
    <x v="0"/>
    <n v="51"/>
    <n v="3"/>
    <n v="3"/>
    <x v="2"/>
    <n v="2"/>
    <s v="Married"/>
    <n v="7403"/>
    <n v="22477"/>
    <n v="4"/>
    <s v="Y"/>
    <x v="1"/>
    <n v="11"/>
    <n v="3"/>
    <n v="3"/>
    <n v="80"/>
    <n v="1"/>
    <n v="29"/>
    <n v="3"/>
    <n v="2"/>
    <n v="26"/>
    <x v="3"/>
    <n v="9"/>
    <n v="1"/>
    <n v="7"/>
    <x v="1"/>
    <n v="0"/>
  </r>
  <r>
    <n v="48"/>
    <x v="0"/>
    <x v="1"/>
    <x v="0"/>
    <n v="1469"/>
    <x v="1"/>
    <n v="20"/>
    <n v="4"/>
    <s v="Medical"/>
    <n v="1"/>
    <n v="945"/>
    <n v="4"/>
    <x v="1"/>
    <n v="51"/>
    <n v="3"/>
    <n v="1"/>
    <x v="1"/>
    <n v="3"/>
    <s v="Married"/>
    <n v="2259"/>
    <n v="5543"/>
    <n v="4"/>
    <s v="Y"/>
    <x v="1"/>
    <n v="17"/>
    <n v="3"/>
    <n v="1"/>
    <n v="80"/>
    <n v="2"/>
    <n v="13"/>
    <n v="2"/>
    <n v="2"/>
    <n v="0"/>
    <x v="1"/>
    <n v="0"/>
    <n v="0"/>
    <n v="0"/>
    <x v="2"/>
    <n v="0"/>
  </r>
  <r>
    <n v="31"/>
    <x v="1"/>
    <x v="1"/>
    <x v="2"/>
    <n v="1188"/>
    <x v="0"/>
    <n v="20"/>
    <n v="2"/>
    <s v="Marketing"/>
    <n v="1"/>
    <n v="947"/>
    <n v="4"/>
    <x v="0"/>
    <n v="45"/>
    <n v="3"/>
    <n v="2"/>
    <x v="0"/>
    <n v="3"/>
    <s v="Married"/>
    <n v="6932"/>
    <n v="24406"/>
    <n v="1"/>
    <s v="Y"/>
    <x v="1"/>
    <n v="13"/>
    <n v="3"/>
    <n v="4"/>
    <n v="80"/>
    <n v="1"/>
    <n v="9"/>
    <n v="2"/>
    <n v="2"/>
    <n v="9"/>
    <x v="0"/>
    <n v="8"/>
    <n v="0"/>
    <n v="0"/>
    <x v="2"/>
    <n v="0"/>
  </r>
  <r>
    <n v="36"/>
    <x v="1"/>
    <x v="1"/>
    <x v="0"/>
    <n v="188"/>
    <x v="1"/>
    <n v="7"/>
    <n v="4"/>
    <s v="Other"/>
    <n v="1"/>
    <n v="949"/>
    <n v="2"/>
    <x v="1"/>
    <n v="65"/>
    <n v="3"/>
    <n v="1"/>
    <x v="1"/>
    <n v="4"/>
    <s v="Single"/>
    <n v="4678"/>
    <n v="23293"/>
    <n v="2"/>
    <s v="Y"/>
    <x v="1"/>
    <n v="18"/>
    <n v="3"/>
    <n v="3"/>
    <n v="80"/>
    <n v="0"/>
    <n v="8"/>
    <n v="6"/>
    <n v="3"/>
    <n v="6"/>
    <x v="0"/>
    <n v="2"/>
    <n v="0"/>
    <n v="1"/>
    <x v="0"/>
    <n v="0"/>
  </r>
  <r>
    <n v="38"/>
    <x v="1"/>
    <x v="1"/>
    <x v="0"/>
    <n v="1333"/>
    <x v="1"/>
    <n v="1"/>
    <n v="3"/>
    <s v="Technical Degree"/>
    <n v="1"/>
    <n v="950"/>
    <n v="4"/>
    <x v="0"/>
    <n v="80"/>
    <n v="3"/>
    <n v="3"/>
    <x v="7"/>
    <n v="1"/>
    <s v="Married"/>
    <n v="13582"/>
    <n v="16292"/>
    <n v="1"/>
    <s v="Y"/>
    <x v="1"/>
    <n v="13"/>
    <n v="3"/>
    <n v="2"/>
    <n v="80"/>
    <n v="1"/>
    <n v="15"/>
    <n v="3"/>
    <n v="3"/>
    <n v="15"/>
    <x v="3"/>
    <n v="12"/>
    <n v="5"/>
    <n v="11"/>
    <x v="3"/>
    <n v="0"/>
  </r>
  <r>
    <n v="32"/>
    <x v="1"/>
    <x v="1"/>
    <x v="2"/>
    <n v="1184"/>
    <x v="1"/>
    <n v="1"/>
    <n v="3"/>
    <s v="Life Sciences"/>
    <n v="1"/>
    <n v="951"/>
    <n v="3"/>
    <x v="0"/>
    <n v="70"/>
    <n v="2"/>
    <n v="1"/>
    <x v="2"/>
    <n v="2"/>
    <s v="Married"/>
    <n v="2332"/>
    <n v="3974"/>
    <n v="6"/>
    <s v="Y"/>
    <x v="1"/>
    <n v="20"/>
    <n v="4"/>
    <n v="3"/>
    <n v="80"/>
    <n v="0"/>
    <n v="5"/>
    <n v="3"/>
    <n v="3"/>
    <n v="3"/>
    <x v="2"/>
    <n v="0"/>
    <n v="0"/>
    <n v="2"/>
    <x v="1"/>
    <n v="0"/>
  </r>
  <r>
    <n v="25"/>
    <x v="2"/>
    <x v="0"/>
    <x v="0"/>
    <n v="867"/>
    <x v="0"/>
    <n v="19"/>
    <n v="2"/>
    <s v="Marketing"/>
    <n v="1"/>
    <n v="952"/>
    <n v="3"/>
    <x v="1"/>
    <n v="36"/>
    <n v="2"/>
    <n v="1"/>
    <x v="6"/>
    <n v="2"/>
    <s v="Married"/>
    <n v="2413"/>
    <n v="18798"/>
    <n v="1"/>
    <s v="Y"/>
    <x v="0"/>
    <n v="18"/>
    <n v="3"/>
    <n v="3"/>
    <n v="80"/>
    <n v="3"/>
    <n v="1"/>
    <n v="2"/>
    <n v="3"/>
    <n v="1"/>
    <x v="1"/>
    <n v="0"/>
    <n v="0"/>
    <n v="0"/>
    <x v="1"/>
    <n v="1"/>
  </r>
  <r>
    <n v="40"/>
    <x v="1"/>
    <x v="1"/>
    <x v="0"/>
    <n v="658"/>
    <x v="0"/>
    <n v="10"/>
    <n v="4"/>
    <s v="Marketing"/>
    <n v="1"/>
    <n v="954"/>
    <n v="1"/>
    <x v="1"/>
    <n v="67"/>
    <n v="2"/>
    <n v="3"/>
    <x v="0"/>
    <n v="2"/>
    <s v="Divorced"/>
    <n v="9705"/>
    <n v="20652"/>
    <n v="2"/>
    <s v="Y"/>
    <x v="1"/>
    <n v="12"/>
    <n v="3"/>
    <n v="2"/>
    <n v="80"/>
    <n v="1"/>
    <n v="11"/>
    <n v="2"/>
    <n v="2"/>
    <n v="1"/>
    <x v="1"/>
    <n v="0"/>
    <n v="0"/>
    <n v="0"/>
    <x v="1"/>
    <n v="0"/>
  </r>
  <r>
    <n v="26"/>
    <x v="2"/>
    <x v="1"/>
    <x v="1"/>
    <n v="1283"/>
    <x v="0"/>
    <n v="1"/>
    <n v="3"/>
    <s v="Medical"/>
    <n v="1"/>
    <n v="956"/>
    <n v="3"/>
    <x v="1"/>
    <n v="52"/>
    <n v="2"/>
    <n v="2"/>
    <x v="0"/>
    <n v="1"/>
    <s v="Single"/>
    <n v="4294"/>
    <n v="11148"/>
    <n v="1"/>
    <s v="Y"/>
    <x v="1"/>
    <n v="12"/>
    <n v="3"/>
    <n v="2"/>
    <n v="80"/>
    <n v="0"/>
    <n v="7"/>
    <n v="2"/>
    <n v="3"/>
    <n v="7"/>
    <x v="0"/>
    <n v="7"/>
    <n v="0"/>
    <n v="7"/>
    <x v="3"/>
    <n v="0"/>
  </r>
  <r>
    <n v="41"/>
    <x v="0"/>
    <x v="1"/>
    <x v="0"/>
    <n v="263"/>
    <x v="1"/>
    <n v="6"/>
    <n v="3"/>
    <s v="Medical"/>
    <n v="1"/>
    <n v="957"/>
    <n v="4"/>
    <x v="1"/>
    <n v="59"/>
    <n v="3"/>
    <n v="1"/>
    <x v="2"/>
    <n v="1"/>
    <s v="Single"/>
    <n v="4721"/>
    <n v="3119"/>
    <n v="2"/>
    <s v="Y"/>
    <x v="0"/>
    <n v="13"/>
    <n v="3"/>
    <n v="3"/>
    <n v="80"/>
    <n v="0"/>
    <n v="20"/>
    <n v="3"/>
    <n v="3"/>
    <n v="18"/>
    <x v="3"/>
    <n v="13"/>
    <n v="2"/>
    <n v="17"/>
    <x v="3"/>
    <n v="0"/>
  </r>
  <r>
    <n v="36"/>
    <x v="1"/>
    <x v="1"/>
    <x v="0"/>
    <n v="938"/>
    <x v="1"/>
    <n v="2"/>
    <n v="4"/>
    <s v="Medical"/>
    <n v="1"/>
    <n v="958"/>
    <n v="3"/>
    <x v="1"/>
    <n v="79"/>
    <n v="3"/>
    <n v="1"/>
    <x v="2"/>
    <n v="3"/>
    <s v="Single"/>
    <n v="2519"/>
    <n v="12287"/>
    <n v="4"/>
    <s v="Y"/>
    <x v="1"/>
    <n v="21"/>
    <n v="4"/>
    <n v="3"/>
    <n v="80"/>
    <n v="0"/>
    <n v="16"/>
    <n v="6"/>
    <n v="3"/>
    <n v="11"/>
    <x v="3"/>
    <n v="8"/>
    <n v="3"/>
    <n v="9"/>
    <x v="2"/>
    <n v="0"/>
  </r>
  <r>
    <n v="19"/>
    <x v="2"/>
    <x v="0"/>
    <x v="0"/>
    <n v="419"/>
    <x v="0"/>
    <n v="21"/>
    <n v="3"/>
    <s v="Other"/>
    <n v="1"/>
    <n v="959"/>
    <n v="4"/>
    <x v="1"/>
    <n v="37"/>
    <n v="2"/>
    <n v="1"/>
    <x v="6"/>
    <n v="2"/>
    <s v="Single"/>
    <n v="2121"/>
    <n v="9947"/>
    <n v="1"/>
    <s v="Y"/>
    <x v="0"/>
    <n v="13"/>
    <n v="3"/>
    <n v="2"/>
    <n v="80"/>
    <n v="0"/>
    <n v="1"/>
    <n v="3"/>
    <n v="4"/>
    <n v="1"/>
    <x v="1"/>
    <n v="0"/>
    <n v="0"/>
    <n v="0"/>
    <x v="1"/>
    <n v="1"/>
  </r>
  <r>
    <n v="20"/>
    <x v="2"/>
    <x v="0"/>
    <x v="0"/>
    <n v="129"/>
    <x v="1"/>
    <n v="4"/>
    <n v="3"/>
    <s v="Technical Degree"/>
    <n v="1"/>
    <n v="960"/>
    <n v="1"/>
    <x v="1"/>
    <n v="84"/>
    <n v="3"/>
    <n v="1"/>
    <x v="2"/>
    <n v="1"/>
    <s v="Single"/>
    <n v="2973"/>
    <n v="13008"/>
    <n v="1"/>
    <s v="Y"/>
    <x v="1"/>
    <n v="19"/>
    <n v="3"/>
    <n v="2"/>
    <n v="80"/>
    <n v="0"/>
    <n v="1"/>
    <n v="2"/>
    <n v="3"/>
    <n v="1"/>
    <x v="1"/>
    <n v="0"/>
    <n v="0"/>
    <n v="0"/>
    <x v="3"/>
    <n v="1"/>
  </r>
  <r>
    <n v="31"/>
    <x v="1"/>
    <x v="1"/>
    <x v="0"/>
    <n v="616"/>
    <x v="1"/>
    <n v="12"/>
    <n v="3"/>
    <s v="Medical"/>
    <n v="1"/>
    <n v="961"/>
    <n v="4"/>
    <x v="0"/>
    <n v="41"/>
    <n v="3"/>
    <n v="2"/>
    <x v="4"/>
    <n v="4"/>
    <s v="Married"/>
    <n v="5855"/>
    <n v="17369"/>
    <n v="0"/>
    <s v="Y"/>
    <x v="0"/>
    <n v="11"/>
    <n v="3"/>
    <n v="3"/>
    <n v="80"/>
    <n v="2"/>
    <n v="10"/>
    <n v="2"/>
    <n v="1"/>
    <n v="9"/>
    <x v="0"/>
    <n v="7"/>
    <n v="8"/>
    <n v="5"/>
    <x v="0"/>
    <n v="0"/>
  </r>
  <r>
    <n v="40"/>
    <x v="1"/>
    <x v="1"/>
    <x v="1"/>
    <n v="1469"/>
    <x v="1"/>
    <n v="9"/>
    <n v="4"/>
    <s v="Medical"/>
    <n v="1"/>
    <n v="964"/>
    <n v="4"/>
    <x v="1"/>
    <n v="35"/>
    <n v="3"/>
    <n v="1"/>
    <x v="1"/>
    <n v="2"/>
    <s v="Divorced"/>
    <n v="3617"/>
    <n v="25063"/>
    <n v="8"/>
    <s v="Y"/>
    <x v="0"/>
    <n v="14"/>
    <n v="3"/>
    <n v="4"/>
    <n v="80"/>
    <n v="1"/>
    <n v="3"/>
    <n v="2"/>
    <n v="3"/>
    <n v="1"/>
    <x v="1"/>
    <n v="1"/>
    <n v="0"/>
    <n v="0"/>
    <x v="1"/>
    <n v="0"/>
  </r>
  <r>
    <n v="32"/>
    <x v="1"/>
    <x v="1"/>
    <x v="0"/>
    <n v="498"/>
    <x v="1"/>
    <n v="3"/>
    <n v="4"/>
    <s v="Medical"/>
    <n v="1"/>
    <n v="966"/>
    <n v="3"/>
    <x v="0"/>
    <n v="93"/>
    <n v="3"/>
    <n v="2"/>
    <x v="3"/>
    <n v="1"/>
    <s v="Married"/>
    <n v="6725"/>
    <n v="13554"/>
    <n v="1"/>
    <s v="Y"/>
    <x v="1"/>
    <n v="12"/>
    <n v="3"/>
    <n v="3"/>
    <n v="80"/>
    <n v="1"/>
    <n v="8"/>
    <n v="2"/>
    <n v="4"/>
    <n v="8"/>
    <x v="0"/>
    <n v="7"/>
    <n v="6"/>
    <n v="3"/>
    <x v="3"/>
    <n v="0"/>
  </r>
  <r>
    <n v="36"/>
    <x v="1"/>
    <x v="0"/>
    <x v="0"/>
    <n v="530"/>
    <x v="0"/>
    <n v="3"/>
    <n v="1"/>
    <s v="Life Sciences"/>
    <n v="1"/>
    <n v="967"/>
    <n v="3"/>
    <x v="1"/>
    <n v="51"/>
    <n v="2"/>
    <n v="3"/>
    <x v="0"/>
    <n v="4"/>
    <s v="Married"/>
    <n v="10325"/>
    <n v="5518"/>
    <n v="1"/>
    <s v="Y"/>
    <x v="0"/>
    <n v="11"/>
    <n v="3"/>
    <n v="1"/>
    <n v="80"/>
    <n v="1"/>
    <n v="16"/>
    <n v="6"/>
    <n v="3"/>
    <n v="16"/>
    <x v="3"/>
    <n v="7"/>
    <n v="3"/>
    <n v="7"/>
    <x v="0"/>
    <n v="1"/>
  </r>
  <r>
    <n v="33"/>
    <x v="1"/>
    <x v="1"/>
    <x v="0"/>
    <n v="1069"/>
    <x v="1"/>
    <n v="1"/>
    <n v="3"/>
    <s v="Life Sciences"/>
    <n v="1"/>
    <n v="969"/>
    <n v="2"/>
    <x v="0"/>
    <n v="42"/>
    <n v="2"/>
    <n v="2"/>
    <x v="4"/>
    <n v="4"/>
    <s v="Single"/>
    <n v="6949"/>
    <n v="12291"/>
    <n v="0"/>
    <s v="Y"/>
    <x v="1"/>
    <n v="14"/>
    <n v="3"/>
    <n v="1"/>
    <n v="80"/>
    <n v="0"/>
    <n v="6"/>
    <n v="3"/>
    <n v="3"/>
    <n v="5"/>
    <x v="2"/>
    <n v="0"/>
    <n v="1"/>
    <n v="4"/>
    <x v="0"/>
    <n v="0"/>
  </r>
  <r>
    <n v="37"/>
    <x v="1"/>
    <x v="0"/>
    <x v="0"/>
    <n v="625"/>
    <x v="0"/>
    <n v="1"/>
    <n v="4"/>
    <s v="Life Sciences"/>
    <n v="1"/>
    <n v="970"/>
    <n v="1"/>
    <x v="1"/>
    <n v="46"/>
    <n v="2"/>
    <n v="3"/>
    <x v="0"/>
    <n v="3"/>
    <s v="Married"/>
    <n v="10609"/>
    <n v="14922"/>
    <n v="5"/>
    <s v="Y"/>
    <x v="1"/>
    <n v="11"/>
    <n v="3"/>
    <n v="3"/>
    <n v="80"/>
    <n v="0"/>
    <n v="17"/>
    <n v="2"/>
    <n v="1"/>
    <n v="14"/>
    <x v="3"/>
    <n v="1"/>
    <n v="11"/>
    <n v="7"/>
    <x v="2"/>
    <n v="1"/>
  </r>
  <r>
    <n v="45"/>
    <x v="0"/>
    <x v="1"/>
    <x v="2"/>
    <n v="805"/>
    <x v="1"/>
    <n v="4"/>
    <n v="2"/>
    <s v="Life Sciences"/>
    <n v="1"/>
    <n v="972"/>
    <n v="3"/>
    <x v="1"/>
    <n v="57"/>
    <n v="3"/>
    <n v="2"/>
    <x v="2"/>
    <n v="2"/>
    <s v="Married"/>
    <n v="4447"/>
    <n v="23163"/>
    <n v="1"/>
    <s v="Y"/>
    <x v="1"/>
    <n v="12"/>
    <n v="3"/>
    <n v="2"/>
    <n v="80"/>
    <n v="0"/>
    <n v="9"/>
    <n v="5"/>
    <n v="2"/>
    <n v="9"/>
    <x v="0"/>
    <n v="7"/>
    <n v="0"/>
    <n v="8"/>
    <x v="1"/>
    <n v="0"/>
  </r>
  <r>
    <n v="29"/>
    <x v="2"/>
    <x v="1"/>
    <x v="1"/>
    <n v="1404"/>
    <x v="0"/>
    <n v="20"/>
    <n v="3"/>
    <s v="Technical Degree"/>
    <n v="1"/>
    <n v="974"/>
    <n v="3"/>
    <x v="0"/>
    <n v="84"/>
    <n v="3"/>
    <n v="1"/>
    <x v="6"/>
    <n v="4"/>
    <s v="Married"/>
    <n v="2157"/>
    <n v="18203"/>
    <n v="1"/>
    <s v="Y"/>
    <x v="1"/>
    <n v="15"/>
    <n v="3"/>
    <n v="2"/>
    <n v="80"/>
    <n v="1"/>
    <n v="3"/>
    <n v="5"/>
    <n v="3"/>
    <n v="3"/>
    <x v="2"/>
    <n v="1"/>
    <n v="0"/>
    <n v="2"/>
    <x v="0"/>
    <n v="0"/>
  </r>
  <r>
    <n v="35"/>
    <x v="1"/>
    <x v="1"/>
    <x v="0"/>
    <n v="1219"/>
    <x v="0"/>
    <n v="18"/>
    <n v="3"/>
    <s v="Medical"/>
    <n v="1"/>
    <n v="975"/>
    <n v="3"/>
    <x v="0"/>
    <n v="86"/>
    <n v="3"/>
    <n v="2"/>
    <x v="0"/>
    <n v="3"/>
    <s v="Married"/>
    <n v="4601"/>
    <n v="6179"/>
    <n v="1"/>
    <s v="Y"/>
    <x v="1"/>
    <n v="16"/>
    <n v="3"/>
    <n v="2"/>
    <n v="80"/>
    <n v="0"/>
    <n v="5"/>
    <n v="3"/>
    <n v="3"/>
    <n v="5"/>
    <x v="2"/>
    <n v="2"/>
    <n v="1"/>
    <n v="0"/>
    <x v="2"/>
    <n v="0"/>
  </r>
  <r>
    <n v="52"/>
    <x v="3"/>
    <x v="1"/>
    <x v="0"/>
    <n v="1053"/>
    <x v="1"/>
    <n v="1"/>
    <n v="2"/>
    <s v="Life Sciences"/>
    <n v="1"/>
    <n v="976"/>
    <n v="4"/>
    <x v="1"/>
    <n v="70"/>
    <n v="3"/>
    <n v="4"/>
    <x v="5"/>
    <n v="4"/>
    <s v="Married"/>
    <n v="17099"/>
    <n v="13829"/>
    <n v="2"/>
    <s v="Y"/>
    <x v="1"/>
    <n v="15"/>
    <n v="3"/>
    <n v="2"/>
    <n v="80"/>
    <n v="1"/>
    <n v="26"/>
    <n v="2"/>
    <n v="2"/>
    <n v="9"/>
    <x v="0"/>
    <n v="8"/>
    <n v="7"/>
    <n v="8"/>
    <x v="0"/>
    <n v="0"/>
  </r>
  <r>
    <n v="58"/>
    <x v="3"/>
    <x v="0"/>
    <x v="0"/>
    <n v="289"/>
    <x v="1"/>
    <n v="2"/>
    <n v="3"/>
    <s v="Technical Degree"/>
    <n v="1"/>
    <n v="977"/>
    <n v="4"/>
    <x v="1"/>
    <n v="51"/>
    <n v="3"/>
    <n v="1"/>
    <x v="1"/>
    <n v="3"/>
    <s v="Single"/>
    <n v="2479"/>
    <n v="26227"/>
    <n v="4"/>
    <s v="Y"/>
    <x v="1"/>
    <n v="24"/>
    <n v="4"/>
    <n v="1"/>
    <n v="80"/>
    <n v="0"/>
    <n v="7"/>
    <n v="4"/>
    <n v="3"/>
    <n v="1"/>
    <x v="1"/>
    <n v="0"/>
    <n v="0"/>
    <n v="0"/>
    <x v="2"/>
    <n v="1"/>
  </r>
  <r>
    <n v="53"/>
    <x v="3"/>
    <x v="1"/>
    <x v="0"/>
    <n v="1376"/>
    <x v="0"/>
    <n v="2"/>
    <n v="2"/>
    <s v="Medical"/>
    <n v="1"/>
    <n v="981"/>
    <n v="3"/>
    <x v="1"/>
    <n v="45"/>
    <n v="3"/>
    <n v="4"/>
    <x v="5"/>
    <n v="3"/>
    <s v="Divorced"/>
    <n v="14852"/>
    <n v="13938"/>
    <n v="6"/>
    <s v="Y"/>
    <x v="1"/>
    <n v="13"/>
    <n v="3"/>
    <n v="3"/>
    <n v="80"/>
    <n v="1"/>
    <n v="22"/>
    <n v="3"/>
    <n v="4"/>
    <n v="17"/>
    <x v="3"/>
    <n v="13"/>
    <n v="15"/>
    <n v="2"/>
    <x v="2"/>
    <n v="0"/>
  </r>
  <r>
    <n v="30"/>
    <x v="1"/>
    <x v="1"/>
    <x v="0"/>
    <n v="231"/>
    <x v="0"/>
    <n v="8"/>
    <n v="2"/>
    <s v="Other"/>
    <n v="1"/>
    <n v="982"/>
    <n v="3"/>
    <x v="1"/>
    <n v="62"/>
    <n v="3"/>
    <n v="3"/>
    <x v="0"/>
    <n v="3"/>
    <s v="Divorced"/>
    <n v="7264"/>
    <n v="9977"/>
    <n v="5"/>
    <s v="Y"/>
    <x v="1"/>
    <n v="11"/>
    <n v="3"/>
    <n v="1"/>
    <n v="80"/>
    <n v="1"/>
    <n v="10"/>
    <n v="2"/>
    <n v="4"/>
    <n v="8"/>
    <x v="0"/>
    <n v="4"/>
    <n v="7"/>
    <n v="7"/>
    <x v="2"/>
    <n v="0"/>
  </r>
  <r>
    <n v="38"/>
    <x v="1"/>
    <x v="1"/>
    <x v="2"/>
    <n v="152"/>
    <x v="0"/>
    <n v="10"/>
    <n v="3"/>
    <s v="Technical Degree"/>
    <n v="1"/>
    <n v="983"/>
    <n v="3"/>
    <x v="0"/>
    <n v="85"/>
    <n v="3"/>
    <n v="2"/>
    <x v="0"/>
    <n v="4"/>
    <s v="Single"/>
    <n v="5666"/>
    <n v="19899"/>
    <n v="1"/>
    <s v="Y"/>
    <x v="0"/>
    <n v="13"/>
    <n v="3"/>
    <n v="2"/>
    <n v="80"/>
    <n v="0"/>
    <n v="6"/>
    <n v="1"/>
    <n v="3"/>
    <n v="5"/>
    <x v="2"/>
    <n v="3"/>
    <n v="1"/>
    <n v="3"/>
    <x v="0"/>
    <n v="0"/>
  </r>
  <r>
    <n v="35"/>
    <x v="1"/>
    <x v="1"/>
    <x v="0"/>
    <n v="882"/>
    <x v="0"/>
    <n v="3"/>
    <n v="4"/>
    <s v="Life Sciences"/>
    <n v="1"/>
    <n v="984"/>
    <n v="4"/>
    <x v="1"/>
    <n v="92"/>
    <n v="3"/>
    <n v="3"/>
    <x v="0"/>
    <n v="4"/>
    <s v="Divorced"/>
    <n v="7823"/>
    <n v="6812"/>
    <n v="6"/>
    <s v="Y"/>
    <x v="1"/>
    <n v="13"/>
    <n v="3"/>
    <n v="2"/>
    <n v="80"/>
    <n v="1"/>
    <n v="12"/>
    <n v="2"/>
    <n v="3"/>
    <n v="10"/>
    <x v="0"/>
    <n v="9"/>
    <n v="0"/>
    <n v="8"/>
    <x v="0"/>
    <n v="0"/>
  </r>
  <r>
    <n v="39"/>
    <x v="1"/>
    <x v="1"/>
    <x v="0"/>
    <n v="903"/>
    <x v="0"/>
    <n v="2"/>
    <n v="5"/>
    <s v="Life Sciences"/>
    <n v="1"/>
    <n v="985"/>
    <n v="1"/>
    <x v="1"/>
    <n v="41"/>
    <n v="4"/>
    <n v="3"/>
    <x v="0"/>
    <n v="3"/>
    <s v="Single"/>
    <n v="7880"/>
    <n v="2560"/>
    <n v="0"/>
    <s v="Y"/>
    <x v="1"/>
    <n v="18"/>
    <n v="3"/>
    <n v="4"/>
    <n v="80"/>
    <n v="0"/>
    <n v="9"/>
    <n v="3"/>
    <n v="3"/>
    <n v="8"/>
    <x v="0"/>
    <n v="7"/>
    <n v="0"/>
    <n v="7"/>
    <x v="2"/>
    <n v="0"/>
  </r>
  <r>
    <n v="40"/>
    <x v="1"/>
    <x v="0"/>
    <x v="2"/>
    <n v="1479"/>
    <x v="0"/>
    <n v="24"/>
    <n v="3"/>
    <s v="Life Sciences"/>
    <n v="1"/>
    <n v="986"/>
    <n v="2"/>
    <x v="0"/>
    <n v="100"/>
    <n v="4"/>
    <n v="4"/>
    <x v="0"/>
    <n v="2"/>
    <s v="Single"/>
    <n v="13194"/>
    <n v="17071"/>
    <n v="4"/>
    <s v="Y"/>
    <x v="0"/>
    <n v="16"/>
    <n v="3"/>
    <n v="4"/>
    <n v="80"/>
    <n v="0"/>
    <n v="22"/>
    <n v="2"/>
    <n v="2"/>
    <n v="1"/>
    <x v="1"/>
    <n v="0"/>
    <n v="0"/>
    <n v="0"/>
    <x v="1"/>
    <n v="1"/>
  </r>
  <r>
    <n v="47"/>
    <x v="0"/>
    <x v="1"/>
    <x v="1"/>
    <n v="1379"/>
    <x v="1"/>
    <n v="16"/>
    <n v="4"/>
    <s v="Medical"/>
    <n v="1"/>
    <n v="987"/>
    <n v="3"/>
    <x v="1"/>
    <n v="64"/>
    <n v="4"/>
    <n v="2"/>
    <x v="3"/>
    <n v="3"/>
    <s v="Divorced"/>
    <n v="5067"/>
    <n v="6759"/>
    <n v="1"/>
    <s v="Y"/>
    <x v="0"/>
    <n v="19"/>
    <n v="3"/>
    <n v="3"/>
    <n v="80"/>
    <n v="0"/>
    <n v="20"/>
    <n v="3"/>
    <n v="4"/>
    <n v="19"/>
    <x v="3"/>
    <n v="10"/>
    <n v="2"/>
    <n v="7"/>
    <x v="2"/>
    <n v="0"/>
  </r>
  <r>
    <n v="36"/>
    <x v="1"/>
    <x v="1"/>
    <x v="2"/>
    <n v="1229"/>
    <x v="0"/>
    <n v="8"/>
    <n v="4"/>
    <s v="Technical Degree"/>
    <n v="1"/>
    <n v="990"/>
    <n v="1"/>
    <x v="1"/>
    <n v="84"/>
    <n v="3"/>
    <n v="2"/>
    <x v="0"/>
    <n v="4"/>
    <s v="Divorced"/>
    <n v="5079"/>
    <n v="25952"/>
    <n v="4"/>
    <s v="Y"/>
    <x v="1"/>
    <n v="13"/>
    <n v="3"/>
    <n v="4"/>
    <n v="80"/>
    <n v="2"/>
    <n v="12"/>
    <n v="3"/>
    <n v="3"/>
    <n v="7"/>
    <x v="0"/>
    <n v="7"/>
    <n v="0"/>
    <n v="7"/>
    <x v="0"/>
    <n v="0"/>
  </r>
  <r>
    <n v="31"/>
    <x v="1"/>
    <x v="0"/>
    <x v="2"/>
    <n v="335"/>
    <x v="1"/>
    <n v="9"/>
    <n v="2"/>
    <s v="Medical"/>
    <n v="1"/>
    <n v="991"/>
    <n v="3"/>
    <x v="1"/>
    <n v="46"/>
    <n v="2"/>
    <n v="1"/>
    <x v="1"/>
    <n v="1"/>
    <s v="Single"/>
    <n v="2321"/>
    <n v="10322"/>
    <n v="0"/>
    <s v="Y"/>
    <x v="0"/>
    <n v="22"/>
    <n v="4"/>
    <n v="1"/>
    <n v="80"/>
    <n v="0"/>
    <n v="4"/>
    <n v="0"/>
    <n v="3"/>
    <n v="3"/>
    <x v="2"/>
    <n v="2"/>
    <n v="1"/>
    <n v="2"/>
    <x v="3"/>
    <n v="1"/>
  </r>
  <r>
    <n v="33"/>
    <x v="1"/>
    <x v="1"/>
    <x v="2"/>
    <n v="722"/>
    <x v="0"/>
    <n v="17"/>
    <n v="3"/>
    <s v="Life Sciences"/>
    <n v="1"/>
    <n v="992"/>
    <n v="4"/>
    <x v="1"/>
    <n v="38"/>
    <n v="3"/>
    <n v="4"/>
    <x v="5"/>
    <n v="3"/>
    <s v="Single"/>
    <n v="17444"/>
    <n v="20489"/>
    <n v="1"/>
    <s v="Y"/>
    <x v="1"/>
    <n v="11"/>
    <n v="3"/>
    <n v="4"/>
    <n v="80"/>
    <n v="0"/>
    <n v="10"/>
    <n v="2"/>
    <n v="3"/>
    <n v="10"/>
    <x v="0"/>
    <n v="8"/>
    <n v="6"/>
    <n v="0"/>
    <x v="2"/>
    <n v="0"/>
  </r>
  <r>
    <n v="29"/>
    <x v="2"/>
    <x v="0"/>
    <x v="0"/>
    <n v="906"/>
    <x v="1"/>
    <n v="10"/>
    <n v="3"/>
    <s v="Life Sciences"/>
    <n v="1"/>
    <n v="994"/>
    <n v="4"/>
    <x v="0"/>
    <n v="92"/>
    <n v="2"/>
    <n v="1"/>
    <x v="1"/>
    <n v="1"/>
    <s v="Single"/>
    <n v="2404"/>
    <n v="11479"/>
    <n v="6"/>
    <s v="Y"/>
    <x v="0"/>
    <n v="20"/>
    <n v="4"/>
    <n v="3"/>
    <n v="80"/>
    <n v="0"/>
    <n v="3"/>
    <n v="5"/>
    <n v="3"/>
    <n v="0"/>
    <x v="1"/>
    <n v="0"/>
    <n v="0"/>
    <n v="0"/>
    <x v="3"/>
    <n v="1"/>
  </r>
  <r>
    <n v="33"/>
    <x v="1"/>
    <x v="1"/>
    <x v="0"/>
    <n v="461"/>
    <x v="1"/>
    <n v="13"/>
    <n v="1"/>
    <s v="Life Sciences"/>
    <n v="1"/>
    <n v="995"/>
    <n v="2"/>
    <x v="0"/>
    <n v="53"/>
    <n v="3"/>
    <n v="1"/>
    <x v="1"/>
    <n v="4"/>
    <s v="Single"/>
    <n v="3452"/>
    <n v="17241"/>
    <n v="3"/>
    <s v="Y"/>
    <x v="1"/>
    <n v="18"/>
    <n v="3"/>
    <n v="1"/>
    <n v="80"/>
    <n v="0"/>
    <n v="5"/>
    <n v="4"/>
    <n v="3"/>
    <n v="3"/>
    <x v="2"/>
    <n v="2"/>
    <n v="0"/>
    <n v="2"/>
    <x v="0"/>
    <n v="0"/>
  </r>
  <r>
    <n v="45"/>
    <x v="0"/>
    <x v="1"/>
    <x v="0"/>
    <n v="974"/>
    <x v="1"/>
    <n v="1"/>
    <n v="4"/>
    <s v="Medical"/>
    <n v="1"/>
    <n v="996"/>
    <n v="4"/>
    <x v="0"/>
    <n v="91"/>
    <n v="3"/>
    <n v="1"/>
    <x v="2"/>
    <n v="4"/>
    <s v="Divorced"/>
    <n v="2270"/>
    <n v="11005"/>
    <n v="3"/>
    <s v="Y"/>
    <x v="1"/>
    <n v="14"/>
    <n v="3"/>
    <n v="4"/>
    <n v="80"/>
    <n v="2"/>
    <n v="8"/>
    <n v="2"/>
    <n v="3"/>
    <n v="5"/>
    <x v="2"/>
    <n v="3"/>
    <n v="0"/>
    <n v="2"/>
    <x v="0"/>
    <n v="0"/>
  </r>
  <r>
    <n v="50"/>
    <x v="0"/>
    <x v="1"/>
    <x v="0"/>
    <n v="1126"/>
    <x v="1"/>
    <n v="1"/>
    <n v="2"/>
    <s v="Medical"/>
    <n v="1"/>
    <n v="997"/>
    <n v="4"/>
    <x v="1"/>
    <n v="66"/>
    <n v="3"/>
    <n v="4"/>
    <x v="7"/>
    <n v="4"/>
    <s v="Divorced"/>
    <n v="17399"/>
    <n v="6615"/>
    <n v="9"/>
    <s v="Y"/>
    <x v="1"/>
    <n v="22"/>
    <n v="4"/>
    <n v="3"/>
    <n v="80"/>
    <n v="1"/>
    <n v="32"/>
    <n v="1"/>
    <n v="2"/>
    <n v="5"/>
    <x v="2"/>
    <n v="4"/>
    <n v="1"/>
    <n v="3"/>
    <x v="0"/>
    <n v="0"/>
  </r>
  <r>
    <n v="33"/>
    <x v="1"/>
    <x v="1"/>
    <x v="1"/>
    <n v="827"/>
    <x v="1"/>
    <n v="1"/>
    <n v="4"/>
    <s v="Other"/>
    <n v="1"/>
    <n v="998"/>
    <n v="3"/>
    <x v="0"/>
    <n v="84"/>
    <n v="4"/>
    <n v="2"/>
    <x v="4"/>
    <n v="2"/>
    <s v="Married"/>
    <n v="5488"/>
    <n v="20161"/>
    <n v="1"/>
    <s v="Y"/>
    <x v="0"/>
    <n v="13"/>
    <n v="3"/>
    <n v="1"/>
    <n v="80"/>
    <n v="1"/>
    <n v="6"/>
    <n v="2"/>
    <n v="3"/>
    <n v="6"/>
    <x v="0"/>
    <n v="5"/>
    <n v="1"/>
    <n v="2"/>
    <x v="1"/>
    <n v="0"/>
  </r>
  <r>
    <n v="41"/>
    <x v="0"/>
    <x v="1"/>
    <x v="1"/>
    <n v="840"/>
    <x v="1"/>
    <n v="9"/>
    <n v="3"/>
    <s v="Medical"/>
    <n v="1"/>
    <n v="999"/>
    <n v="1"/>
    <x v="1"/>
    <n v="64"/>
    <n v="3"/>
    <n v="5"/>
    <x v="7"/>
    <n v="3"/>
    <s v="Divorced"/>
    <n v="19419"/>
    <n v="3735"/>
    <n v="2"/>
    <s v="Y"/>
    <x v="1"/>
    <n v="17"/>
    <n v="3"/>
    <n v="2"/>
    <n v="80"/>
    <n v="1"/>
    <n v="21"/>
    <n v="2"/>
    <n v="4"/>
    <n v="18"/>
    <x v="3"/>
    <n v="16"/>
    <n v="0"/>
    <n v="11"/>
    <x v="2"/>
    <n v="0"/>
  </r>
  <r>
    <n v="27"/>
    <x v="2"/>
    <x v="1"/>
    <x v="0"/>
    <n v="1134"/>
    <x v="1"/>
    <n v="16"/>
    <n v="4"/>
    <s v="Technical Degree"/>
    <n v="1"/>
    <n v="1001"/>
    <n v="3"/>
    <x v="0"/>
    <n v="37"/>
    <n v="3"/>
    <n v="1"/>
    <x v="2"/>
    <n v="2"/>
    <s v="Married"/>
    <n v="2811"/>
    <n v="12086"/>
    <n v="9"/>
    <s v="Y"/>
    <x v="1"/>
    <n v="14"/>
    <n v="3"/>
    <n v="2"/>
    <n v="80"/>
    <n v="1"/>
    <n v="4"/>
    <n v="2"/>
    <n v="3"/>
    <n v="2"/>
    <x v="1"/>
    <n v="2"/>
    <n v="2"/>
    <n v="2"/>
    <x v="1"/>
    <n v="0"/>
  </r>
  <r>
    <n v="45"/>
    <x v="0"/>
    <x v="1"/>
    <x v="2"/>
    <n v="248"/>
    <x v="1"/>
    <n v="23"/>
    <n v="2"/>
    <s v="Life Sciences"/>
    <n v="1"/>
    <n v="1002"/>
    <n v="4"/>
    <x v="1"/>
    <n v="42"/>
    <n v="3"/>
    <n v="2"/>
    <x v="2"/>
    <n v="1"/>
    <s v="Married"/>
    <n v="3633"/>
    <n v="14039"/>
    <n v="1"/>
    <s v="Y"/>
    <x v="0"/>
    <n v="15"/>
    <n v="3"/>
    <n v="3"/>
    <n v="80"/>
    <n v="1"/>
    <n v="9"/>
    <n v="2"/>
    <n v="3"/>
    <n v="9"/>
    <x v="0"/>
    <n v="8"/>
    <n v="0"/>
    <n v="8"/>
    <x v="3"/>
    <n v="0"/>
  </r>
  <r>
    <n v="47"/>
    <x v="0"/>
    <x v="1"/>
    <x v="0"/>
    <n v="955"/>
    <x v="0"/>
    <n v="4"/>
    <n v="2"/>
    <s v="Life Sciences"/>
    <n v="1"/>
    <n v="1003"/>
    <n v="4"/>
    <x v="0"/>
    <n v="83"/>
    <n v="3"/>
    <n v="2"/>
    <x v="0"/>
    <n v="4"/>
    <s v="Single"/>
    <n v="4163"/>
    <n v="8571"/>
    <n v="1"/>
    <s v="Y"/>
    <x v="0"/>
    <n v="17"/>
    <n v="3"/>
    <n v="3"/>
    <n v="80"/>
    <n v="0"/>
    <n v="9"/>
    <n v="0"/>
    <n v="3"/>
    <n v="9"/>
    <x v="0"/>
    <n v="0"/>
    <n v="0"/>
    <n v="7"/>
    <x v="0"/>
    <n v="0"/>
  </r>
  <r>
    <n v="30"/>
    <x v="1"/>
    <x v="0"/>
    <x v="0"/>
    <n v="138"/>
    <x v="1"/>
    <n v="22"/>
    <n v="3"/>
    <s v="Life Sciences"/>
    <n v="1"/>
    <n v="1004"/>
    <n v="1"/>
    <x v="0"/>
    <n v="48"/>
    <n v="3"/>
    <n v="1"/>
    <x v="1"/>
    <n v="3"/>
    <s v="Married"/>
    <n v="2132"/>
    <n v="11539"/>
    <n v="4"/>
    <s v="Y"/>
    <x v="0"/>
    <n v="11"/>
    <n v="3"/>
    <n v="2"/>
    <n v="80"/>
    <n v="0"/>
    <n v="7"/>
    <n v="2"/>
    <n v="3"/>
    <n v="5"/>
    <x v="2"/>
    <n v="2"/>
    <n v="0"/>
    <n v="1"/>
    <x v="2"/>
    <n v="1"/>
  </r>
  <r>
    <n v="50"/>
    <x v="0"/>
    <x v="1"/>
    <x v="0"/>
    <n v="939"/>
    <x v="1"/>
    <n v="24"/>
    <n v="3"/>
    <s v="Life Sciences"/>
    <n v="1"/>
    <n v="1005"/>
    <n v="4"/>
    <x v="1"/>
    <n v="95"/>
    <n v="3"/>
    <n v="4"/>
    <x v="3"/>
    <n v="3"/>
    <s v="Married"/>
    <n v="13973"/>
    <n v="4161"/>
    <n v="3"/>
    <s v="Y"/>
    <x v="0"/>
    <n v="18"/>
    <n v="3"/>
    <n v="4"/>
    <n v="80"/>
    <n v="1"/>
    <n v="22"/>
    <n v="2"/>
    <n v="3"/>
    <n v="12"/>
    <x v="3"/>
    <n v="11"/>
    <n v="1"/>
    <n v="5"/>
    <x v="2"/>
    <n v="0"/>
  </r>
  <r>
    <n v="38"/>
    <x v="1"/>
    <x v="1"/>
    <x v="1"/>
    <n v="1391"/>
    <x v="1"/>
    <n v="10"/>
    <n v="1"/>
    <s v="Medical"/>
    <n v="1"/>
    <n v="1006"/>
    <n v="3"/>
    <x v="1"/>
    <n v="66"/>
    <n v="3"/>
    <n v="1"/>
    <x v="1"/>
    <n v="3"/>
    <s v="Married"/>
    <n v="2684"/>
    <n v="12127"/>
    <n v="0"/>
    <s v="Y"/>
    <x v="1"/>
    <n v="17"/>
    <n v="3"/>
    <n v="2"/>
    <n v="80"/>
    <n v="1"/>
    <n v="3"/>
    <n v="0"/>
    <n v="2"/>
    <n v="2"/>
    <x v="1"/>
    <n v="1"/>
    <n v="0"/>
    <n v="2"/>
    <x v="2"/>
    <n v="0"/>
  </r>
  <r>
    <n v="46"/>
    <x v="0"/>
    <x v="1"/>
    <x v="0"/>
    <n v="566"/>
    <x v="1"/>
    <n v="7"/>
    <n v="2"/>
    <s v="Medical"/>
    <n v="1"/>
    <n v="1007"/>
    <n v="4"/>
    <x v="1"/>
    <n v="75"/>
    <n v="3"/>
    <n v="3"/>
    <x v="3"/>
    <n v="3"/>
    <s v="Divorced"/>
    <n v="10845"/>
    <n v="24208"/>
    <n v="6"/>
    <s v="Y"/>
    <x v="1"/>
    <n v="13"/>
    <n v="3"/>
    <n v="2"/>
    <n v="80"/>
    <n v="1"/>
    <n v="13"/>
    <n v="3"/>
    <n v="3"/>
    <n v="8"/>
    <x v="0"/>
    <n v="7"/>
    <n v="0"/>
    <n v="7"/>
    <x v="2"/>
    <n v="0"/>
  </r>
  <r>
    <n v="24"/>
    <x v="2"/>
    <x v="1"/>
    <x v="0"/>
    <n v="1206"/>
    <x v="1"/>
    <n v="17"/>
    <n v="1"/>
    <s v="Medical"/>
    <n v="1"/>
    <n v="1009"/>
    <n v="4"/>
    <x v="0"/>
    <n v="41"/>
    <n v="2"/>
    <n v="2"/>
    <x v="3"/>
    <n v="3"/>
    <s v="Divorced"/>
    <n v="4377"/>
    <n v="24117"/>
    <n v="1"/>
    <s v="Y"/>
    <x v="1"/>
    <n v="15"/>
    <n v="3"/>
    <n v="2"/>
    <n v="80"/>
    <n v="2"/>
    <n v="5"/>
    <n v="6"/>
    <n v="3"/>
    <n v="4"/>
    <x v="2"/>
    <n v="2"/>
    <n v="3"/>
    <n v="2"/>
    <x v="2"/>
    <n v="0"/>
  </r>
  <r>
    <n v="35"/>
    <x v="1"/>
    <x v="0"/>
    <x v="0"/>
    <n v="622"/>
    <x v="1"/>
    <n v="14"/>
    <n v="4"/>
    <s v="Other"/>
    <n v="1"/>
    <n v="1010"/>
    <n v="3"/>
    <x v="1"/>
    <n v="39"/>
    <n v="2"/>
    <n v="1"/>
    <x v="2"/>
    <n v="2"/>
    <s v="Divorced"/>
    <n v="3743"/>
    <n v="10074"/>
    <n v="1"/>
    <s v="Y"/>
    <x v="0"/>
    <n v="24"/>
    <n v="4"/>
    <n v="4"/>
    <n v="80"/>
    <n v="1"/>
    <n v="5"/>
    <n v="2"/>
    <n v="1"/>
    <n v="4"/>
    <x v="2"/>
    <n v="2"/>
    <n v="0"/>
    <n v="2"/>
    <x v="1"/>
    <n v="1"/>
  </r>
  <r>
    <n v="31"/>
    <x v="1"/>
    <x v="1"/>
    <x v="1"/>
    <n v="853"/>
    <x v="1"/>
    <n v="1"/>
    <n v="1"/>
    <s v="Life Sciences"/>
    <n v="1"/>
    <n v="1011"/>
    <n v="3"/>
    <x v="0"/>
    <n v="96"/>
    <n v="3"/>
    <n v="2"/>
    <x v="3"/>
    <n v="1"/>
    <s v="Married"/>
    <n v="4148"/>
    <n v="11275"/>
    <n v="1"/>
    <s v="Y"/>
    <x v="1"/>
    <n v="12"/>
    <n v="3"/>
    <n v="3"/>
    <n v="80"/>
    <n v="1"/>
    <n v="4"/>
    <n v="1"/>
    <n v="3"/>
    <n v="4"/>
    <x v="2"/>
    <n v="3"/>
    <n v="0"/>
    <n v="3"/>
    <x v="3"/>
    <n v="0"/>
  </r>
  <r>
    <n v="18"/>
    <x v="2"/>
    <x v="1"/>
    <x v="2"/>
    <n v="287"/>
    <x v="1"/>
    <n v="5"/>
    <n v="2"/>
    <s v="Life Sciences"/>
    <n v="1"/>
    <n v="1012"/>
    <n v="2"/>
    <x v="1"/>
    <n v="73"/>
    <n v="3"/>
    <n v="1"/>
    <x v="1"/>
    <n v="4"/>
    <s v="Single"/>
    <n v="1051"/>
    <n v="13493"/>
    <n v="1"/>
    <s v="Y"/>
    <x v="1"/>
    <n v="15"/>
    <n v="3"/>
    <n v="4"/>
    <n v="80"/>
    <n v="0"/>
    <n v="0"/>
    <n v="2"/>
    <n v="3"/>
    <n v="0"/>
    <x v="1"/>
    <n v="0"/>
    <n v="0"/>
    <n v="0"/>
    <x v="0"/>
    <n v="0"/>
  </r>
  <r>
    <n v="54"/>
    <x v="3"/>
    <x v="1"/>
    <x v="0"/>
    <n v="1441"/>
    <x v="1"/>
    <n v="17"/>
    <n v="3"/>
    <s v="Technical Degree"/>
    <n v="1"/>
    <n v="1013"/>
    <n v="3"/>
    <x v="0"/>
    <n v="56"/>
    <n v="3"/>
    <n v="3"/>
    <x v="3"/>
    <n v="3"/>
    <s v="Married"/>
    <n v="10739"/>
    <n v="13943"/>
    <n v="8"/>
    <s v="Y"/>
    <x v="1"/>
    <n v="11"/>
    <n v="3"/>
    <n v="3"/>
    <n v="80"/>
    <n v="1"/>
    <n v="22"/>
    <n v="2"/>
    <n v="3"/>
    <n v="10"/>
    <x v="0"/>
    <n v="7"/>
    <n v="0"/>
    <n v="8"/>
    <x v="2"/>
    <n v="0"/>
  </r>
  <r>
    <n v="35"/>
    <x v="1"/>
    <x v="1"/>
    <x v="0"/>
    <n v="583"/>
    <x v="1"/>
    <n v="25"/>
    <n v="4"/>
    <s v="Medical"/>
    <n v="1"/>
    <n v="1014"/>
    <n v="3"/>
    <x v="0"/>
    <n v="57"/>
    <n v="3"/>
    <n v="3"/>
    <x v="4"/>
    <n v="3"/>
    <s v="Divorced"/>
    <n v="10388"/>
    <n v="6975"/>
    <n v="1"/>
    <s v="Y"/>
    <x v="0"/>
    <n v="11"/>
    <n v="3"/>
    <n v="3"/>
    <n v="80"/>
    <n v="1"/>
    <n v="16"/>
    <n v="3"/>
    <n v="2"/>
    <n v="16"/>
    <x v="3"/>
    <n v="10"/>
    <n v="10"/>
    <n v="1"/>
    <x v="2"/>
    <n v="0"/>
  </r>
  <r>
    <n v="30"/>
    <x v="1"/>
    <x v="1"/>
    <x v="0"/>
    <n v="153"/>
    <x v="1"/>
    <n v="8"/>
    <n v="2"/>
    <s v="Life Sciences"/>
    <n v="1"/>
    <n v="1015"/>
    <n v="2"/>
    <x v="0"/>
    <n v="73"/>
    <n v="4"/>
    <n v="3"/>
    <x v="7"/>
    <n v="1"/>
    <s v="Married"/>
    <n v="11416"/>
    <n v="17802"/>
    <n v="0"/>
    <s v="Y"/>
    <x v="0"/>
    <n v="12"/>
    <n v="3"/>
    <n v="3"/>
    <n v="80"/>
    <n v="3"/>
    <n v="9"/>
    <n v="4"/>
    <n v="2"/>
    <n v="8"/>
    <x v="0"/>
    <n v="7"/>
    <n v="1"/>
    <n v="7"/>
    <x v="3"/>
    <n v="0"/>
  </r>
  <r>
    <n v="20"/>
    <x v="2"/>
    <x v="0"/>
    <x v="0"/>
    <n v="1097"/>
    <x v="1"/>
    <n v="11"/>
    <n v="3"/>
    <s v="Medical"/>
    <n v="1"/>
    <n v="1016"/>
    <n v="4"/>
    <x v="0"/>
    <n v="98"/>
    <n v="2"/>
    <n v="1"/>
    <x v="1"/>
    <n v="1"/>
    <s v="Single"/>
    <n v="2600"/>
    <n v="18275"/>
    <n v="1"/>
    <s v="Y"/>
    <x v="0"/>
    <n v="15"/>
    <n v="3"/>
    <n v="1"/>
    <n v="80"/>
    <n v="0"/>
    <n v="1"/>
    <n v="2"/>
    <n v="3"/>
    <n v="1"/>
    <x v="1"/>
    <n v="0"/>
    <n v="0"/>
    <n v="0"/>
    <x v="3"/>
    <n v="1"/>
  </r>
  <r>
    <n v="30"/>
    <x v="1"/>
    <x v="0"/>
    <x v="1"/>
    <n v="109"/>
    <x v="1"/>
    <n v="5"/>
    <n v="3"/>
    <s v="Medical"/>
    <n v="1"/>
    <n v="1017"/>
    <n v="2"/>
    <x v="0"/>
    <n v="60"/>
    <n v="3"/>
    <n v="1"/>
    <x v="2"/>
    <n v="2"/>
    <s v="Single"/>
    <n v="2422"/>
    <n v="25725"/>
    <n v="0"/>
    <s v="Y"/>
    <x v="1"/>
    <n v="17"/>
    <n v="3"/>
    <n v="1"/>
    <n v="80"/>
    <n v="0"/>
    <n v="4"/>
    <n v="3"/>
    <n v="3"/>
    <n v="3"/>
    <x v="2"/>
    <n v="2"/>
    <n v="1"/>
    <n v="2"/>
    <x v="1"/>
    <n v="1"/>
  </r>
  <r>
    <n v="26"/>
    <x v="2"/>
    <x v="1"/>
    <x v="0"/>
    <n v="1066"/>
    <x v="1"/>
    <n v="2"/>
    <n v="2"/>
    <s v="Medical"/>
    <n v="1"/>
    <n v="1018"/>
    <n v="4"/>
    <x v="1"/>
    <n v="32"/>
    <n v="4"/>
    <n v="2"/>
    <x v="3"/>
    <n v="4"/>
    <s v="Married"/>
    <n v="5472"/>
    <n v="3334"/>
    <n v="1"/>
    <s v="Y"/>
    <x v="1"/>
    <n v="12"/>
    <n v="3"/>
    <n v="2"/>
    <n v="80"/>
    <n v="0"/>
    <n v="8"/>
    <n v="2"/>
    <n v="3"/>
    <n v="8"/>
    <x v="0"/>
    <n v="7"/>
    <n v="1"/>
    <n v="3"/>
    <x v="0"/>
    <n v="0"/>
  </r>
  <r>
    <n v="22"/>
    <x v="2"/>
    <x v="1"/>
    <x v="0"/>
    <n v="217"/>
    <x v="1"/>
    <n v="8"/>
    <n v="1"/>
    <s v="Life Sciences"/>
    <n v="1"/>
    <n v="1019"/>
    <n v="2"/>
    <x v="1"/>
    <n v="94"/>
    <n v="1"/>
    <n v="1"/>
    <x v="2"/>
    <n v="1"/>
    <s v="Married"/>
    <n v="2451"/>
    <n v="6881"/>
    <n v="1"/>
    <s v="Y"/>
    <x v="1"/>
    <n v="15"/>
    <n v="3"/>
    <n v="1"/>
    <n v="80"/>
    <n v="1"/>
    <n v="4"/>
    <n v="3"/>
    <n v="2"/>
    <n v="4"/>
    <x v="2"/>
    <n v="3"/>
    <n v="1"/>
    <n v="1"/>
    <x v="3"/>
    <n v="0"/>
  </r>
  <r>
    <n v="48"/>
    <x v="0"/>
    <x v="1"/>
    <x v="0"/>
    <n v="277"/>
    <x v="1"/>
    <n v="6"/>
    <n v="3"/>
    <s v="Life Sciences"/>
    <n v="1"/>
    <n v="1022"/>
    <n v="1"/>
    <x v="1"/>
    <n v="97"/>
    <n v="2"/>
    <n v="2"/>
    <x v="4"/>
    <n v="3"/>
    <s v="Single"/>
    <n v="4240"/>
    <n v="13119"/>
    <n v="2"/>
    <s v="Y"/>
    <x v="1"/>
    <n v="13"/>
    <n v="3"/>
    <n v="4"/>
    <n v="80"/>
    <n v="0"/>
    <n v="19"/>
    <n v="0"/>
    <n v="3"/>
    <n v="2"/>
    <x v="1"/>
    <n v="2"/>
    <n v="2"/>
    <n v="2"/>
    <x v="2"/>
    <n v="0"/>
  </r>
  <r>
    <n v="48"/>
    <x v="0"/>
    <x v="1"/>
    <x v="0"/>
    <n v="1355"/>
    <x v="1"/>
    <n v="4"/>
    <n v="4"/>
    <s v="Life Sciences"/>
    <n v="1"/>
    <n v="1024"/>
    <n v="3"/>
    <x v="1"/>
    <n v="78"/>
    <n v="2"/>
    <n v="3"/>
    <x v="4"/>
    <n v="3"/>
    <s v="Single"/>
    <n v="10999"/>
    <n v="22245"/>
    <n v="7"/>
    <s v="Y"/>
    <x v="1"/>
    <n v="14"/>
    <n v="3"/>
    <n v="2"/>
    <n v="80"/>
    <n v="0"/>
    <n v="27"/>
    <n v="3"/>
    <n v="3"/>
    <n v="15"/>
    <x v="3"/>
    <n v="11"/>
    <n v="4"/>
    <n v="8"/>
    <x v="2"/>
    <n v="0"/>
  </r>
  <r>
    <n v="41"/>
    <x v="0"/>
    <x v="1"/>
    <x v="0"/>
    <n v="549"/>
    <x v="1"/>
    <n v="7"/>
    <n v="2"/>
    <s v="Medical"/>
    <n v="1"/>
    <n v="1025"/>
    <n v="4"/>
    <x v="0"/>
    <n v="42"/>
    <n v="3"/>
    <n v="2"/>
    <x v="3"/>
    <n v="3"/>
    <s v="Single"/>
    <n v="5003"/>
    <n v="23371"/>
    <n v="6"/>
    <s v="Y"/>
    <x v="1"/>
    <n v="14"/>
    <n v="3"/>
    <n v="2"/>
    <n v="80"/>
    <n v="0"/>
    <n v="8"/>
    <n v="6"/>
    <n v="3"/>
    <n v="2"/>
    <x v="1"/>
    <n v="2"/>
    <n v="2"/>
    <n v="1"/>
    <x v="2"/>
    <n v="0"/>
  </r>
  <r>
    <n v="39"/>
    <x v="1"/>
    <x v="1"/>
    <x v="0"/>
    <n v="466"/>
    <x v="1"/>
    <n v="1"/>
    <n v="1"/>
    <s v="Life Sciences"/>
    <n v="1"/>
    <n v="1026"/>
    <n v="4"/>
    <x v="0"/>
    <n v="65"/>
    <n v="2"/>
    <n v="4"/>
    <x v="3"/>
    <n v="4"/>
    <s v="Married"/>
    <n v="12742"/>
    <n v="7060"/>
    <n v="1"/>
    <s v="Y"/>
    <x v="1"/>
    <n v="16"/>
    <n v="3"/>
    <n v="3"/>
    <n v="80"/>
    <n v="1"/>
    <n v="21"/>
    <n v="3"/>
    <n v="3"/>
    <n v="21"/>
    <x v="3"/>
    <n v="6"/>
    <n v="11"/>
    <n v="8"/>
    <x v="0"/>
    <n v="0"/>
  </r>
  <r>
    <n v="27"/>
    <x v="2"/>
    <x v="1"/>
    <x v="0"/>
    <n v="1055"/>
    <x v="1"/>
    <n v="2"/>
    <n v="4"/>
    <s v="Life Sciences"/>
    <n v="1"/>
    <n v="1027"/>
    <n v="1"/>
    <x v="0"/>
    <n v="47"/>
    <n v="3"/>
    <n v="2"/>
    <x v="3"/>
    <n v="4"/>
    <s v="Married"/>
    <n v="4227"/>
    <n v="4658"/>
    <n v="0"/>
    <s v="Y"/>
    <x v="1"/>
    <n v="18"/>
    <n v="3"/>
    <n v="2"/>
    <n v="80"/>
    <n v="1"/>
    <n v="4"/>
    <n v="2"/>
    <n v="3"/>
    <n v="3"/>
    <x v="2"/>
    <n v="2"/>
    <n v="2"/>
    <n v="2"/>
    <x v="0"/>
    <n v="0"/>
  </r>
  <r>
    <n v="35"/>
    <x v="1"/>
    <x v="1"/>
    <x v="0"/>
    <n v="802"/>
    <x v="1"/>
    <n v="10"/>
    <n v="3"/>
    <s v="Other"/>
    <n v="1"/>
    <n v="1028"/>
    <n v="2"/>
    <x v="1"/>
    <n v="45"/>
    <n v="3"/>
    <n v="1"/>
    <x v="2"/>
    <n v="4"/>
    <s v="Divorced"/>
    <n v="3917"/>
    <n v="9541"/>
    <n v="1"/>
    <s v="Y"/>
    <x v="1"/>
    <n v="20"/>
    <n v="4"/>
    <n v="1"/>
    <n v="80"/>
    <n v="1"/>
    <n v="3"/>
    <n v="4"/>
    <n v="2"/>
    <n v="3"/>
    <x v="2"/>
    <n v="2"/>
    <n v="1"/>
    <n v="2"/>
    <x v="0"/>
    <n v="0"/>
  </r>
  <r>
    <n v="42"/>
    <x v="0"/>
    <x v="1"/>
    <x v="0"/>
    <n v="265"/>
    <x v="0"/>
    <n v="5"/>
    <n v="2"/>
    <s v="Marketing"/>
    <n v="1"/>
    <n v="1029"/>
    <n v="4"/>
    <x v="1"/>
    <n v="90"/>
    <n v="3"/>
    <n v="5"/>
    <x v="5"/>
    <n v="3"/>
    <s v="Married"/>
    <n v="18303"/>
    <n v="7770"/>
    <n v="6"/>
    <s v="Y"/>
    <x v="1"/>
    <n v="13"/>
    <n v="3"/>
    <n v="2"/>
    <n v="80"/>
    <n v="0"/>
    <n v="21"/>
    <n v="3"/>
    <n v="4"/>
    <n v="1"/>
    <x v="1"/>
    <n v="0"/>
    <n v="0"/>
    <n v="0"/>
    <x v="2"/>
    <n v="0"/>
  </r>
  <r>
    <n v="50"/>
    <x v="0"/>
    <x v="1"/>
    <x v="0"/>
    <n v="804"/>
    <x v="1"/>
    <n v="9"/>
    <n v="3"/>
    <s v="Life Sciences"/>
    <n v="1"/>
    <n v="1030"/>
    <n v="1"/>
    <x v="1"/>
    <n v="64"/>
    <n v="3"/>
    <n v="1"/>
    <x v="2"/>
    <n v="4"/>
    <s v="Married"/>
    <n v="2380"/>
    <n v="20165"/>
    <n v="4"/>
    <s v="Y"/>
    <x v="1"/>
    <n v="18"/>
    <n v="3"/>
    <n v="2"/>
    <n v="80"/>
    <n v="0"/>
    <n v="8"/>
    <n v="5"/>
    <n v="3"/>
    <n v="1"/>
    <x v="1"/>
    <n v="0"/>
    <n v="0"/>
    <n v="0"/>
    <x v="0"/>
    <n v="0"/>
  </r>
  <r>
    <n v="59"/>
    <x v="3"/>
    <x v="1"/>
    <x v="0"/>
    <n v="715"/>
    <x v="1"/>
    <n v="2"/>
    <n v="3"/>
    <s v="Life Sciences"/>
    <n v="1"/>
    <n v="1032"/>
    <n v="3"/>
    <x v="0"/>
    <n v="69"/>
    <n v="2"/>
    <n v="4"/>
    <x v="3"/>
    <n v="4"/>
    <s v="Single"/>
    <n v="13726"/>
    <n v="21829"/>
    <n v="3"/>
    <s v="Y"/>
    <x v="0"/>
    <n v="13"/>
    <n v="3"/>
    <n v="1"/>
    <n v="80"/>
    <n v="0"/>
    <n v="30"/>
    <n v="4"/>
    <n v="3"/>
    <n v="5"/>
    <x v="2"/>
    <n v="3"/>
    <n v="4"/>
    <n v="3"/>
    <x v="0"/>
    <n v="0"/>
  </r>
  <r>
    <n v="37"/>
    <x v="1"/>
    <x v="0"/>
    <x v="0"/>
    <n v="1141"/>
    <x v="1"/>
    <n v="11"/>
    <n v="2"/>
    <s v="Medical"/>
    <n v="1"/>
    <n v="1033"/>
    <n v="1"/>
    <x v="0"/>
    <n v="61"/>
    <n v="1"/>
    <n v="2"/>
    <x v="4"/>
    <n v="2"/>
    <s v="Married"/>
    <n v="4777"/>
    <n v="14382"/>
    <n v="5"/>
    <s v="Y"/>
    <x v="1"/>
    <n v="15"/>
    <n v="3"/>
    <n v="1"/>
    <n v="80"/>
    <n v="0"/>
    <n v="15"/>
    <n v="2"/>
    <n v="1"/>
    <n v="1"/>
    <x v="1"/>
    <n v="0"/>
    <n v="0"/>
    <n v="0"/>
    <x v="1"/>
    <n v="1"/>
  </r>
  <r>
    <n v="55"/>
    <x v="3"/>
    <x v="1"/>
    <x v="1"/>
    <n v="135"/>
    <x v="1"/>
    <n v="18"/>
    <n v="4"/>
    <s v="Medical"/>
    <n v="1"/>
    <n v="1034"/>
    <n v="3"/>
    <x v="1"/>
    <n v="62"/>
    <n v="3"/>
    <n v="2"/>
    <x v="4"/>
    <n v="2"/>
    <s v="Married"/>
    <n v="6385"/>
    <n v="12992"/>
    <n v="3"/>
    <s v="Y"/>
    <x v="0"/>
    <n v="14"/>
    <n v="3"/>
    <n v="4"/>
    <n v="80"/>
    <n v="2"/>
    <n v="17"/>
    <n v="3"/>
    <n v="3"/>
    <n v="8"/>
    <x v="0"/>
    <n v="7"/>
    <n v="6"/>
    <n v="7"/>
    <x v="1"/>
    <n v="0"/>
  </r>
  <r>
    <n v="41"/>
    <x v="0"/>
    <x v="1"/>
    <x v="2"/>
    <n v="247"/>
    <x v="1"/>
    <n v="7"/>
    <n v="1"/>
    <s v="Life Sciences"/>
    <n v="1"/>
    <n v="1035"/>
    <n v="2"/>
    <x v="0"/>
    <n v="55"/>
    <n v="1"/>
    <n v="5"/>
    <x v="7"/>
    <n v="3"/>
    <s v="Divorced"/>
    <n v="19973"/>
    <n v="20284"/>
    <n v="1"/>
    <s v="Y"/>
    <x v="1"/>
    <n v="22"/>
    <n v="4"/>
    <n v="2"/>
    <n v="80"/>
    <n v="2"/>
    <n v="21"/>
    <n v="3"/>
    <n v="3"/>
    <n v="21"/>
    <x v="3"/>
    <n v="16"/>
    <n v="5"/>
    <n v="10"/>
    <x v="2"/>
    <n v="0"/>
  </r>
  <r>
    <n v="38"/>
    <x v="1"/>
    <x v="1"/>
    <x v="0"/>
    <n v="1035"/>
    <x v="0"/>
    <n v="3"/>
    <n v="4"/>
    <s v="Life Sciences"/>
    <n v="1"/>
    <n v="1036"/>
    <n v="2"/>
    <x v="1"/>
    <n v="42"/>
    <n v="3"/>
    <n v="2"/>
    <x v="0"/>
    <n v="4"/>
    <s v="Single"/>
    <n v="6861"/>
    <n v="4981"/>
    <n v="8"/>
    <s v="Y"/>
    <x v="0"/>
    <n v="12"/>
    <n v="3"/>
    <n v="3"/>
    <n v="80"/>
    <n v="0"/>
    <n v="19"/>
    <n v="1"/>
    <n v="3"/>
    <n v="1"/>
    <x v="1"/>
    <n v="0"/>
    <n v="0"/>
    <n v="0"/>
    <x v="0"/>
    <n v="0"/>
  </r>
  <r>
    <n v="26"/>
    <x v="2"/>
    <x v="0"/>
    <x v="2"/>
    <n v="265"/>
    <x v="0"/>
    <n v="29"/>
    <n v="2"/>
    <s v="Medical"/>
    <n v="1"/>
    <n v="1037"/>
    <n v="2"/>
    <x v="1"/>
    <n v="79"/>
    <n v="1"/>
    <n v="2"/>
    <x v="0"/>
    <n v="1"/>
    <s v="Single"/>
    <n v="4969"/>
    <n v="21813"/>
    <n v="8"/>
    <s v="Y"/>
    <x v="1"/>
    <n v="18"/>
    <n v="3"/>
    <n v="4"/>
    <n v="80"/>
    <n v="0"/>
    <n v="7"/>
    <n v="6"/>
    <n v="3"/>
    <n v="2"/>
    <x v="1"/>
    <n v="2"/>
    <n v="2"/>
    <n v="2"/>
    <x v="3"/>
    <n v="1"/>
  </r>
  <r>
    <n v="52"/>
    <x v="3"/>
    <x v="0"/>
    <x v="0"/>
    <n v="266"/>
    <x v="0"/>
    <n v="2"/>
    <n v="1"/>
    <s v="Marketing"/>
    <n v="1"/>
    <n v="1038"/>
    <n v="1"/>
    <x v="0"/>
    <n v="57"/>
    <n v="1"/>
    <n v="5"/>
    <x v="5"/>
    <n v="4"/>
    <s v="Married"/>
    <n v="19845"/>
    <n v="25846"/>
    <n v="1"/>
    <s v="Y"/>
    <x v="1"/>
    <n v="15"/>
    <n v="3"/>
    <n v="4"/>
    <n v="80"/>
    <n v="1"/>
    <n v="33"/>
    <n v="3"/>
    <n v="3"/>
    <n v="32"/>
    <x v="3"/>
    <n v="14"/>
    <n v="6"/>
    <n v="9"/>
    <x v="0"/>
    <n v="1"/>
  </r>
  <r>
    <n v="44"/>
    <x v="0"/>
    <x v="1"/>
    <x v="0"/>
    <n v="1448"/>
    <x v="0"/>
    <n v="28"/>
    <n v="3"/>
    <s v="Medical"/>
    <n v="1"/>
    <n v="1039"/>
    <n v="4"/>
    <x v="0"/>
    <n v="53"/>
    <n v="4"/>
    <n v="4"/>
    <x v="0"/>
    <n v="4"/>
    <s v="Married"/>
    <n v="13320"/>
    <n v="11737"/>
    <n v="3"/>
    <s v="Y"/>
    <x v="0"/>
    <n v="18"/>
    <n v="3"/>
    <n v="3"/>
    <n v="80"/>
    <n v="1"/>
    <n v="23"/>
    <n v="2"/>
    <n v="3"/>
    <n v="12"/>
    <x v="3"/>
    <n v="11"/>
    <n v="11"/>
    <n v="11"/>
    <x v="0"/>
    <n v="0"/>
  </r>
  <r>
    <n v="50"/>
    <x v="0"/>
    <x v="1"/>
    <x v="2"/>
    <n v="145"/>
    <x v="0"/>
    <n v="1"/>
    <n v="3"/>
    <s v="Life Sciences"/>
    <n v="1"/>
    <n v="1040"/>
    <n v="4"/>
    <x v="0"/>
    <n v="95"/>
    <n v="3"/>
    <n v="2"/>
    <x v="0"/>
    <n v="3"/>
    <s v="Married"/>
    <n v="6347"/>
    <n v="24920"/>
    <n v="0"/>
    <s v="Y"/>
    <x v="1"/>
    <n v="12"/>
    <n v="3"/>
    <n v="1"/>
    <n v="80"/>
    <n v="1"/>
    <n v="19"/>
    <n v="3"/>
    <n v="3"/>
    <n v="18"/>
    <x v="3"/>
    <n v="7"/>
    <n v="0"/>
    <n v="13"/>
    <x v="2"/>
    <n v="0"/>
  </r>
  <r>
    <n v="36"/>
    <x v="1"/>
    <x v="0"/>
    <x v="0"/>
    <n v="885"/>
    <x v="1"/>
    <n v="16"/>
    <n v="4"/>
    <s v="Life Sciences"/>
    <n v="1"/>
    <n v="1042"/>
    <n v="3"/>
    <x v="0"/>
    <n v="43"/>
    <n v="4"/>
    <n v="1"/>
    <x v="2"/>
    <n v="1"/>
    <s v="Single"/>
    <n v="2743"/>
    <n v="8269"/>
    <n v="1"/>
    <s v="Y"/>
    <x v="1"/>
    <n v="16"/>
    <n v="3"/>
    <n v="3"/>
    <n v="80"/>
    <n v="0"/>
    <n v="18"/>
    <n v="1"/>
    <n v="3"/>
    <n v="17"/>
    <x v="3"/>
    <n v="13"/>
    <n v="15"/>
    <n v="14"/>
    <x v="3"/>
    <n v="1"/>
  </r>
  <r>
    <n v="39"/>
    <x v="1"/>
    <x v="1"/>
    <x v="1"/>
    <n v="945"/>
    <x v="1"/>
    <n v="22"/>
    <n v="3"/>
    <s v="Medical"/>
    <n v="1"/>
    <n v="1043"/>
    <n v="4"/>
    <x v="0"/>
    <n v="82"/>
    <n v="3"/>
    <n v="3"/>
    <x v="3"/>
    <n v="1"/>
    <s v="Single"/>
    <n v="10880"/>
    <n v="5083"/>
    <n v="1"/>
    <s v="Y"/>
    <x v="0"/>
    <n v="13"/>
    <n v="3"/>
    <n v="3"/>
    <n v="80"/>
    <n v="0"/>
    <n v="21"/>
    <n v="2"/>
    <n v="3"/>
    <n v="21"/>
    <x v="3"/>
    <n v="6"/>
    <n v="2"/>
    <n v="8"/>
    <x v="3"/>
    <n v="0"/>
  </r>
  <r>
    <n v="33"/>
    <x v="1"/>
    <x v="1"/>
    <x v="2"/>
    <n v="1038"/>
    <x v="0"/>
    <n v="8"/>
    <n v="1"/>
    <s v="Life Sciences"/>
    <n v="1"/>
    <n v="1044"/>
    <n v="2"/>
    <x v="0"/>
    <n v="88"/>
    <n v="2"/>
    <n v="1"/>
    <x v="6"/>
    <n v="4"/>
    <s v="Single"/>
    <n v="2342"/>
    <n v="21437"/>
    <n v="0"/>
    <s v="Y"/>
    <x v="1"/>
    <n v="19"/>
    <n v="3"/>
    <n v="4"/>
    <n v="80"/>
    <n v="0"/>
    <n v="3"/>
    <n v="2"/>
    <n v="2"/>
    <n v="2"/>
    <x v="1"/>
    <n v="2"/>
    <n v="2"/>
    <n v="2"/>
    <x v="0"/>
    <n v="0"/>
  </r>
  <r>
    <n v="45"/>
    <x v="0"/>
    <x v="1"/>
    <x v="0"/>
    <n v="1234"/>
    <x v="0"/>
    <n v="11"/>
    <n v="2"/>
    <s v="Life Sciences"/>
    <n v="1"/>
    <n v="1045"/>
    <n v="4"/>
    <x v="0"/>
    <n v="90"/>
    <n v="3"/>
    <n v="4"/>
    <x v="5"/>
    <n v="4"/>
    <s v="Married"/>
    <n v="17650"/>
    <n v="5404"/>
    <n v="3"/>
    <s v="Y"/>
    <x v="1"/>
    <n v="13"/>
    <n v="3"/>
    <n v="2"/>
    <n v="80"/>
    <n v="1"/>
    <n v="26"/>
    <n v="4"/>
    <n v="4"/>
    <n v="9"/>
    <x v="0"/>
    <n v="3"/>
    <n v="1"/>
    <n v="1"/>
    <x v="0"/>
    <n v="0"/>
  </r>
  <r>
    <n v="32"/>
    <x v="1"/>
    <x v="1"/>
    <x v="2"/>
    <n v="1109"/>
    <x v="1"/>
    <n v="29"/>
    <n v="4"/>
    <s v="Medical"/>
    <n v="1"/>
    <n v="1046"/>
    <n v="4"/>
    <x v="0"/>
    <n v="69"/>
    <n v="3"/>
    <n v="1"/>
    <x v="2"/>
    <n v="3"/>
    <s v="Single"/>
    <n v="4025"/>
    <n v="11135"/>
    <n v="9"/>
    <s v="Y"/>
    <x v="1"/>
    <n v="12"/>
    <n v="3"/>
    <n v="2"/>
    <n v="80"/>
    <n v="0"/>
    <n v="10"/>
    <n v="2"/>
    <n v="3"/>
    <n v="8"/>
    <x v="0"/>
    <n v="7"/>
    <n v="7"/>
    <n v="7"/>
    <x v="2"/>
    <n v="0"/>
  </r>
  <r>
    <n v="34"/>
    <x v="1"/>
    <x v="1"/>
    <x v="0"/>
    <n v="216"/>
    <x v="0"/>
    <n v="1"/>
    <n v="4"/>
    <s v="Marketing"/>
    <n v="1"/>
    <n v="1047"/>
    <n v="2"/>
    <x v="1"/>
    <n v="75"/>
    <n v="4"/>
    <n v="2"/>
    <x v="0"/>
    <n v="4"/>
    <s v="Divorced"/>
    <n v="9725"/>
    <n v="12278"/>
    <n v="0"/>
    <s v="Y"/>
    <x v="1"/>
    <n v="11"/>
    <n v="3"/>
    <n v="4"/>
    <n v="80"/>
    <n v="1"/>
    <n v="16"/>
    <n v="2"/>
    <n v="2"/>
    <n v="15"/>
    <x v="3"/>
    <n v="1"/>
    <n v="0"/>
    <n v="9"/>
    <x v="0"/>
    <n v="0"/>
  </r>
  <r>
    <n v="59"/>
    <x v="3"/>
    <x v="1"/>
    <x v="0"/>
    <n v="1089"/>
    <x v="0"/>
    <n v="1"/>
    <n v="2"/>
    <s v="Technical Degree"/>
    <n v="1"/>
    <n v="1048"/>
    <n v="2"/>
    <x v="1"/>
    <n v="66"/>
    <n v="3"/>
    <n v="3"/>
    <x v="5"/>
    <n v="4"/>
    <s v="Married"/>
    <n v="11904"/>
    <n v="11038"/>
    <n v="3"/>
    <s v="Y"/>
    <x v="0"/>
    <n v="14"/>
    <n v="3"/>
    <n v="3"/>
    <n v="80"/>
    <n v="1"/>
    <n v="14"/>
    <n v="1"/>
    <n v="1"/>
    <n v="6"/>
    <x v="0"/>
    <n v="4"/>
    <n v="0"/>
    <n v="4"/>
    <x v="0"/>
    <n v="0"/>
  </r>
  <r>
    <n v="45"/>
    <x v="0"/>
    <x v="1"/>
    <x v="0"/>
    <n v="788"/>
    <x v="2"/>
    <n v="24"/>
    <n v="4"/>
    <s v="Medical"/>
    <n v="1"/>
    <n v="1049"/>
    <n v="2"/>
    <x v="1"/>
    <n v="36"/>
    <n v="3"/>
    <n v="1"/>
    <x v="8"/>
    <n v="2"/>
    <s v="Single"/>
    <n v="2177"/>
    <n v="8318"/>
    <n v="1"/>
    <s v="Y"/>
    <x v="1"/>
    <n v="16"/>
    <n v="3"/>
    <n v="1"/>
    <n v="80"/>
    <n v="0"/>
    <n v="6"/>
    <n v="3"/>
    <n v="3"/>
    <n v="6"/>
    <x v="0"/>
    <n v="3"/>
    <n v="0"/>
    <n v="4"/>
    <x v="1"/>
    <n v="0"/>
  </r>
  <r>
    <n v="53"/>
    <x v="3"/>
    <x v="1"/>
    <x v="1"/>
    <n v="124"/>
    <x v="0"/>
    <n v="2"/>
    <n v="3"/>
    <s v="Marketing"/>
    <n v="1"/>
    <n v="1050"/>
    <n v="3"/>
    <x v="0"/>
    <n v="38"/>
    <n v="2"/>
    <n v="3"/>
    <x v="0"/>
    <n v="2"/>
    <s v="Married"/>
    <n v="7525"/>
    <n v="23537"/>
    <n v="2"/>
    <s v="Y"/>
    <x v="1"/>
    <n v="12"/>
    <n v="3"/>
    <n v="1"/>
    <n v="80"/>
    <n v="1"/>
    <n v="30"/>
    <n v="2"/>
    <n v="3"/>
    <n v="15"/>
    <x v="3"/>
    <n v="7"/>
    <n v="6"/>
    <n v="12"/>
    <x v="1"/>
    <n v="0"/>
  </r>
  <r>
    <n v="36"/>
    <x v="1"/>
    <x v="0"/>
    <x v="0"/>
    <n v="660"/>
    <x v="1"/>
    <n v="15"/>
    <n v="3"/>
    <s v="Other"/>
    <n v="1"/>
    <n v="1052"/>
    <n v="1"/>
    <x v="1"/>
    <n v="81"/>
    <n v="3"/>
    <n v="2"/>
    <x v="2"/>
    <n v="3"/>
    <s v="Divorced"/>
    <n v="4834"/>
    <n v="7858"/>
    <n v="7"/>
    <s v="Y"/>
    <x v="1"/>
    <n v="14"/>
    <n v="3"/>
    <n v="2"/>
    <n v="80"/>
    <n v="1"/>
    <n v="9"/>
    <n v="3"/>
    <n v="2"/>
    <n v="1"/>
    <x v="1"/>
    <n v="0"/>
    <n v="0"/>
    <n v="0"/>
    <x v="2"/>
    <n v="1"/>
  </r>
  <r>
    <n v="26"/>
    <x v="2"/>
    <x v="0"/>
    <x v="1"/>
    <n v="342"/>
    <x v="1"/>
    <n v="2"/>
    <n v="3"/>
    <s v="Life Sciences"/>
    <n v="1"/>
    <n v="1053"/>
    <n v="1"/>
    <x v="1"/>
    <n v="57"/>
    <n v="3"/>
    <n v="1"/>
    <x v="1"/>
    <n v="1"/>
    <s v="Married"/>
    <n v="2042"/>
    <n v="15346"/>
    <n v="6"/>
    <s v="Y"/>
    <x v="0"/>
    <n v="14"/>
    <n v="3"/>
    <n v="2"/>
    <n v="80"/>
    <n v="1"/>
    <n v="6"/>
    <n v="2"/>
    <n v="3"/>
    <n v="3"/>
    <x v="2"/>
    <n v="2"/>
    <n v="1"/>
    <n v="2"/>
    <x v="3"/>
    <n v="1"/>
  </r>
  <r>
    <n v="34"/>
    <x v="1"/>
    <x v="1"/>
    <x v="0"/>
    <n v="1333"/>
    <x v="0"/>
    <n v="10"/>
    <n v="4"/>
    <s v="Life Sciences"/>
    <n v="1"/>
    <n v="1055"/>
    <n v="3"/>
    <x v="0"/>
    <n v="87"/>
    <n v="3"/>
    <n v="1"/>
    <x v="6"/>
    <n v="3"/>
    <s v="Married"/>
    <n v="2220"/>
    <n v="18410"/>
    <n v="1"/>
    <s v="Y"/>
    <x v="0"/>
    <n v="19"/>
    <n v="3"/>
    <n v="4"/>
    <n v="80"/>
    <n v="1"/>
    <n v="1"/>
    <n v="2"/>
    <n v="3"/>
    <n v="1"/>
    <x v="1"/>
    <n v="1"/>
    <n v="0"/>
    <n v="0"/>
    <x v="2"/>
    <n v="0"/>
  </r>
  <r>
    <n v="28"/>
    <x v="2"/>
    <x v="1"/>
    <x v="0"/>
    <n v="1144"/>
    <x v="0"/>
    <n v="10"/>
    <n v="1"/>
    <s v="Medical"/>
    <n v="1"/>
    <n v="1056"/>
    <n v="4"/>
    <x v="1"/>
    <n v="74"/>
    <n v="3"/>
    <n v="1"/>
    <x v="6"/>
    <n v="2"/>
    <s v="Married"/>
    <n v="1052"/>
    <n v="23384"/>
    <n v="1"/>
    <s v="Y"/>
    <x v="1"/>
    <n v="22"/>
    <n v="4"/>
    <n v="2"/>
    <n v="80"/>
    <n v="0"/>
    <n v="1"/>
    <n v="5"/>
    <n v="3"/>
    <n v="1"/>
    <x v="1"/>
    <n v="0"/>
    <n v="0"/>
    <n v="0"/>
    <x v="1"/>
    <n v="0"/>
  </r>
  <r>
    <n v="38"/>
    <x v="1"/>
    <x v="1"/>
    <x v="1"/>
    <n v="1186"/>
    <x v="1"/>
    <n v="3"/>
    <n v="4"/>
    <s v="Other"/>
    <n v="1"/>
    <n v="1060"/>
    <n v="3"/>
    <x v="1"/>
    <n v="44"/>
    <n v="3"/>
    <n v="1"/>
    <x v="1"/>
    <n v="3"/>
    <s v="Married"/>
    <n v="2821"/>
    <n v="2997"/>
    <n v="3"/>
    <s v="Y"/>
    <x v="1"/>
    <n v="16"/>
    <n v="3"/>
    <n v="1"/>
    <n v="80"/>
    <n v="1"/>
    <n v="8"/>
    <n v="2"/>
    <n v="3"/>
    <n v="2"/>
    <x v="1"/>
    <n v="2"/>
    <n v="2"/>
    <n v="2"/>
    <x v="2"/>
    <n v="0"/>
  </r>
  <r>
    <n v="50"/>
    <x v="0"/>
    <x v="1"/>
    <x v="0"/>
    <n v="1464"/>
    <x v="1"/>
    <n v="2"/>
    <n v="4"/>
    <s v="Medical"/>
    <n v="1"/>
    <n v="1061"/>
    <n v="2"/>
    <x v="1"/>
    <n v="62"/>
    <n v="3"/>
    <n v="5"/>
    <x v="7"/>
    <n v="3"/>
    <s v="Married"/>
    <n v="19237"/>
    <n v="12853"/>
    <n v="2"/>
    <s v="Y"/>
    <x v="0"/>
    <n v="11"/>
    <n v="3"/>
    <n v="4"/>
    <n v="80"/>
    <n v="1"/>
    <n v="29"/>
    <n v="2"/>
    <n v="2"/>
    <n v="8"/>
    <x v="0"/>
    <n v="1"/>
    <n v="7"/>
    <n v="7"/>
    <x v="2"/>
    <n v="0"/>
  </r>
  <r>
    <n v="37"/>
    <x v="1"/>
    <x v="1"/>
    <x v="0"/>
    <n v="124"/>
    <x v="1"/>
    <n v="3"/>
    <n v="3"/>
    <s v="Other"/>
    <n v="1"/>
    <n v="1062"/>
    <n v="4"/>
    <x v="0"/>
    <n v="35"/>
    <n v="3"/>
    <n v="2"/>
    <x v="4"/>
    <n v="2"/>
    <s v="Single"/>
    <n v="4107"/>
    <n v="13848"/>
    <n v="3"/>
    <s v="Y"/>
    <x v="1"/>
    <n v="15"/>
    <n v="3"/>
    <n v="1"/>
    <n v="80"/>
    <n v="0"/>
    <n v="8"/>
    <n v="3"/>
    <n v="2"/>
    <n v="4"/>
    <x v="2"/>
    <n v="3"/>
    <n v="0"/>
    <n v="1"/>
    <x v="1"/>
    <n v="0"/>
  </r>
  <r>
    <n v="40"/>
    <x v="1"/>
    <x v="1"/>
    <x v="0"/>
    <n v="300"/>
    <x v="0"/>
    <n v="26"/>
    <n v="3"/>
    <s v="Marketing"/>
    <n v="1"/>
    <n v="1066"/>
    <n v="3"/>
    <x v="1"/>
    <n v="74"/>
    <n v="3"/>
    <n v="2"/>
    <x v="0"/>
    <n v="1"/>
    <s v="Married"/>
    <n v="8396"/>
    <n v="22217"/>
    <n v="1"/>
    <s v="Y"/>
    <x v="1"/>
    <n v="14"/>
    <n v="3"/>
    <n v="2"/>
    <n v="80"/>
    <n v="1"/>
    <n v="8"/>
    <n v="3"/>
    <n v="2"/>
    <n v="7"/>
    <x v="0"/>
    <n v="7"/>
    <n v="7"/>
    <n v="5"/>
    <x v="3"/>
    <n v="0"/>
  </r>
  <r>
    <n v="26"/>
    <x v="2"/>
    <x v="1"/>
    <x v="1"/>
    <n v="921"/>
    <x v="1"/>
    <n v="1"/>
    <n v="1"/>
    <s v="Medical"/>
    <n v="1"/>
    <n v="1068"/>
    <n v="1"/>
    <x v="0"/>
    <n v="66"/>
    <n v="2"/>
    <n v="1"/>
    <x v="1"/>
    <n v="3"/>
    <s v="Divorced"/>
    <n v="2007"/>
    <n v="25265"/>
    <n v="1"/>
    <s v="Y"/>
    <x v="1"/>
    <n v="13"/>
    <n v="3"/>
    <n v="3"/>
    <n v="80"/>
    <n v="2"/>
    <n v="5"/>
    <n v="5"/>
    <n v="3"/>
    <n v="5"/>
    <x v="2"/>
    <n v="3"/>
    <n v="1"/>
    <n v="3"/>
    <x v="2"/>
    <n v="0"/>
  </r>
  <r>
    <n v="46"/>
    <x v="0"/>
    <x v="1"/>
    <x v="0"/>
    <n v="430"/>
    <x v="1"/>
    <n v="1"/>
    <n v="4"/>
    <s v="Medical"/>
    <n v="1"/>
    <n v="1069"/>
    <n v="4"/>
    <x v="1"/>
    <n v="40"/>
    <n v="3"/>
    <n v="5"/>
    <x v="7"/>
    <n v="4"/>
    <s v="Divorced"/>
    <n v="19627"/>
    <n v="21445"/>
    <n v="9"/>
    <s v="Y"/>
    <x v="1"/>
    <n v="17"/>
    <n v="3"/>
    <n v="4"/>
    <n v="80"/>
    <n v="2"/>
    <n v="23"/>
    <n v="0"/>
    <n v="3"/>
    <n v="2"/>
    <x v="1"/>
    <n v="2"/>
    <n v="2"/>
    <n v="2"/>
    <x v="0"/>
    <n v="0"/>
  </r>
  <r>
    <n v="54"/>
    <x v="3"/>
    <x v="1"/>
    <x v="0"/>
    <n v="1082"/>
    <x v="0"/>
    <n v="2"/>
    <n v="4"/>
    <s v="Life Sciences"/>
    <n v="1"/>
    <n v="1070"/>
    <n v="3"/>
    <x v="0"/>
    <n v="41"/>
    <n v="2"/>
    <n v="3"/>
    <x v="0"/>
    <n v="3"/>
    <s v="Married"/>
    <n v="10686"/>
    <n v="8392"/>
    <n v="6"/>
    <s v="Y"/>
    <x v="1"/>
    <n v="11"/>
    <n v="3"/>
    <n v="2"/>
    <n v="80"/>
    <n v="1"/>
    <n v="13"/>
    <n v="4"/>
    <n v="3"/>
    <n v="9"/>
    <x v="0"/>
    <n v="4"/>
    <n v="7"/>
    <n v="0"/>
    <x v="2"/>
    <n v="0"/>
  </r>
  <r>
    <n v="56"/>
    <x v="3"/>
    <x v="1"/>
    <x v="1"/>
    <n v="1240"/>
    <x v="1"/>
    <n v="9"/>
    <n v="3"/>
    <s v="Medical"/>
    <n v="1"/>
    <n v="1071"/>
    <n v="1"/>
    <x v="0"/>
    <n v="63"/>
    <n v="3"/>
    <n v="1"/>
    <x v="1"/>
    <n v="3"/>
    <s v="Married"/>
    <n v="2942"/>
    <n v="12154"/>
    <n v="2"/>
    <s v="Y"/>
    <x v="1"/>
    <n v="19"/>
    <n v="3"/>
    <n v="2"/>
    <n v="80"/>
    <n v="1"/>
    <n v="18"/>
    <n v="4"/>
    <n v="3"/>
    <n v="5"/>
    <x v="2"/>
    <n v="4"/>
    <n v="0"/>
    <n v="3"/>
    <x v="2"/>
    <n v="0"/>
  </r>
  <r>
    <n v="36"/>
    <x v="1"/>
    <x v="1"/>
    <x v="0"/>
    <n v="796"/>
    <x v="1"/>
    <n v="12"/>
    <n v="5"/>
    <s v="Medical"/>
    <n v="1"/>
    <n v="1073"/>
    <n v="4"/>
    <x v="0"/>
    <n v="51"/>
    <n v="2"/>
    <n v="3"/>
    <x v="3"/>
    <n v="4"/>
    <s v="Single"/>
    <n v="8858"/>
    <n v="15669"/>
    <n v="0"/>
    <s v="Y"/>
    <x v="1"/>
    <n v="11"/>
    <n v="3"/>
    <n v="2"/>
    <n v="80"/>
    <n v="0"/>
    <n v="15"/>
    <n v="2"/>
    <n v="2"/>
    <n v="14"/>
    <x v="3"/>
    <n v="8"/>
    <n v="7"/>
    <n v="8"/>
    <x v="0"/>
    <n v="0"/>
  </r>
  <r>
    <n v="55"/>
    <x v="3"/>
    <x v="1"/>
    <x v="2"/>
    <n v="444"/>
    <x v="1"/>
    <n v="2"/>
    <n v="1"/>
    <s v="Medical"/>
    <n v="1"/>
    <n v="1074"/>
    <n v="3"/>
    <x v="1"/>
    <n v="40"/>
    <n v="2"/>
    <n v="4"/>
    <x v="5"/>
    <n v="1"/>
    <s v="Single"/>
    <n v="16756"/>
    <n v="17323"/>
    <n v="7"/>
    <s v="Y"/>
    <x v="1"/>
    <n v="15"/>
    <n v="3"/>
    <n v="2"/>
    <n v="80"/>
    <n v="0"/>
    <n v="31"/>
    <n v="3"/>
    <n v="4"/>
    <n v="9"/>
    <x v="0"/>
    <n v="7"/>
    <n v="6"/>
    <n v="2"/>
    <x v="3"/>
    <n v="0"/>
  </r>
  <r>
    <n v="43"/>
    <x v="0"/>
    <x v="1"/>
    <x v="0"/>
    <n v="415"/>
    <x v="0"/>
    <n v="25"/>
    <n v="3"/>
    <s v="Medical"/>
    <n v="1"/>
    <n v="1076"/>
    <n v="3"/>
    <x v="1"/>
    <n v="79"/>
    <n v="2"/>
    <n v="3"/>
    <x v="0"/>
    <n v="4"/>
    <s v="Divorced"/>
    <n v="10798"/>
    <n v="5268"/>
    <n v="5"/>
    <s v="Y"/>
    <x v="1"/>
    <n v="13"/>
    <n v="3"/>
    <n v="3"/>
    <n v="80"/>
    <n v="1"/>
    <n v="18"/>
    <n v="5"/>
    <n v="3"/>
    <n v="1"/>
    <x v="1"/>
    <n v="0"/>
    <n v="0"/>
    <n v="0"/>
    <x v="0"/>
    <n v="0"/>
  </r>
  <r>
    <n v="20"/>
    <x v="2"/>
    <x v="0"/>
    <x v="1"/>
    <n v="769"/>
    <x v="0"/>
    <n v="9"/>
    <n v="3"/>
    <s v="Marketing"/>
    <n v="1"/>
    <n v="1077"/>
    <n v="4"/>
    <x v="0"/>
    <n v="54"/>
    <n v="3"/>
    <n v="1"/>
    <x v="6"/>
    <n v="4"/>
    <s v="Single"/>
    <n v="2323"/>
    <n v="17205"/>
    <n v="1"/>
    <s v="Y"/>
    <x v="0"/>
    <n v="14"/>
    <n v="3"/>
    <n v="2"/>
    <n v="80"/>
    <n v="0"/>
    <n v="2"/>
    <n v="3"/>
    <n v="3"/>
    <n v="2"/>
    <x v="1"/>
    <n v="2"/>
    <n v="0"/>
    <n v="2"/>
    <x v="0"/>
    <n v="1"/>
  </r>
  <r>
    <n v="21"/>
    <x v="2"/>
    <x v="0"/>
    <x v="0"/>
    <n v="1334"/>
    <x v="1"/>
    <n v="10"/>
    <n v="3"/>
    <s v="Life Sciences"/>
    <n v="1"/>
    <n v="1079"/>
    <n v="3"/>
    <x v="0"/>
    <n v="36"/>
    <n v="2"/>
    <n v="1"/>
    <x v="2"/>
    <n v="1"/>
    <s v="Single"/>
    <n v="1416"/>
    <n v="17258"/>
    <n v="1"/>
    <s v="Y"/>
    <x v="1"/>
    <n v="13"/>
    <n v="3"/>
    <n v="1"/>
    <n v="80"/>
    <n v="0"/>
    <n v="1"/>
    <n v="6"/>
    <n v="2"/>
    <n v="1"/>
    <x v="1"/>
    <n v="0"/>
    <n v="1"/>
    <n v="0"/>
    <x v="3"/>
    <n v="1"/>
  </r>
  <r>
    <n v="46"/>
    <x v="0"/>
    <x v="1"/>
    <x v="0"/>
    <n v="1003"/>
    <x v="1"/>
    <n v="8"/>
    <n v="4"/>
    <s v="Life Sciences"/>
    <n v="1"/>
    <n v="1080"/>
    <n v="4"/>
    <x v="0"/>
    <n v="74"/>
    <n v="2"/>
    <n v="2"/>
    <x v="1"/>
    <n v="1"/>
    <s v="Divorced"/>
    <n v="4615"/>
    <n v="21029"/>
    <n v="8"/>
    <s v="Y"/>
    <x v="0"/>
    <n v="23"/>
    <n v="4"/>
    <n v="1"/>
    <n v="80"/>
    <n v="3"/>
    <n v="19"/>
    <n v="2"/>
    <n v="3"/>
    <n v="16"/>
    <x v="3"/>
    <n v="13"/>
    <n v="1"/>
    <n v="7"/>
    <x v="3"/>
    <n v="0"/>
  </r>
  <r>
    <n v="51"/>
    <x v="3"/>
    <x v="0"/>
    <x v="0"/>
    <n v="1323"/>
    <x v="1"/>
    <n v="4"/>
    <n v="4"/>
    <s v="Life Sciences"/>
    <n v="1"/>
    <n v="1081"/>
    <n v="1"/>
    <x v="1"/>
    <n v="34"/>
    <n v="3"/>
    <n v="1"/>
    <x v="1"/>
    <n v="3"/>
    <s v="Married"/>
    <n v="2461"/>
    <n v="10332"/>
    <n v="9"/>
    <s v="Y"/>
    <x v="0"/>
    <n v="12"/>
    <n v="3"/>
    <n v="3"/>
    <n v="80"/>
    <n v="3"/>
    <n v="18"/>
    <n v="2"/>
    <n v="4"/>
    <n v="10"/>
    <x v="0"/>
    <n v="0"/>
    <n v="2"/>
    <n v="7"/>
    <x v="2"/>
    <n v="1"/>
  </r>
  <r>
    <n v="28"/>
    <x v="2"/>
    <x v="0"/>
    <x v="2"/>
    <n v="1366"/>
    <x v="1"/>
    <n v="24"/>
    <n v="2"/>
    <s v="Technical Degree"/>
    <n v="1"/>
    <n v="1082"/>
    <n v="2"/>
    <x v="1"/>
    <n v="72"/>
    <n v="2"/>
    <n v="3"/>
    <x v="4"/>
    <n v="1"/>
    <s v="Single"/>
    <n v="8722"/>
    <n v="12355"/>
    <n v="1"/>
    <s v="Y"/>
    <x v="1"/>
    <n v="12"/>
    <n v="3"/>
    <n v="1"/>
    <n v="80"/>
    <n v="0"/>
    <n v="10"/>
    <n v="2"/>
    <n v="2"/>
    <n v="10"/>
    <x v="0"/>
    <n v="7"/>
    <n v="1"/>
    <n v="9"/>
    <x v="3"/>
    <n v="1"/>
  </r>
  <r>
    <n v="26"/>
    <x v="2"/>
    <x v="1"/>
    <x v="0"/>
    <n v="192"/>
    <x v="1"/>
    <n v="1"/>
    <n v="2"/>
    <s v="Medical"/>
    <n v="1"/>
    <n v="1083"/>
    <n v="1"/>
    <x v="1"/>
    <n v="59"/>
    <n v="2"/>
    <n v="1"/>
    <x v="2"/>
    <n v="1"/>
    <s v="Married"/>
    <n v="3955"/>
    <n v="11141"/>
    <n v="1"/>
    <s v="Y"/>
    <x v="1"/>
    <n v="16"/>
    <n v="3"/>
    <n v="1"/>
    <n v="80"/>
    <n v="2"/>
    <n v="6"/>
    <n v="2"/>
    <n v="3"/>
    <n v="5"/>
    <x v="2"/>
    <n v="3"/>
    <n v="1"/>
    <n v="3"/>
    <x v="3"/>
    <n v="0"/>
  </r>
  <r>
    <n v="30"/>
    <x v="1"/>
    <x v="1"/>
    <x v="0"/>
    <n v="1176"/>
    <x v="1"/>
    <n v="20"/>
    <n v="3"/>
    <s v="Other"/>
    <n v="1"/>
    <n v="1084"/>
    <n v="3"/>
    <x v="1"/>
    <n v="85"/>
    <n v="3"/>
    <n v="2"/>
    <x v="3"/>
    <n v="1"/>
    <s v="Married"/>
    <n v="9957"/>
    <n v="9096"/>
    <n v="0"/>
    <s v="Y"/>
    <x v="1"/>
    <n v="15"/>
    <n v="3"/>
    <n v="3"/>
    <n v="80"/>
    <n v="1"/>
    <n v="7"/>
    <n v="1"/>
    <n v="2"/>
    <n v="6"/>
    <x v="0"/>
    <n v="2"/>
    <n v="0"/>
    <n v="2"/>
    <x v="3"/>
    <n v="0"/>
  </r>
  <r>
    <n v="41"/>
    <x v="0"/>
    <x v="1"/>
    <x v="0"/>
    <n v="509"/>
    <x v="1"/>
    <n v="7"/>
    <n v="2"/>
    <s v="Technical Degree"/>
    <n v="1"/>
    <n v="1085"/>
    <n v="2"/>
    <x v="0"/>
    <n v="43"/>
    <n v="4"/>
    <n v="1"/>
    <x v="1"/>
    <n v="3"/>
    <s v="Married"/>
    <n v="3376"/>
    <n v="18863"/>
    <n v="1"/>
    <s v="Y"/>
    <x v="1"/>
    <n v="13"/>
    <n v="3"/>
    <n v="3"/>
    <n v="80"/>
    <n v="0"/>
    <n v="10"/>
    <n v="3"/>
    <n v="3"/>
    <n v="10"/>
    <x v="0"/>
    <n v="6"/>
    <n v="0"/>
    <n v="8"/>
    <x v="2"/>
    <n v="0"/>
  </r>
  <r>
    <n v="38"/>
    <x v="1"/>
    <x v="1"/>
    <x v="0"/>
    <n v="330"/>
    <x v="1"/>
    <n v="17"/>
    <n v="1"/>
    <s v="Life Sciences"/>
    <n v="1"/>
    <n v="1088"/>
    <n v="3"/>
    <x v="0"/>
    <n v="65"/>
    <n v="2"/>
    <n v="3"/>
    <x v="4"/>
    <n v="3"/>
    <s v="Married"/>
    <n v="8823"/>
    <n v="24608"/>
    <n v="0"/>
    <s v="Y"/>
    <x v="1"/>
    <n v="18"/>
    <n v="3"/>
    <n v="1"/>
    <n v="80"/>
    <n v="1"/>
    <n v="20"/>
    <n v="4"/>
    <n v="2"/>
    <n v="19"/>
    <x v="3"/>
    <n v="9"/>
    <n v="1"/>
    <n v="9"/>
    <x v="2"/>
    <n v="0"/>
  </r>
  <r>
    <n v="40"/>
    <x v="1"/>
    <x v="1"/>
    <x v="0"/>
    <n v="1492"/>
    <x v="1"/>
    <n v="20"/>
    <n v="4"/>
    <s v="Technical Degree"/>
    <n v="1"/>
    <n v="1092"/>
    <n v="1"/>
    <x v="1"/>
    <n v="61"/>
    <n v="3"/>
    <n v="3"/>
    <x v="4"/>
    <n v="4"/>
    <s v="Married"/>
    <n v="10322"/>
    <n v="26542"/>
    <n v="4"/>
    <s v="Y"/>
    <x v="1"/>
    <n v="20"/>
    <n v="4"/>
    <n v="4"/>
    <n v="80"/>
    <n v="1"/>
    <n v="14"/>
    <n v="6"/>
    <n v="3"/>
    <n v="11"/>
    <x v="3"/>
    <n v="10"/>
    <n v="11"/>
    <n v="1"/>
    <x v="0"/>
    <n v="0"/>
  </r>
  <r>
    <n v="27"/>
    <x v="2"/>
    <x v="1"/>
    <x v="2"/>
    <n v="1277"/>
    <x v="1"/>
    <n v="8"/>
    <n v="5"/>
    <s v="Life Sciences"/>
    <n v="1"/>
    <n v="1094"/>
    <n v="1"/>
    <x v="1"/>
    <n v="87"/>
    <n v="1"/>
    <n v="1"/>
    <x v="2"/>
    <n v="3"/>
    <s v="Married"/>
    <n v="4621"/>
    <n v="5869"/>
    <n v="1"/>
    <s v="Y"/>
    <x v="1"/>
    <n v="19"/>
    <n v="3"/>
    <n v="4"/>
    <n v="80"/>
    <n v="3"/>
    <n v="3"/>
    <n v="4"/>
    <n v="3"/>
    <n v="3"/>
    <x v="2"/>
    <n v="2"/>
    <n v="1"/>
    <n v="2"/>
    <x v="2"/>
    <n v="0"/>
  </r>
  <r>
    <n v="55"/>
    <x v="3"/>
    <x v="1"/>
    <x v="1"/>
    <n v="1091"/>
    <x v="1"/>
    <n v="2"/>
    <n v="1"/>
    <s v="Life Sciences"/>
    <n v="1"/>
    <n v="1096"/>
    <n v="4"/>
    <x v="1"/>
    <n v="65"/>
    <n v="3"/>
    <n v="3"/>
    <x v="3"/>
    <n v="2"/>
    <s v="Married"/>
    <n v="10976"/>
    <n v="15813"/>
    <n v="3"/>
    <s v="Y"/>
    <x v="1"/>
    <n v="18"/>
    <n v="3"/>
    <n v="2"/>
    <n v="80"/>
    <n v="1"/>
    <n v="23"/>
    <n v="4"/>
    <n v="3"/>
    <n v="3"/>
    <x v="2"/>
    <n v="2"/>
    <n v="1"/>
    <n v="2"/>
    <x v="1"/>
    <n v="0"/>
  </r>
  <r>
    <n v="28"/>
    <x v="2"/>
    <x v="1"/>
    <x v="0"/>
    <n v="857"/>
    <x v="1"/>
    <n v="10"/>
    <n v="3"/>
    <s v="Other"/>
    <n v="1"/>
    <n v="1097"/>
    <n v="3"/>
    <x v="0"/>
    <n v="59"/>
    <n v="3"/>
    <n v="2"/>
    <x v="1"/>
    <n v="3"/>
    <s v="Single"/>
    <n v="3660"/>
    <n v="7909"/>
    <n v="3"/>
    <s v="Y"/>
    <x v="1"/>
    <n v="13"/>
    <n v="3"/>
    <n v="4"/>
    <n v="80"/>
    <n v="0"/>
    <n v="10"/>
    <n v="4"/>
    <n v="4"/>
    <n v="8"/>
    <x v="0"/>
    <n v="7"/>
    <n v="1"/>
    <n v="7"/>
    <x v="2"/>
    <n v="0"/>
  </r>
  <r>
    <n v="44"/>
    <x v="0"/>
    <x v="0"/>
    <x v="0"/>
    <n v="1376"/>
    <x v="2"/>
    <n v="1"/>
    <n v="2"/>
    <s v="Medical"/>
    <n v="1"/>
    <n v="1098"/>
    <n v="2"/>
    <x v="1"/>
    <n v="91"/>
    <n v="2"/>
    <n v="3"/>
    <x v="8"/>
    <n v="1"/>
    <s v="Married"/>
    <n v="10482"/>
    <n v="2326"/>
    <n v="9"/>
    <s v="Y"/>
    <x v="1"/>
    <n v="14"/>
    <n v="3"/>
    <n v="4"/>
    <n v="80"/>
    <n v="1"/>
    <n v="24"/>
    <n v="1"/>
    <n v="3"/>
    <n v="20"/>
    <x v="3"/>
    <n v="6"/>
    <n v="3"/>
    <n v="6"/>
    <x v="3"/>
    <n v="1"/>
  </r>
  <r>
    <n v="33"/>
    <x v="1"/>
    <x v="1"/>
    <x v="0"/>
    <n v="654"/>
    <x v="1"/>
    <n v="5"/>
    <n v="3"/>
    <s v="Life Sciences"/>
    <n v="1"/>
    <n v="1099"/>
    <n v="4"/>
    <x v="1"/>
    <n v="34"/>
    <n v="2"/>
    <n v="3"/>
    <x v="4"/>
    <n v="4"/>
    <s v="Divorced"/>
    <n v="7119"/>
    <n v="21214"/>
    <n v="4"/>
    <s v="Y"/>
    <x v="1"/>
    <n v="15"/>
    <n v="3"/>
    <n v="3"/>
    <n v="80"/>
    <n v="1"/>
    <n v="9"/>
    <n v="2"/>
    <n v="3"/>
    <n v="3"/>
    <x v="2"/>
    <n v="2"/>
    <n v="1"/>
    <n v="2"/>
    <x v="0"/>
    <n v="0"/>
  </r>
  <r>
    <n v="35"/>
    <x v="1"/>
    <x v="0"/>
    <x v="0"/>
    <n v="1204"/>
    <x v="0"/>
    <n v="4"/>
    <n v="3"/>
    <s v="Technical Degree"/>
    <n v="1"/>
    <n v="1100"/>
    <n v="4"/>
    <x v="1"/>
    <n v="86"/>
    <n v="3"/>
    <n v="3"/>
    <x v="0"/>
    <n v="1"/>
    <s v="Single"/>
    <n v="9582"/>
    <n v="10333"/>
    <n v="0"/>
    <s v="Y"/>
    <x v="0"/>
    <n v="22"/>
    <n v="4"/>
    <n v="1"/>
    <n v="80"/>
    <n v="0"/>
    <n v="9"/>
    <n v="2"/>
    <n v="3"/>
    <n v="8"/>
    <x v="0"/>
    <n v="7"/>
    <n v="4"/>
    <n v="7"/>
    <x v="3"/>
    <n v="1"/>
  </r>
  <r>
    <n v="33"/>
    <x v="1"/>
    <x v="0"/>
    <x v="1"/>
    <n v="827"/>
    <x v="1"/>
    <n v="29"/>
    <n v="4"/>
    <s v="Medical"/>
    <n v="1"/>
    <n v="1101"/>
    <n v="1"/>
    <x v="0"/>
    <n v="54"/>
    <n v="2"/>
    <n v="2"/>
    <x v="1"/>
    <n v="3"/>
    <s v="Single"/>
    <n v="4508"/>
    <n v="3129"/>
    <n v="1"/>
    <s v="Y"/>
    <x v="1"/>
    <n v="22"/>
    <n v="4"/>
    <n v="2"/>
    <n v="80"/>
    <n v="0"/>
    <n v="14"/>
    <n v="4"/>
    <n v="3"/>
    <n v="13"/>
    <x v="3"/>
    <n v="7"/>
    <n v="3"/>
    <n v="8"/>
    <x v="2"/>
    <n v="1"/>
  </r>
  <r>
    <n v="28"/>
    <x v="2"/>
    <x v="1"/>
    <x v="0"/>
    <n v="895"/>
    <x v="1"/>
    <n v="15"/>
    <n v="2"/>
    <s v="Life Sciences"/>
    <n v="1"/>
    <n v="1102"/>
    <n v="1"/>
    <x v="1"/>
    <n v="50"/>
    <n v="3"/>
    <n v="1"/>
    <x v="2"/>
    <n v="3"/>
    <s v="Divorced"/>
    <n v="2207"/>
    <n v="22482"/>
    <n v="1"/>
    <s v="Y"/>
    <x v="1"/>
    <n v="16"/>
    <n v="3"/>
    <n v="4"/>
    <n v="80"/>
    <n v="1"/>
    <n v="4"/>
    <n v="5"/>
    <n v="2"/>
    <n v="4"/>
    <x v="2"/>
    <n v="2"/>
    <n v="2"/>
    <n v="2"/>
    <x v="2"/>
    <n v="0"/>
  </r>
  <r>
    <n v="34"/>
    <x v="1"/>
    <x v="1"/>
    <x v="1"/>
    <n v="618"/>
    <x v="1"/>
    <n v="3"/>
    <n v="1"/>
    <s v="Life Sciences"/>
    <n v="1"/>
    <n v="1103"/>
    <n v="1"/>
    <x v="1"/>
    <n v="45"/>
    <n v="3"/>
    <n v="2"/>
    <x v="4"/>
    <n v="4"/>
    <s v="Single"/>
    <n v="7756"/>
    <n v="22266"/>
    <n v="0"/>
    <s v="Y"/>
    <x v="1"/>
    <n v="17"/>
    <n v="3"/>
    <n v="3"/>
    <n v="80"/>
    <n v="0"/>
    <n v="7"/>
    <n v="1"/>
    <n v="2"/>
    <n v="6"/>
    <x v="0"/>
    <n v="2"/>
    <n v="0"/>
    <n v="4"/>
    <x v="0"/>
    <n v="0"/>
  </r>
  <r>
    <n v="37"/>
    <x v="1"/>
    <x v="1"/>
    <x v="0"/>
    <n v="309"/>
    <x v="0"/>
    <n v="10"/>
    <n v="4"/>
    <s v="Life Sciences"/>
    <n v="1"/>
    <n v="1105"/>
    <n v="4"/>
    <x v="0"/>
    <n v="88"/>
    <n v="2"/>
    <n v="2"/>
    <x v="0"/>
    <n v="4"/>
    <s v="Divorced"/>
    <n v="6694"/>
    <n v="24223"/>
    <n v="2"/>
    <s v="Y"/>
    <x v="0"/>
    <n v="14"/>
    <n v="3"/>
    <n v="3"/>
    <n v="80"/>
    <n v="3"/>
    <n v="8"/>
    <n v="5"/>
    <n v="3"/>
    <n v="1"/>
    <x v="1"/>
    <n v="0"/>
    <n v="0"/>
    <n v="0"/>
    <x v="0"/>
    <n v="0"/>
  </r>
  <r>
    <n v="25"/>
    <x v="2"/>
    <x v="0"/>
    <x v="0"/>
    <n v="1219"/>
    <x v="1"/>
    <n v="4"/>
    <n v="1"/>
    <s v="Technical Degree"/>
    <n v="1"/>
    <n v="1106"/>
    <n v="4"/>
    <x v="1"/>
    <n v="32"/>
    <n v="3"/>
    <n v="1"/>
    <x v="2"/>
    <n v="4"/>
    <s v="Married"/>
    <n v="3691"/>
    <n v="4605"/>
    <n v="1"/>
    <s v="Y"/>
    <x v="0"/>
    <n v="15"/>
    <n v="3"/>
    <n v="2"/>
    <n v="80"/>
    <n v="1"/>
    <n v="7"/>
    <n v="3"/>
    <n v="4"/>
    <n v="7"/>
    <x v="0"/>
    <n v="7"/>
    <n v="5"/>
    <n v="6"/>
    <x v="0"/>
    <n v="1"/>
  </r>
  <r>
    <n v="26"/>
    <x v="2"/>
    <x v="0"/>
    <x v="0"/>
    <n v="1330"/>
    <x v="1"/>
    <n v="21"/>
    <n v="3"/>
    <s v="Medical"/>
    <n v="1"/>
    <n v="1107"/>
    <n v="1"/>
    <x v="1"/>
    <n v="37"/>
    <n v="3"/>
    <n v="1"/>
    <x v="2"/>
    <n v="3"/>
    <s v="Divorced"/>
    <n v="2377"/>
    <n v="19373"/>
    <n v="1"/>
    <s v="Y"/>
    <x v="1"/>
    <n v="20"/>
    <n v="4"/>
    <n v="3"/>
    <n v="80"/>
    <n v="1"/>
    <n v="1"/>
    <n v="0"/>
    <n v="2"/>
    <n v="1"/>
    <x v="1"/>
    <n v="1"/>
    <n v="0"/>
    <n v="0"/>
    <x v="2"/>
    <n v="1"/>
  </r>
  <r>
    <n v="33"/>
    <x v="1"/>
    <x v="0"/>
    <x v="0"/>
    <n v="1017"/>
    <x v="1"/>
    <n v="25"/>
    <n v="3"/>
    <s v="Medical"/>
    <n v="1"/>
    <n v="1108"/>
    <n v="1"/>
    <x v="1"/>
    <n v="55"/>
    <n v="2"/>
    <n v="1"/>
    <x v="1"/>
    <n v="2"/>
    <s v="Single"/>
    <n v="2313"/>
    <n v="2993"/>
    <n v="4"/>
    <s v="Y"/>
    <x v="0"/>
    <n v="20"/>
    <n v="4"/>
    <n v="2"/>
    <n v="80"/>
    <n v="0"/>
    <n v="5"/>
    <n v="0"/>
    <n v="3"/>
    <n v="2"/>
    <x v="1"/>
    <n v="2"/>
    <n v="2"/>
    <n v="2"/>
    <x v="1"/>
    <n v="1"/>
  </r>
  <r>
    <n v="42"/>
    <x v="0"/>
    <x v="1"/>
    <x v="0"/>
    <n v="469"/>
    <x v="1"/>
    <n v="2"/>
    <n v="2"/>
    <s v="Medical"/>
    <n v="1"/>
    <n v="1109"/>
    <n v="4"/>
    <x v="1"/>
    <n v="35"/>
    <n v="3"/>
    <n v="4"/>
    <x v="5"/>
    <n v="1"/>
    <s v="Married"/>
    <n v="17665"/>
    <n v="14399"/>
    <n v="0"/>
    <s v="Y"/>
    <x v="1"/>
    <n v="17"/>
    <n v="3"/>
    <n v="4"/>
    <n v="80"/>
    <n v="1"/>
    <n v="23"/>
    <n v="3"/>
    <n v="3"/>
    <n v="22"/>
    <x v="3"/>
    <n v="6"/>
    <n v="13"/>
    <n v="7"/>
    <x v="3"/>
    <n v="0"/>
  </r>
  <r>
    <n v="28"/>
    <x v="2"/>
    <x v="0"/>
    <x v="1"/>
    <n v="1009"/>
    <x v="1"/>
    <n v="1"/>
    <n v="3"/>
    <s v="Medical"/>
    <n v="1"/>
    <n v="1111"/>
    <n v="1"/>
    <x v="1"/>
    <n v="45"/>
    <n v="2"/>
    <n v="1"/>
    <x v="2"/>
    <n v="2"/>
    <s v="Divorced"/>
    <n v="2596"/>
    <n v="7160"/>
    <n v="1"/>
    <s v="Y"/>
    <x v="1"/>
    <n v="15"/>
    <n v="3"/>
    <n v="1"/>
    <n v="80"/>
    <n v="2"/>
    <n v="1"/>
    <n v="2"/>
    <n v="3"/>
    <n v="1"/>
    <x v="1"/>
    <n v="0"/>
    <n v="0"/>
    <n v="0"/>
    <x v="1"/>
    <n v="1"/>
  </r>
  <r>
    <n v="50"/>
    <x v="0"/>
    <x v="0"/>
    <x v="1"/>
    <n v="959"/>
    <x v="0"/>
    <n v="1"/>
    <n v="4"/>
    <s v="Other"/>
    <n v="1"/>
    <n v="1113"/>
    <n v="4"/>
    <x v="1"/>
    <n v="81"/>
    <n v="3"/>
    <n v="2"/>
    <x v="0"/>
    <n v="3"/>
    <s v="Single"/>
    <n v="4728"/>
    <n v="17251"/>
    <n v="3"/>
    <s v="Y"/>
    <x v="0"/>
    <n v="14"/>
    <n v="3"/>
    <n v="4"/>
    <n v="80"/>
    <n v="0"/>
    <n v="5"/>
    <n v="4"/>
    <n v="3"/>
    <n v="0"/>
    <x v="1"/>
    <n v="0"/>
    <n v="0"/>
    <n v="0"/>
    <x v="2"/>
    <n v="1"/>
  </r>
  <r>
    <n v="33"/>
    <x v="1"/>
    <x v="1"/>
    <x v="1"/>
    <n v="970"/>
    <x v="0"/>
    <n v="7"/>
    <n v="3"/>
    <s v="Life Sciences"/>
    <n v="1"/>
    <n v="1114"/>
    <n v="4"/>
    <x v="0"/>
    <n v="30"/>
    <n v="3"/>
    <n v="2"/>
    <x v="0"/>
    <n v="2"/>
    <s v="Married"/>
    <n v="4302"/>
    <n v="13401"/>
    <n v="0"/>
    <s v="Y"/>
    <x v="1"/>
    <n v="17"/>
    <n v="3"/>
    <n v="3"/>
    <n v="80"/>
    <n v="1"/>
    <n v="4"/>
    <n v="3"/>
    <n v="3"/>
    <n v="3"/>
    <x v="2"/>
    <n v="2"/>
    <n v="0"/>
    <n v="2"/>
    <x v="1"/>
    <n v="0"/>
  </r>
  <r>
    <n v="34"/>
    <x v="1"/>
    <x v="1"/>
    <x v="2"/>
    <n v="697"/>
    <x v="1"/>
    <n v="3"/>
    <n v="4"/>
    <s v="Life Sciences"/>
    <n v="1"/>
    <n v="1115"/>
    <n v="3"/>
    <x v="1"/>
    <n v="40"/>
    <n v="2"/>
    <n v="1"/>
    <x v="1"/>
    <n v="4"/>
    <s v="Married"/>
    <n v="2979"/>
    <n v="22478"/>
    <n v="3"/>
    <s v="Y"/>
    <x v="1"/>
    <n v="17"/>
    <n v="3"/>
    <n v="4"/>
    <n v="80"/>
    <n v="3"/>
    <n v="6"/>
    <n v="2"/>
    <n v="3"/>
    <n v="0"/>
    <x v="1"/>
    <n v="0"/>
    <n v="0"/>
    <n v="0"/>
    <x v="0"/>
    <n v="0"/>
  </r>
  <r>
    <n v="48"/>
    <x v="0"/>
    <x v="1"/>
    <x v="2"/>
    <n v="1262"/>
    <x v="1"/>
    <n v="1"/>
    <n v="4"/>
    <s v="Medical"/>
    <n v="1"/>
    <n v="1116"/>
    <n v="1"/>
    <x v="1"/>
    <n v="35"/>
    <n v="4"/>
    <n v="4"/>
    <x v="5"/>
    <n v="4"/>
    <s v="Single"/>
    <n v="16885"/>
    <n v="16154"/>
    <n v="2"/>
    <s v="Y"/>
    <x v="1"/>
    <n v="22"/>
    <n v="4"/>
    <n v="3"/>
    <n v="80"/>
    <n v="0"/>
    <n v="27"/>
    <n v="3"/>
    <n v="2"/>
    <n v="5"/>
    <x v="2"/>
    <n v="4"/>
    <n v="2"/>
    <n v="1"/>
    <x v="0"/>
    <n v="0"/>
  </r>
  <r>
    <n v="45"/>
    <x v="0"/>
    <x v="1"/>
    <x v="2"/>
    <n v="1050"/>
    <x v="0"/>
    <n v="9"/>
    <n v="4"/>
    <s v="Life Sciences"/>
    <n v="1"/>
    <n v="1117"/>
    <n v="2"/>
    <x v="0"/>
    <n v="65"/>
    <n v="2"/>
    <n v="2"/>
    <x v="0"/>
    <n v="3"/>
    <s v="Married"/>
    <n v="5593"/>
    <n v="17970"/>
    <n v="1"/>
    <s v="Y"/>
    <x v="1"/>
    <n v="13"/>
    <n v="3"/>
    <n v="4"/>
    <n v="80"/>
    <n v="1"/>
    <n v="15"/>
    <n v="2"/>
    <n v="3"/>
    <n v="15"/>
    <x v="3"/>
    <n v="10"/>
    <n v="4"/>
    <n v="12"/>
    <x v="2"/>
    <n v="0"/>
  </r>
  <r>
    <n v="52"/>
    <x v="3"/>
    <x v="1"/>
    <x v="0"/>
    <n v="994"/>
    <x v="1"/>
    <n v="7"/>
    <n v="4"/>
    <s v="Life Sciences"/>
    <n v="1"/>
    <n v="1118"/>
    <n v="2"/>
    <x v="1"/>
    <n v="87"/>
    <n v="3"/>
    <n v="3"/>
    <x v="4"/>
    <n v="2"/>
    <s v="Single"/>
    <n v="10445"/>
    <n v="15322"/>
    <n v="7"/>
    <s v="Y"/>
    <x v="1"/>
    <n v="19"/>
    <n v="3"/>
    <n v="4"/>
    <n v="80"/>
    <n v="0"/>
    <n v="18"/>
    <n v="4"/>
    <n v="3"/>
    <n v="8"/>
    <x v="0"/>
    <n v="6"/>
    <n v="4"/>
    <n v="0"/>
    <x v="1"/>
    <n v="0"/>
  </r>
  <r>
    <n v="38"/>
    <x v="1"/>
    <x v="1"/>
    <x v="0"/>
    <n v="770"/>
    <x v="0"/>
    <n v="10"/>
    <n v="4"/>
    <s v="Marketing"/>
    <n v="1"/>
    <n v="1119"/>
    <n v="3"/>
    <x v="1"/>
    <n v="73"/>
    <n v="2"/>
    <n v="3"/>
    <x v="0"/>
    <n v="3"/>
    <s v="Divorced"/>
    <n v="8740"/>
    <n v="5569"/>
    <n v="0"/>
    <s v="Y"/>
    <x v="0"/>
    <n v="14"/>
    <n v="3"/>
    <n v="2"/>
    <n v="80"/>
    <n v="2"/>
    <n v="9"/>
    <n v="2"/>
    <n v="3"/>
    <n v="8"/>
    <x v="0"/>
    <n v="7"/>
    <n v="2"/>
    <n v="7"/>
    <x v="2"/>
    <n v="0"/>
  </r>
  <r>
    <n v="29"/>
    <x v="2"/>
    <x v="1"/>
    <x v="0"/>
    <n v="1107"/>
    <x v="1"/>
    <n v="28"/>
    <n v="4"/>
    <s v="Life Sciences"/>
    <n v="1"/>
    <n v="1120"/>
    <n v="3"/>
    <x v="0"/>
    <n v="93"/>
    <n v="3"/>
    <n v="1"/>
    <x v="1"/>
    <n v="4"/>
    <s v="Divorced"/>
    <n v="2514"/>
    <n v="26968"/>
    <n v="4"/>
    <s v="Y"/>
    <x v="1"/>
    <n v="22"/>
    <n v="4"/>
    <n v="1"/>
    <n v="80"/>
    <n v="1"/>
    <n v="11"/>
    <n v="1"/>
    <n v="3"/>
    <n v="7"/>
    <x v="0"/>
    <n v="5"/>
    <n v="1"/>
    <n v="7"/>
    <x v="0"/>
    <n v="0"/>
  </r>
  <r>
    <n v="28"/>
    <x v="2"/>
    <x v="1"/>
    <x v="0"/>
    <n v="950"/>
    <x v="1"/>
    <n v="3"/>
    <n v="3"/>
    <s v="Medical"/>
    <n v="1"/>
    <n v="1121"/>
    <n v="4"/>
    <x v="0"/>
    <n v="93"/>
    <n v="3"/>
    <n v="3"/>
    <x v="3"/>
    <n v="2"/>
    <s v="Divorced"/>
    <n v="7655"/>
    <n v="8039"/>
    <n v="0"/>
    <s v="Y"/>
    <x v="1"/>
    <n v="17"/>
    <n v="3"/>
    <n v="2"/>
    <n v="80"/>
    <n v="3"/>
    <n v="10"/>
    <n v="3"/>
    <n v="2"/>
    <n v="9"/>
    <x v="0"/>
    <n v="7"/>
    <n v="1"/>
    <n v="7"/>
    <x v="1"/>
    <n v="0"/>
  </r>
  <r>
    <n v="46"/>
    <x v="0"/>
    <x v="1"/>
    <x v="0"/>
    <n v="406"/>
    <x v="0"/>
    <n v="3"/>
    <n v="1"/>
    <s v="Marketing"/>
    <n v="1"/>
    <n v="1124"/>
    <n v="1"/>
    <x v="1"/>
    <n v="52"/>
    <n v="3"/>
    <n v="4"/>
    <x v="5"/>
    <n v="3"/>
    <s v="Married"/>
    <n v="17465"/>
    <n v="15596"/>
    <n v="3"/>
    <s v="Y"/>
    <x v="1"/>
    <n v="12"/>
    <n v="3"/>
    <n v="4"/>
    <n v="80"/>
    <n v="1"/>
    <n v="23"/>
    <n v="3"/>
    <n v="3"/>
    <n v="12"/>
    <x v="3"/>
    <n v="9"/>
    <n v="4"/>
    <n v="9"/>
    <x v="2"/>
    <n v="0"/>
  </r>
  <r>
    <n v="38"/>
    <x v="1"/>
    <x v="1"/>
    <x v="0"/>
    <n v="130"/>
    <x v="0"/>
    <n v="2"/>
    <n v="2"/>
    <s v="Marketing"/>
    <n v="1"/>
    <n v="1125"/>
    <n v="4"/>
    <x v="1"/>
    <n v="32"/>
    <n v="3"/>
    <n v="3"/>
    <x v="0"/>
    <n v="2"/>
    <s v="Single"/>
    <n v="7351"/>
    <n v="20619"/>
    <n v="7"/>
    <s v="Y"/>
    <x v="1"/>
    <n v="16"/>
    <n v="3"/>
    <n v="3"/>
    <n v="80"/>
    <n v="0"/>
    <n v="10"/>
    <n v="2"/>
    <n v="3"/>
    <n v="1"/>
    <x v="1"/>
    <n v="0"/>
    <n v="0"/>
    <n v="0"/>
    <x v="1"/>
    <n v="0"/>
  </r>
  <r>
    <n v="43"/>
    <x v="0"/>
    <x v="1"/>
    <x v="1"/>
    <n v="1082"/>
    <x v="1"/>
    <n v="27"/>
    <n v="3"/>
    <s v="Life Sciences"/>
    <n v="1"/>
    <n v="1126"/>
    <n v="3"/>
    <x v="0"/>
    <n v="83"/>
    <n v="3"/>
    <n v="3"/>
    <x v="3"/>
    <n v="1"/>
    <s v="Married"/>
    <n v="10820"/>
    <n v="11535"/>
    <n v="8"/>
    <s v="Y"/>
    <x v="1"/>
    <n v="11"/>
    <n v="3"/>
    <n v="3"/>
    <n v="80"/>
    <n v="1"/>
    <n v="18"/>
    <n v="1"/>
    <n v="3"/>
    <n v="8"/>
    <x v="0"/>
    <n v="7"/>
    <n v="0"/>
    <n v="1"/>
    <x v="3"/>
    <n v="0"/>
  </r>
  <r>
    <n v="39"/>
    <x v="1"/>
    <x v="0"/>
    <x v="1"/>
    <n v="203"/>
    <x v="1"/>
    <n v="2"/>
    <n v="3"/>
    <s v="Life Sciences"/>
    <n v="1"/>
    <n v="1127"/>
    <n v="1"/>
    <x v="1"/>
    <n v="84"/>
    <n v="3"/>
    <n v="4"/>
    <x v="4"/>
    <n v="4"/>
    <s v="Divorced"/>
    <n v="12169"/>
    <n v="13547"/>
    <n v="7"/>
    <s v="Y"/>
    <x v="1"/>
    <n v="11"/>
    <n v="3"/>
    <n v="4"/>
    <n v="80"/>
    <n v="3"/>
    <n v="21"/>
    <n v="4"/>
    <n v="3"/>
    <n v="18"/>
    <x v="3"/>
    <n v="7"/>
    <n v="11"/>
    <n v="5"/>
    <x v="0"/>
    <n v="1"/>
  </r>
  <r>
    <n v="40"/>
    <x v="1"/>
    <x v="1"/>
    <x v="0"/>
    <n v="1308"/>
    <x v="1"/>
    <n v="14"/>
    <n v="3"/>
    <s v="Medical"/>
    <n v="1"/>
    <n v="1128"/>
    <n v="3"/>
    <x v="1"/>
    <n v="44"/>
    <n v="2"/>
    <n v="5"/>
    <x v="7"/>
    <n v="3"/>
    <s v="Single"/>
    <n v="19626"/>
    <n v="17544"/>
    <n v="1"/>
    <s v="Y"/>
    <x v="1"/>
    <n v="14"/>
    <n v="3"/>
    <n v="1"/>
    <n v="80"/>
    <n v="0"/>
    <n v="21"/>
    <n v="2"/>
    <n v="4"/>
    <n v="20"/>
    <x v="3"/>
    <n v="7"/>
    <n v="4"/>
    <n v="9"/>
    <x v="2"/>
    <n v="0"/>
  </r>
  <r>
    <n v="21"/>
    <x v="2"/>
    <x v="1"/>
    <x v="0"/>
    <n v="984"/>
    <x v="1"/>
    <n v="1"/>
    <n v="1"/>
    <s v="Technical Degree"/>
    <n v="1"/>
    <n v="1131"/>
    <n v="4"/>
    <x v="0"/>
    <n v="70"/>
    <n v="2"/>
    <n v="1"/>
    <x v="1"/>
    <n v="2"/>
    <s v="Single"/>
    <n v="2070"/>
    <n v="25326"/>
    <n v="1"/>
    <s v="Y"/>
    <x v="0"/>
    <n v="11"/>
    <n v="3"/>
    <n v="3"/>
    <n v="80"/>
    <n v="0"/>
    <n v="2"/>
    <n v="6"/>
    <n v="4"/>
    <n v="2"/>
    <x v="1"/>
    <n v="2"/>
    <n v="2"/>
    <n v="2"/>
    <x v="1"/>
    <n v="0"/>
  </r>
  <r>
    <n v="39"/>
    <x v="1"/>
    <x v="1"/>
    <x v="2"/>
    <n v="439"/>
    <x v="1"/>
    <n v="9"/>
    <n v="3"/>
    <s v="Life Sciences"/>
    <n v="1"/>
    <n v="1132"/>
    <n v="3"/>
    <x v="1"/>
    <n v="70"/>
    <n v="3"/>
    <n v="2"/>
    <x v="2"/>
    <n v="2"/>
    <s v="Single"/>
    <n v="6782"/>
    <n v="8770"/>
    <n v="9"/>
    <s v="Y"/>
    <x v="1"/>
    <n v="15"/>
    <n v="3"/>
    <n v="3"/>
    <n v="80"/>
    <n v="0"/>
    <n v="9"/>
    <n v="2"/>
    <n v="2"/>
    <n v="5"/>
    <x v="2"/>
    <n v="4"/>
    <n v="0"/>
    <n v="3"/>
    <x v="1"/>
    <n v="0"/>
  </r>
  <r>
    <n v="36"/>
    <x v="1"/>
    <x v="1"/>
    <x v="2"/>
    <n v="217"/>
    <x v="1"/>
    <n v="18"/>
    <n v="4"/>
    <s v="Life Sciences"/>
    <n v="1"/>
    <n v="1133"/>
    <n v="1"/>
    <x v="1"/>
    <n v="78"/>
    <n v="3"/>
    <n v="2"/>
    <x v="3"/>
    <n v="4"/>
    <s v="Single"/>
    <n v="7779"/>
    <n v="23238"/>
    <n v="2"/>
    <s v="Y"/>
    <x v="1"/>
    <n v="20"/>
    <n v="4"/>
    <n v="1"/>
    <n v="80"/>
    <n v="0"/>
    <n v="18"/>
    <n v="0"/>
    <n v="3"/>
    <n v="11"/>
    <x v="3"/>
    <n v="9"/>
    <n v="0"/>
    <n v="9"/>
    <x v="0"/>
    <n v="0"/>
  </r>
  <r>
    <n v="31"/>
    <x v="1"/>
    <x v="1"/>
    <x v="1"/>
    <n v="793"/>
    <x v="0"/>
    <n v="20"/>
    <n v="3"/>
    <s v="Life Sciences"/>
    <n v="1"/>
    <n v="1135"/>
    <n v="3"/>
    <x v="1"/>
    <n v="67"/>
    <n v="4"/>
    <n v="1"/>
    <x v="6"/>
    <n v="4"/>
    <s v="Married"/>
    <n v="2791"/>
    <n v="21981"/>
    <n v="0"/>
    <s v="Y"/>
    <x v="1"/>
    <n v="12"/>
    <n v="3"/>
    <n v="1"/>
    <n v="80"/>
    <n v="1"/>
    <n v="3"/>
    <n v="4"/>
    <n v="3"/>
    <n v="2"/>
    <x v="1"/>
    <n v="2"/>
    <n v="2"/>
    <n v="2"/>
    <x v="0"/>
    <n v="0"/>
  </r>
  <r>
    <n v="28"/>
    <x v="2"/>
    <x v="1"/>
    <x v="0"/>
    <n v="1451"/>
    <x v="1"/>
    <n v="2"/>
    <n v="1"/>
    <s v="Life Sciences"/>
    <n v="1"/>
    <n v="1136"/>
    <n v="1"/>
    <x v="1"/>
    <n v="67"/>
    <n v="2"/>
    <n v="1"/>
    <x v="1"/>
    <n v="2"/>
    <s v="Married"/>
    <n v="3201"/>
    <n v="19911"/>
    <n v="0"/>
    <s v="Y"/>
    <x v="1"/>
    <n v="17"/>
    <n v="3"/>
    <n v="1"/>
    <n v="80"/>
    <n v="0"/>
    <n v="6"/>
    <n v="2"/>
    <n v="1"/>
    <n v="5"/>
    <x v="2"/>
    <n v="3"/>
    <n v="0"/>
    <n v="4"/>
    <x v="1"/>
    <n v="0"/>
  </r>
  <r>
    <n v="35"/>
    <x v="1"/>
    <x v="1"/>
    <x v="1"/>
    <n v="1182"/>
    <x v="0"/>
    <n v="11"/>
    <n v="2"/>
    <s v="Marketing"/>
    <n v="1"/>
    <n v="1137"/>
    <n v="4"/>
    <x v="1"/>
    <n v="54"/>
    <n v="3"/>
    <n v="2"/>
    <x v="0"/>
    <n v="4"/>
    <s v="Divorced"/>
    <n v="4968"/>
    <n v="18500"/>
    <n v="1"/>
    <s v="Y"/>
    <x v="1"/>
    <n v="11"/>
    <n v="3"/>
    <n v="4"/>
    <n v="80"/>
    <n v="1"/>
    <n v="5"/>
    <n v="3"/>
    <n v="3"/>
    <n v="5"/>
    <x v="2"/>
    <n v="2"/>
    <n v="0"/>
    <n v="2"/>
    <x v="0"/>
    <n v="0"/>
  </r>
  <r>
    <n v="49"/>
    <x v="0"/>
    <x v="1"/>
    <x v="0"/>
    <n v="174"/>
    <x v="0"/>
    <n v="8"/>
    <n v="4"/>
    <s v="Technical Degree"/>
    <n v="1"/>
    <n v="1138"/>
    <n v="4"/>
    <x v="1"/>
    <n v="56"/>
    <n v="2"/>
    <n v="4"/>
    <x v="0"/>
    <n v="2"/>
    <s v="Married"/>
    <n v="13120"/>
    <n v="11879"/>
    <n v="6"/>
    <s v="Y"/>
    <x v="1"/>
    <n v="17"/>
    <n v="3"/>
    <n v="2"/>
    <n v="80"/>
    <n v="1"/>
    <n v="22"/>
    <n v="3"/>
    <n v="3"/>
    <n v="9"/>
    <x v="0"/>
    <n v="8"/>
    <n v="2"/>
    <n v="3"/>
    <x v="1"/>
    <n v="0"/>
  </r>
  <r>
    <n v="34"/>
    <x v="1"/>
    <x v="1"/>
    <x v="1"/>
    <n v="1003"/>
    <x v="1"/>
    <n v="2"/>
    <n v="2"/>
    <s v="Life Sciences"/>
    <n v="1"/>
    <n v="1140"/>
    <n v="4"/>
    <x v="1"/>
    <n v="95"/>
    <n v="3"/>
    <n v="2"/>
    <x v="3"/>
    <n v="3"/>
    <s v="Single"/>
    <n v="4033"/>
    <n v="15834"/>
    <n v="2"/>
    <s v="Y"/>
    <x v="1"/>
    <n v="11"/>
    <n v="3"/>
    <n v="4"/>
    <n v="80"/>
    <n v="0"/>
    <n v="5"/>
    <n v="3"/>
    <n v="2"/>
    <n v="3"/>
    <x v="2"/>
    <n v="2"/>
    <n v="0"/>
    <n v="2"/>
    <x v="2"/>
    <n v="0"/>
  </r>
  <r>
    <n v="29"/>
    <x v="2"/>
    <x v="1"/>
    <x v="1"/>
    <n v="490"/>
    <x v="1"/>
    <n v="10"/>
    <n v="3"/>
    <s v="Life Sciences"/>
    <n v="1"/>
    <n v="1143"/>
    <n v="4"/>
    <x v="0"/>
    <n v="61"/>
    <n v="3"/>
    <n v="1"/>
    <x v="1"/>
    <n v="2"/>
    <s v="Divorced"/>
    <n v="3291"/>
    <n v="17940"/>
    <n v="0"/>
    <s v="Y"/>
    <x v="1"/>
    <n v="14"/>
    <n v="3"/>
    <n v="4"/>
    <n v="80"/>
    <n v="2"/>
    <n v="8"/>
    <n v="2"/>
    <n v="2"/>
    <n v="7"/>
    <x v="0"/>
    <n v="5"/>
    <n v="1"/>
    <n v="1"/>
    <x v="1"/>
    <n v="0"/>
  </r>
  <r>
    <n v="42"/>
    <x v="0"/>
    <x v="1"/>
    <x v="0"/>
    <n v="188"/>
    <x v="1"/>
    <n v="29"/>
    <n v="3"/>
    <s v="Medical"/>
    <n v="1"/>
    <n v="1148"/>
    <n v="2"/>
    <x v="1"/>
    <n v="56"/>
    <n v="1"/>
    <n v="2"/>
    <x v="2"/>
    <n v="4"/>
    <s v="Single"/>
    <n v="4272"/>
    <n v="9558"/>
    <n v="4"/>
    <s v="Y"/>
    <x v="1"/>
    <n v="19"/>
    <n v="3"/>
    <n v="1"/>
    <n v="80"/>
    <n v="0"/>
    <n v="16"/>
    <n v="3"/>
    <n v="3"/>
    <n v="1"/>
    <x v="1"/>
    <n v="0"/>
    <n v="0"/>
    <n v="0"/>
    <x v="0"/>
    <n v="0"/>
  </r>
  <r>
    <n v="29"/>
    <x v="2"/>
    <x v="1"/>
    <x v="0"/>
    <n v="718"/>
    <x v="1"/>
    <n v="8"/>
    <n v="1"/>
    <s v="Medical"/>
    <n v="1"/>
    <n v="1150"/>
    <n v="2"/>
    <x v="1"/>
    <n v="79"/>
    <n v="2"/>
    <n v="2"/>
    <x v="3"/>
    <n v="4"/>
    <s v="Married"/>
    <n v="5056"/>
    <n v="17689"/>
    <n v="1"/>
    <s v="Y"/>
    <x v="0"/>
    <n v="15"/>
    <n v="3"/>
    <n v="3"/>
    <n v="80"/>
    <n v="1"/>
    <n v="10"/>
    <n v="2"/>
    <n v="2"/>
    <n v="10"/>
    <x v="0"/>
    <n v="7"/>
    <n v="1"/>
    <n v="2"/>
    <x v="0"/>
    <n v="0"/>
  </r>
  <r>
    <n v="38"/>
    <x v="1"/>
    <x v="1"/>
    <x v="0"/>
    <n v="433"/>
    <x v="2"/>
    <n v="1"/>
    <n v="3"/>
    <s v="Human Resources"/>
    <n v="1"/>
    <n v="1152"/>
    <n v="3"/>
    <x v="1"/>
    <n v="37"/>
    <n v="4"/>
    <n v="1"/>
    <x v="8"/>
    <n v="3"/>
    <s v="Married"/>
    <n v="2844"/>
    <n v="6004"/>
    <n v="1"/>
    <s v="Y"/>
    <x v="1"/>
    <n v="13"/>
    <n v="3"/>
    <n v="4"/>
    <n v="80"/>
    <n v="1"/>
    <n v="7"/>
    <n v="2"/>
    <n v="4"/>
    <n v="7"/>
    <x v="0"/>
    <n v="6"/>
    <n v="5"/>
    <n v="0"/>
    <x v="2"/>
    <n v="0"/>
  </r>
  <r>
    <n v="28"/>
    <x v="2"/>
    <x v="1"/>
    <x v="1"/>
    <n v="773"/>
    <x v="1"/>
    <n v="6"/>
    <n v="3"/>
    <s v="Life Sciences"/>
    <n v="1"/>
    <n v="1154"/>
    <n v="3"/>
    <x v="1"/>
    <n v="39"/>
    <n v="2"/>
    <n v="1"/>
    <x v="1"/>
    <n v="3"/>
    <s v="Divorced"/>
    <n v="2703"/>
    <n v="22088"/>
    <n v="1"/>
    <s v="Y"/>
    <x v="0"/>
    <n v="14"/>
    <n v="3"/>
    <n v="4"/>
    <n v="80"/>
    <n v="1"/>
    <n v="3"/>
    <n v="2"/>
    <n v="3"/>
    <n v="3"/>
    <x v="2"/>
    <n v="1"/>
    <n v="0"/>
    <n v="2"/>
    <x v="2"/>
    <n v="0"/>
  </r>
  <r>
    <n v="18"/>
    <x v="2"/>
    <x v="0"/>
    <x v="2"/>
    <n v="247"/>
    <x v="1"/>
    <n v="8"/>
    <n v="1"/>
    <s v="Medical"/>
    <n v="1"/>
    <n v="1156"/>
    <n v="3"/>
    <x v="1"/>
    <n v="80"/>
    <n v="3"/>
    <n v="1"/>
    <x v="2"/>
    <n v="3"/>
    <s v="Single"/>
    <n v="1904"/>
    <n v="13556"/>
    <n v="1"/>
    <s v="Y"/>
    <x v="1"/>
    <n v="12"/>
    <n v="3"/>
    <n v="4"/>
    <n v="80"/>
    <n v="0"/>
    <n v="0"/>
    <n v="0"/>
    <n v="3"/>
    <n v="0"/>
    <x v="1"/>
    <n v="0"/>
    <n v="0"/>
    <n v="0"/>
    <x v="2"/>
    <n v="1"/>
  </r>
  <r>
    <n v="33"/>
    <x v="1"/>
    <x v="0"/>
    <x v="0"/>
    <n v="603"/>
    <x v="0"/>
    <n v="9"/>
    <n v="4"/>
    <s v="Marketing"/>
    <n v="1"/>
    <n v="1157"/>
    <n v="1"/>
    <x v="0"/>
    <n v="77"/>
    <n v="3"/>
    <n v="2"/>
    <x v="0"/>
    <n v="1"/>
    <s v="Single"/>
    <n v="8224"/>
    <n v="18385"/>
    <n v="0"/>
    <s v="Y"/>
    <x v="0"/>
    <n v="17"/>
    <n v="3"/>
    <n v="1"/>
    <n v="80"/>
    <n v="0"/>
    <n v="6"/>
    <n v="3"/>
    <n v="3"/>
    <n v="5"/>
    <x v="2"/>
    <n v="2"/>
    <n v="0"/>
    <n v="3"/>
    <x v="3"/>
    <n v="1"/>
  </r>
  <r>
    <n v="41"/>
    <x v="0"/>
    <x v="1"/>
    <x v="0"/>
    <n v="167"/>
    <x v="1"/>
    <n v="12"/>
    <n v="4"/>
    <s v="Life Sciences"/>
    <n v="1"/>
    <n v="1158"/>
    <n v="2"/>
    <x v="1"/>
    <n v="46"/>
    <n v="3"/>
    <n v="1"/>
    <x v="2"/>
    <n v="4"/>
    <s v="Married"/>
    <n v="4766"/>
    <n v="9051"/>
    <n v="3"/>
    <s v="Y"/>
    <x v="0"/>
    <n v="11"/>
    <n v="3"/>
    <n v="1"/>
    <n v="80"/>
    <n v="1"/>
    <n v="6"/>
    <n v="4"/>
    <n v="3"/>
    <n v="1"/>
    <x v="1"/>
    <n v="0"/>
    <n v="0"/>
    <n v="0"/>
    <x v="0"/>
    <n v="0"/>
  </r>
  <r>
    <n v="31"/>
    <x v="1"/>
    <x v="0"/>
    <x v="1"/>
    <n v="874"/>
    <x v="1"/>
    <n v="15"/>
    <n v="3"/>
    <s v="Medical"/>
    <n v="1"/>
    <n v="1160"/>
    <n v="3"/>
    <x v="1"/>
    <n v="72"/>
    <n v="3"/>
    <n v="1"/>
    <x v="2"/>
    <n v="3"/>
    <s v="Married"/>
    <n v="2610"/>
    <n v="6233"/>
    <n v="1"/>
    <s v="Y"/>
    <x v="1"/>
    <n v="12"/>
    <n v="3"/>
    <n v="3"/>
    <n v="80"/>
    <n v="1"/>
    <n v="2"/>
    <n v="5"/>
    <n v="2"/>
    <n v="2"/>
    <x v="1"/>
    <n v="2"/>
    <n v="2"/>
    <n v="2"/>
    <x v="2"/>
    <n v="1"/>
  </r>
  <r>
    <n v="37"/>
    <x v="1"/>
    <x v="1"/>
    <x v="0"/>
    <n v="367"/>
    <x v="1"/>
    <n v="25"/>
    <n v="2"/>
    <s v="Medical"/>
    <n v="1"/>
    <n v="1161"/>
    <n v="3"/>
    <x v="0"/>
    <n v="52"/>
    <n v="2"/>
    <n v="2"/>
    <x v="4"/>
    <n v="4"/>
    <s v="Divorced"/>
    <n v="5731"/>
    <n v="17171"/>
    <n v="7"/>
    <s v="Y"/>
    <x v="1"/>
    <n v="13"/>
    <n v="3"/>
    <n v="3"/>
    <n v="80"/>
    <n v="2"/>
    <n v="9"/>
    <n v="2"/>
    <n v="3"/>
    <n v="6"/>
    <x v="0"/>
    <n v="2"/>
    <n v="1"/>
    <n v="3"/>
    <x v="0"/>
    <n v="0"/>
  </r>
  <r>
    <n v="27"/>
    <x v="2"/>
    <x v="1"/>
    <x v="0"/>
    <n v="199"/>
    <x v="1"/>
    <n v="6"/>
    <n v="3"/>
    <s v="Life Sciences"/>
    <n v="1"/>
    <n v="1162"/>
    <n v="4"/>
    <x v="1"/>
    <n v="55"/>
    <n v="2"/>
    <n v="1"/>
    <x v="1"/>
    <n v="3"/>
    <s v="Married"/>
    <n v="2539"/>
    <n v="7950"/>
    <n v="1"/>
    <s v="Y"/>
    <x v="1"/>
    <n v="13"/>
    <n v="3"/>
    <n v="3"/>
    <n v="80"/>
    <n v="1"/>
    <n v="4"/>
    <n v="0"/>
    <n v="3"/>
    <n v="4"/>
    <x v="2"/>
    <n v="2"/>
    <n v="2"/>
    <n v="2"/>
    <x v="2"/>
    <n v="0"/>
  </r>
  <r>
    <n v="34"/>
    <x v="1"/>
    <x v="1"/>
    <x v="0"/>
    <n v="1400"/>
    <x v="0"/>
    <n v="9"/>
    <n v="1"/>
    <s v="Life Sciences"/>
    <n v="1"/>
    <n v="1163"/>
    <n v="2"/>
    <x v="0"/>
    <n v="70"/>
    <n v="3"/>
    <n v="2"/>
    <x v="0"/>
    <n v="3"/>
    <s v="Married"/>
    <n v="5714"/>
    <n v="5829"/>
    <n v="1"/>
    <s v="Y"/>
    <x v="1"/>
    <n v="20"/>
    <n v="4"/>
    <n v="1"/>
    <n v="80"/>
    <n v="0"/>
    <n v="6"/>
    <n v="3"/>
    <n v="2"/>
    <n v="6"/>
    <x v="0"/>
    <n v="5"/>
    <n v="1"/>
    <n v="3"/>
    <x v="2"/>
    <n v="0"/>
  </r>
  <r>
    <n v="35"/>
    <x v="1"/>
    <x v="1"/>
    <x v="0"/>
    <n v="528"/>
    <x v="2"/>
    <n v="8"/>
    <n v="4"/>
    <s v="Technical Degree"/>
    <n v="1"/>
    <n v="1164"/>
    <n v="3"/>
    <x v="1"/>
    <n v="100"/>
    <n v="3"/>
    <n v="1"/>
    <x v="8"/>
    <n v="3"/>
    <s v="Single"/>
    <n v="4323"/>
    <n v="7108"/>
    <n v="1"/>
    <s v="Y"/>
    <x v="1"/>
    <n v="17"/>
    <n v="3"/>
    <n v="2"/>
    <n v="80"/>
    <n v="0"/>
    <n v="6"/>
    <n v="2"/>
    <n v="1"/>
    <n v="5"/>
    <x v="2"/>
    <n v="4"/>
    <n v="1"/>
    <n v="4"/>
    <x v="2"/>
    <n v="0"/>
  </r>
  <r>
    <n v="29"/>
    <x v="2"/>
    <x v="0"/>
    <x v="0"/>
    <n v="408"/>
    <x v="0"/>
    <n v="23"/>
    <n v="1"/>
    <s v="Life Sciences"/>
    <n v="1"/>
    <n v="1165"/>
    <n v="4"/>
    <x v="0"/>
    <n v="45"/>
    <n v="2"/>
    <n v="3"/>
    <x v="0"/>
    <n v="1"/>
    <s v="Married"/>
    <n v="7336"/>
    <n v="11162"/>
    <n v="1"/>
    <s v="Y"/>
    <x v="1"/>
    <n v="13"/>
    <n v="3"/>
    <n v="1"/>
    <n v="80"/>
    <n v="1"/>
    <n v="11"/>
    <n v="3"/>
    <n v="1"/>
    <n v="11"/>
    <x v="3"/>
    <n v="8"/>
    <n v="3"/>
    <n v="10"/>
    <x v="3"/>
    <n v="1"/>
  </r>
  <r>
    <n v="40"/>
    <x v="1"/>
    <x v="1"/>
    <x v="1"/>
    <n v="593"/>
    <x v="1"/>
    <n v="9"/>
    <n v="4"/>
    <s v="Medical"/>
    <n v="1"/>
    <n v="1166"/>
    <n v="2"/>
    <x v="0"/>
    <n v="88"/>
    <n v="3"/>
    <n v="3"/>
    <x v="7"/>
    <n v="3"/>
    <s v="Single"/>
    <n v="13499"/>
    <n v="13782"/>
    <n v="9"/>
    <s v="Y"/>
    <x v="1"/>
    <n v="17"/>
    <n v="3"/>
    <n v="3"/>
    <n v="80"/>
    <n v="0"/>
    <n v="20"/>
    <n v="3"/>
    <n v="2"/>
    <n v="18"/>
    <x v="3"/>
    <n v="7"/>
    <n v="2"/>
    <n v="13"/>
    <x v="2"/>
    <n v="0"/>
  </r>
  <r>
    <n v="42"/>
    <x v="0"/>
    <x v="0"/>
    <x v="1"/>
    <n v="481"/>
    <x v="0"/>
    <n v="12"/>
    <n v="3"/>
    <s v="Life Sciences"/>
    <n v="1"/>
    <n v="1167"/>
    <n v="3"/>
    <x v="1"/>
    <n v="44"/>
    <n v="3"/>
    <n v="4"/>
    <x v="0"/>
    <n v="1"/>
    <s v="Single"/>
    <n v="13758"/>
    <n v="2447"/>
    <n v="0"/>
    <s v="Y"/>
    <x v="0"/>
    <n v="12"/>
    <n v="3"/>
    <n v="2"/>
    <n v="80"/>
    <n v="0"/>
    <n v="22"/>
    <n v="2"/>
    <n v="2"/>
    <n v="21"/>
    <x v="3"/>
    <n v="9"/>
    <n v="13"/>
    <n v="14"/>
    <x v="3"/>
    <n v="1"/>
  </r>
  <r>
    <n v="42"/>
    <x v="0"/>
    <x v="1"/>
    <x v="0"/>
    <n v="647"/>
    <x v="0"/>
    <n v="4"/>
    <n v="4"/>
    <s v="Marketing"/>
    <n v="1"/>
    <n v="1171"/>
    <n v="2"/>
    <x v="1"/>
    <n v="45"/>
    <n v="3"/>
    <n v="2"/>
    <x v="0"/>
    <n v="1"/>
    <s v="Single"/>
    <n v="5155"/>
    <n v="2253"/>
    <n v="7"/>
    <s v="Y"/>
    <x v="1"/>
    <n v="13"/>
    <n v="3"/>
    <n v="4"/>
    <n v="80"/>
    <n v="0"/>
    <n v="9"/>
    <n v="3"/>
    <n v="4"/>
    <n v="6"/>
    <x v="0"/>
    <n v="4"/>
    <n v="1"/>
    <n v="5"/>
    <x v="3"/>
    <n v="0"/>
  </r>
  <r>
    <n v="35"/>
    <x v="1"/>
    <x v="1"/>
    <x v="0"/>
    <n v="982"/>
    <x v="1"/>
    <n v="1"/>
    <n v="4"/>
    <s v="Medical"/>
    <n v="1"/>
    <n v="1172"/>
    <n v="4"/>
    <x v="1"/>
    <n v="58"/>
    <n v="2"/>
    <n v="1"/>
    <x v="2"/>
    <n v="3"/>
    <s v="Married"/>
    <n v="2258"/>
    <n v="16340"/>
    <n v="6"/>
    <s v="Y"/>
    <x v="1"/>
    <n v="12"/>
    <n v="3"/>
    <n v="2"/>
    <n v="80"/>
    <n v="1"/>
    <n v="10"/>
    <n v="2"/>
    <n v="3"/>
    <n v="8"/>
    <x v="0"/>
    <n v="0"/>
    <n v="1"/>
    <n v="7"/>
    <x v="2"/>
    <n v="0"/>
  </r>
  <r>
    <n v="24"/>
    <x v="2"/>
    <x v="1"/>
    <x v="0"/>
    <n v="477"/>
    <x v="1"/>
    <n v="24"/>
    <n v="3"/>
    <s v="Medical"/>
    <n v="1"/>
    <n v="1173"/>
    <n v="4"/>
    <x v="1"/>
    <n v="49"/>
    <n v="3"/>
    <n v="1"/>
    <x v="2"/>
    <n v="2"/>
    <s v="Single"/>
    <n v="3597"/>
    <n v="6409"/>
    <n v="8"/>
    <s v="Y"/>
    <x v="1"/>
    <n v="22"/>
    <n v="4"/>
    <n v="4"/>
    <n v="80"/>
    <n v="0"/>
    <n v="6"/>
    <n v="2"/>
    <n v="3"/>
    <n v="4"/>
    <x v="2"/>
    <n v="3"/>
    <n v="1"/>
    <n v="2"/>
    <x v="1"/>
    <n v="0"/>
  </r>
  <r>
    <n v="28"/>
    <x v="2"/>
    <x v="0"/>
    <x v="0"/>
    <n v="1485"/>
    <x v="1"/>
    <n v="12"/>
    <n v="1"/>
    <s v="Life Sciences"/>
    <n v="1"/>
    <n v="1175"/>
    <n v="3"/>
    <x v="0"/>
    <n v="79"/>
    <n v="3"/>
    <n v="1"/>
    <x v="2"/>
    <n v="4"/>
    <s v="Married"/>
    <n v="2515"/>
    <n v="22955"/>
    <n v="1"/>
    <s v="Y"/>
    <x v="0"/>
    <n v="11"/>
    <n v="3"/>
    <n v="4"/>
    <n v="80"/>
    <n v="0"/>
    <n v="1"/>
    <n v="4"/>
    <n v="2"/>
    <n v="1"/>
    <x v="1"/>
    <n v="1"/>
    <n v="0"/>
    <n v="0"/>
    <x v="0"/>
    <n v="1"/>
  </r>
  <r>
    <n v="26"/>
    <x v="2"/>
    <x v="1"/>
    <x v="0"/>
    <n v="1384"/>
    <x v="1"/>
    <n v="3"/>
    <n v="4"/>
    <s v="Medical"/>
    <n v="1"/>
    <n v="1177"/>
    <n v="1"/>
    <x v="1"/>
    <n v="82"/>
    <n v="4"/>
    <n v="1"/>
    <x v="2"/>
    <n v="4"/>
    <s v="Married"/>
    <n v="4420"/>
    <n v="13421"/>
    <n v="1"/>
    <s v="Y"/>
    <x v="1"/>
    <n v="22"/>
    <n v="4"/>
    <n v="2"/>
    <n v="80"/>
    <n v="1"/>
    <n v="8"/>
    <n v="2"/>
    <n v="3"/>
    <n v="8"/>
    <x v="0"/>
    <n v="7"/>
    <n v="0"/>
    <n v="7"/>
    <x v="0"/>
    <n v="0"/>
  </r>
  <r>
    <n v="30"/>
    <x v="1"/>
    <x v="1"/>
    <x v="0"/>
    <n v="852"/>
    <x v="0"/>
    <n v="10"/>
    <n v="3"/>
    <s v="Marketing"/>
    <n v="1"/>
    <n v="1179"/>
    <n v="3"/>
    <x v="1"/>
    <n v="72"/>
    <n v="2"/>
    <n v="2"/>
    <x v="0"/>
    <n v="3"/>
    <s v="Married"/>
    <n v="6578"/>
    <n v="2706"/>
    <n v="1"/>
    <s v="Y"/>
    <x v="1"/>
    <n v="18"/>
    <n v="3"/>
    <n v="1"/>
    <n v="80"/>
    <n v="1"/>
    <n v="10"/>
    <n v="3"/>
    <n v="3"/>
    <n v="10"/>
    <x v="0"/>
    <n v="3"/>
    <n v="1"/>
    <n v="4"/>
    <x v="2"/>
    <n v="0"/>
  </r>
  <r>
    <n v="40"/>
    <x v="1"/>
    <x v="1"/>
    <x v="1"/>
    <n v="902"/>
    <x v="1"/>
    <n v="26"/>
    <n v="2"/>
    <s v="Medical"/>
    <n v="1"/>
    <n v="1180"/>
    <n v="3"/>
    <x v="0"/>
    <n v="92"/>
    <n v="2"/>
    <n v="2"/>
    <x v="1"/>
    <n v="4"/>
    <s v="Married"/>
    <n v="4422"/>
    <n v="21203"/>
    <n v="3"/>
    <s v="Y"/>
    <x v="0"/>
    <n v="13"/>
    <n v="3"/>
    <n v="4"/>
    <n v="80"/>
    <n v="1"/>
    <n v="16"/>
    <n v="3"/>
    <n v="1"/>
    <n v="1"/>
    <x v="1"/>
    <n v="1"/>
    <n v="0"/>
    <n v="0"/>
    <x v="0"/>
    <n v="0"/>
  </r>
  <r>
    <n v="35"/>
    <x v="1"/>
    <x v="1"/>
    <x v="0"/>
    <n v="819"/>
    <x v="1"/>
    <n v="2"/>
    <n v="3"/>
    <s v="Life Sciences"/>
    <n v="1"/>
    <n v="1182"/>
    <n v="3"/>
    <x v="1"/>
    <n v="44"/>
    <n v="2"/>
    <n v="3"/>
    <x v="3"/>
    <n v="2"/>
    <s v="Divorced"/>
    <n v="10274"/>
    <n v="19588"/>
    <n v="2"/>
    <s v="Y"/>
    <x v="1"/>
    <n v="18"/>
    <n v="3"/>
    <n v="2"/>
    <n v="80"/>
    <n v="1"/>
    <n v="15"/>
    <n v="2"/>
    <n v="4"/>
    <n v="7"/>
    <x v="0"/>
    <n v="7"/>
    <n v="6"/>
    <n v="4"/>
    <x v="1"/>
    <n v="0"/>
  </r>
  <r>
    <n v="34"/>
    <x v="1"/>
    <x v="1"/>
    <x v="1"/>
    <n v="669"/>
    <x v="1"/>
    <n v="1"/>
    <n v="3"/>
    <s v="Medical"/>
    <n v="1"/>
    <n v="1184"/>
    <n v="4"/>
    <x v="1"/>
    <n v="97"/>
    <n v="2"/>
    <n v="2"/>
    <x v="4"/>
    <n v="1"/>
    <s v="Single"/>
    <n v="5343"/>
    <n v="25755"/>
    <n v="0"/>
    <s v="Y"/>
    <x v="1"/>
    <n v="20"/>
    <n v="4"/>
    <n v="3"/>
    <n v="80"/>
    <n v="0"/>
    <n v="14"/>
    <n v="3"/>
    <n v="3"/>
    <n v="13"/>
    <x v="3"/>
    <n v="9"/>
    <n v="4"/>
    <n v="9"/>
    <x v="3"/>
    <n v="0"/>
  </r>
  <r>
    <n v="35"/>
    <x v="1"/>
    <x v="1"/>
    <x v="1"/>
    <n v="636"/>
    <x v="1"/>
    <n v="4"/>
    <n v="4"/>
    <s v="Other"/>
    <n v="1"/>
    <n v="1185"/>
    <n v="4"/>
    <x v="1"/>
    <n v="47"/>
    <n v="2"/>
    <n v="1"/>
    <x v="2"/>
    <n v="4"/>
    <s v="Married"/>
    <n v="2376"/>
    <n v="26537"/>
    <n v="1"/>
    <s v="Y"/>
    <x v="1"/>
    <n v="13"/>
    <n v="3"/>
    <n v="2"/>
    <n v="80"/>
    <n v="1"/>
    <n v="2"/>
    <n v="2"/>
    <n v="4"/>
    <n v="2"/>
    <x v="1"/>
    <n v="2"/>
    <n v="2"/>
    <n v="2"/>
    <x v="0"/>
    <n v="0"/>
  </r>
  <r>
    <n v="43"/>
    <x v="0"/>
    <x v="0"/>
    <x v="0"/>
    <n v="1372"/>
    <x v="0"/>
    <n v="9"/>
    <n v="3"/>
    <s v="Marketing"/>
    <n v="1"/>
    <n v="1188"/>
    <n v="1"/>
    <x v="0"/>
    <n v="85"/>
    <n v="1"/>
    <n v="2"/>
    <x v="0"/>
    <n v="3"/>
    <s v="Single"/>
    <n v="5346"/>
    <n v="9489"/>
    <n v="8"/>
    <s v="Y"/>
    <x v="1"/>
    <n v="13"/>
    <n v="3"/>
    <n v="2"/>
    <n v="80"/>
    <n v="0"/>
    <n v="7"/>
    <n v="2"/>
    <n v="2"/>
    <n v="4"/>
    <x v="2"/>
    <n v="3"/>
    <n v="1"/>
    <n v="3"/>
    <x v="2"/>
    <n v="1"/>
  </r>
  <r>
    <n v="32"/>
    <x v="1"/>
    <x v="1"/>
    <x v="2"/>
    <n v="862"/>
    <x v="0"/>
    <n v="2"/>
    <n v="1"/>
    <s v="Life Sciences"/>
    <n v="1"/>
    <n v="1190"/>
    <n v="3"/>
    <x v="0"/>
    <n v="76"/>
    <n v="3"/>
    <n v="1"/>
    <x v="6"/>
    <n v="1"/>
    <s v="Divorced"/>
    <n v="2827"/>
    <n v="14947"/>
    <n v="1"/>
    <s v="Y"/>
    <x v="1"/>
    <n v="12"/>
    <n v="3"/>
    <n v="3"/>
    <n v="80"/>
    <n v="3"/>
    <n v="1"/>
    <n v="3"/>
    <n v="3"/>
    <n v="1"/>
    <x v="1"/>
    <n v="0"/>
    <n v="0"/>
    <n v="0"/>
    <x v="3"/>
    <n v="0"/>
  </r>
  <r>
    <n v="56"/>
    <x v="3"/>
    <x v="1"/>
    <x v="0"/>
    <n v="718"/>
    <x v="1"/>
    <n v="4"/>
    <n v="4"/>
    <s v="Technical Degree"/>
    <n v="1"/>
    <n v="1191"/>
    <n v="4"/>
    <x v="0"/>
    <n v="92"/>
    <n v="3"/>
    <n v="5"/>
    <x v="5"/>
    <n v="1"/>
    <s v="Divorced"/>
    <n v="19943"/>
    <n v="18575"/>
    <n v="4"/>
    <s v="Y"/>
    <x v="1"/>
    <n v="13"/>
    <n v="3"/>
    <n v="4"/>
    <n v="80"/>
    <n v="1"/>
    <n v="28"/>
    <n v="2"/>
    <n v="3"/>
    <n v="5"/>
    <x v="2"/>
    <n v="2"/>
    <n v="4"/>
    <n v="2"/>
    <x v="3"/>
    <n v="0"/>
  </r>
  <r>
    <n v="29"/>
    <x v="2"/>
    <x v="1"/>
    <x v="0"/>
    <n v="1401"/>
    <x v="1"/>
    <n v="6"/>
    <n v="1"/>
    <s v="Medical"/>
    <n v="1"/>
    <n v="1192"/>
    <n v="2"/>
    <x v="0"/>
    <n v="54"/>
    <n v="3"/>
    <n v="1"/>
    <x v="2"/>
    <n v="4"/>
    <s v="Married"/>
    <n v="3131"/>
    <n v="26342"/>
    <n v="1"/>
    <s v="Y"/>
    <x v="1"/>
    <n v="13"/>
    <n v="3"/>
    <n v="1"/>
    <n v="80"/>
    <n v="1"/>
    <n v="10"/>
    <n v="5"/>
    <n v="3"/>
    <n v="10"/>
    <x v="0"/>
    <n v="8"/>
    <n v="0"/>
    <n v="8"/>
    <x v="0"/>
    <n v="0"/>
  </r>
  <r>
    <n v="19"/>
    <x v="2"/>
    <x v="1"/>
    <x v="0"/>
    <n v="645"/>
    <x v="1"/>
    <n v="9"/>
    <n v="2"/>
    <s v="Life Sciences"/>
    <n v="1"/>
    <n v="1193"/>
    <n v="3"/>
    <x v="1"/>
    <n v="54"/>
    <n v="3"/>
    <n v="1"/>
    <x v="1"/>
    <n v="1"/>
    <s v="Single"/>
    <n v="2552"/>
    <n v="7172"/>
    <n v="1"/>
    <s v="Y"/>
    <x v="1"/>
    <n v="25"/>
    <n v="4"/>
    <n v="3"/>
    <n v="80"/>
    <n v="0"/>
    <n v="1"/>
    <n v="4"/>
    <n v="3"/>
    <n v="1"/>
    <x v="1"/>
    <n v="1"/>
    <n v="0"/>
    <n v="0"/>
    <x v="3"/>
    <n v="0"/>
  </r>
  <r>
    <n v="45"/>
    <x v="0"/>
    <x v="1"/>
    <x v="0"/>
    <n v="1457"/>
    <x v="1"/>
    <n v="7"/>
    <n v="3"/>
    <s v="Medical"/>
    <n v="1"/>
    <n v="1195"/>
    <n v="1"/>
    <x v="0"/>
    <n v="83"/>
    <n v="3"/>
    <n v="1"/>
    <x v="1"/>
    <n v="3"/>
    <s v="Married"/>
    <n v="4477"/>
    <n v="20100"/>
    <n v="4"/>
    <s v="Y"/>
    <x v="0"/>
    <n v="19"/>
    <n v="3"/>
    <n v="3"/>
    <n v="80"/>
    <n v="1"/>
    <n v="7"/>
    <n v="2"/>
    <n v="2"/>
    <n v="3"/>
    <x v="2"/>
    <n v="2"/>
    <n v="0"/>
    <n v="2"/>
    <x v="2"/>
    <n v="0"/>
  </r>
  <r>
    <n v="37"/>
    <x v="1"/>
    <x v="1"/>
    <x v="0"/>
    <n v="977"/>
    <x v="1"/>
    <n v="1"/>
    <n v="3"/>
    <s v="Life Sciences"/>
    <n v="1"/>
    <n v="1196"/>
    <n v="4"/>
    <x v="0"/>
    <n v="56"/>
    <n v="2"/>
    <n v="2"/>
    <x v="3"/>
    <n v="4"/>
    <s v="Married"/>
    <n v="6474"/>
    <n v="9961"/>
    <n v="1"/>
    <s v="Y"/>
    <x v="1"/>
    <n v="13"/>
    <n v="3"/>
    <n v="2"/>
    <n v="80"/>
    <n v="1"/>
    <n v="14"/>
    <n v="2"/>
    <n v="2"/>
    <n v="14"/>
    <x v="3"/>
    <n v="8"/>
    <n v="3"/>
    <n v="11"/>
    <x v="0"/>
    <n v="0"/>
  </r>
  <r>
    <n v="20"/>
    <x v="2"/>
    <x v="1"/>
    <x v="0"/>
    <n v="805"/>
    <x v="1"/>
    <n v="3"/>
    <n v="3"/>
    <s v="Life Sciences"/>
    <n v="1"/>
    <n v="1198"/>
    <n v="1"/>
    <x v="1"/>
    <n v="87"/>
    <n v="2"/>
    <n v="1"/>
    <x v="2"/>
    <n v="3"/>
    <s v="Single"/>
    <n v="3033"/>
    <n v="12828"/>
    <n v="1"/>
    <s v="Y"/>
    <x v="1"/>
    <n v="12"/>
    <n v="3"/>
    <n v="1"/>
    <n v="80"/>
    <n v="0"/>
    <n v="2"/>
    <n v="2"/>
    <n v="2"/>
    <n v="2"/>
    <x v="1"/>
    <n v="2"/>
    <n v="1"/>
    <n v="2"/>
    <x v="2"/>
    <n v="0"/>
  </r>
  <r>
    <n v="44"/>
    <x v="0"/>
    <x v="0"/>
    <x v="0"/>
    <n v="1097"/>
    <x v="1"/>
    <n v="10"/>
    <n v="4"/>
    <s v="Life Sciences"/>
    <n v="1"/>
    <n v="1200"/>
    <n v="3"/>
    <x v="1"/>
    <n v="96"/>
    <n v="3"/>
    <n v="1"/>
    <x v="1"/>
    <n v="3"/>
    <s v="Single"/>
    <n v="2936"/>
    <n v="10826"/>
    <n v="1"/>
    <s v="Y"/>
    <x v="0"/>
    <n v="11"/>
    <n v="3"/>
    <n v="3"/>
    <n v="80"/>
    <n v="0"/>
    <n v="6"/>
    <n v="4"/>
    <n v="3"/>
    <n v="6"/>
    <x v="0"/>
    <n v="4"/>
    <n v="0"/>
    <n v="2"/>
    <x v="2"/>
    <n v="1"/>
  </r>
  <r>
    <n v="53"/>
    <x v="3"/>
    <x v="1"/>
    <x v="0"/>
    <n v="1223"/>
    <x v="1"/>
    <n v="7"/>
    <n v="2"/>
    <s v="Medical"/>
    <n v="1"/>
    <n v="1201"/>
    <n v="4"/>
    <x v="0"/>
    <n v="50"/>
    <n v="3"/>
    <n v="5"/>
    <x v="5"/>
    <n v="3"/>
    <s v="Divorced"/>
    <n v="18606"/>
    <n v="18640"/>
    <n v="3"/>
    <s v="Y"/>
    <x v="1"/>
    <n v="18"/>
    <n v="3"/>
    <n v="2"/>
    <n v="80"/>
    <n v="1"/>
    <n v="26"/>
    <n v="6"/>
    <n v="3"/>
    <n v="7"/>
    <x v="0"/>
    <n v="7"/>
    <n v="4"/>
    <n v="7"/>
    <x v="2"/>
    <n v="0"/>
  </r>
  <r>
    <n v="29"/>
    <x v="2"/>
    <x v="1"/>
    <x v="0"/>
    <n v="942"/>
    <x v="1"/>
    <n v="15"/>
    <n v="1"/>
    <s v="Life Sciences"/>
    <n v="1"/>
    <n v="1202"/>
    <n v="2"/>
    <x v="0"/>
    <n v="69"/>
    <n v="1"/>
    <n v="1"/>
    <x v="1"/>
    <n v="4"/>
    <s v="Married"/>
    <n v="2168"/>
    <n v="26933"/>
    <n v="0"/>
    <s v="Y"/>
    <x v="0"/>
    <n v="18"/>
    <n v="3"/>
    <n v="1"/>
    <n v="80"/>
    <n v="1"/>
    <n v="6"/>
    <n v="2"/>
    <n v="2"/>
    <n v="5"/>
    <x v="2"/>
    <n v="4"/>
    <n v="1"/>
    <n v="3"/>
    <x v="0"/>
    <n v="0"/>
  </r>
  <r>
    <n v="22"/>
    <x v="2"/>
    <x v="0"/>
    <x v="1"/>
    <n v="1256"/>
    <x v="1"/>
    <n v="3"/>
    <n v="4"/>
    <s v="Life Sciences"/>
    <n v="1"/>
    <n v="1203"/>
    <n v="3"/>
    <x v="1"/>
    <n v="48"/>
    <n v="2"/>
    <n v="1"/>
    <x v="1"/>
    <n v="4"/>
    <s v="Married"/>
    <n v="2853"/>
    <n v="4223"/>
    <n v="0"/>
    <s v="Y"/>
    <x v="0"/>
    <n v="11"/>
    <n v="3"/>
    <n v="2"/>
    <n v="80"/>
    <n v="1"/>
    <n v="1"/>
    <n v="5"/>
    <n v="3"/>
    <n v="0"/>
    <x v="1"/>
    <n v="0"/>
    <n v="0"/>
    <n v="0"/>
    <x v="0"/>
    <n v="1"/>
  </r>
  <r>
    <n v="46"/>
    <x v="0"/>
    <x v="1"/>
    <x v="0"/>
    <n v="1402"/>
    <x v="0"/>
    <n v="2"/>
    <n v="3"/>
    <s v="Marketing"/>
    <n v="1"/>
    <n v="1204"/>
    <n v="3"/>
    <x v="0"/>
    <n v="69"/>
    <n v="3"/>
    <n v="4"/>
    <x v="5"/>
    <n v="1"/>
    <s v="Married"/>
    <n v="17048"/>
    <n v="24097"/>
    <n v="8"/>
    <s v="Y"/>
    <x v="1"/>
    <n v="23"/>
    <n v="4"/>
    <n v="1"/>
    <n v="80"/>
    <n v="0"/>
    <n v="28"/>
    <n v="2"/>
    <n v="3"/>
    <n v="26"/>
    <x v="3"/>
    <n v="15"/>
    <n v="15"/>
    <n v="9"/>
    <x v="3"/>
    <n v="0"/>
  </r>
  <r>
    <n v="44"/>
    <x v="0"/>
    <x v="1"/>
    <x v="2"/>
    <n v="111"/>
    <x v="1"/>
    <n v="17"/>
    <n v="3"/>
    <s v="Life Sciences"/>
    <n v="1"/>
    <n v="1206"/>
    <n v="4"/>
    <x v="1"/>
    <n v="74"/>
    <n v="1"/>
    <n v="1"/>
    <x v="1"/>
    <n v="3"/>
    <s v="Single"/>
    <n v="2290"/>
    <n v="4279"/>
    <n v="2"/>
    <s v="Y"/>
    <x v="1"/>
    <n v="13"/>
    <n v="3"/>
    <n v="4"/>
    <n v="80"/>
    <n v="0"/>
    <n v="6"/>
    <n v="3"/>
    <n v="3"/>
    <n v="0"/>
    <x v="1"/>
    <n v="0"/>
    <n v="0"/>
    <n v="0"/>
    <x v="2"/>
    <n v="0"/>
  </r>
  <r>
    <n v="33"/>
    <x v="1"/>
    <x v="1"/>
    <x v="0"/>
    <n v="147"/>
    <x v="2"/>
    <n v="2"/>
    <n v="3"/>
    <s v="Human Resources"/>
    <n v="1"/>
    <n v="1207"/>
    <n v="2"/>
    <x v="1"/>
    <n v="99"/>
    <n v="3"/>
    <n v="1"/>
    <x v="8"/>
    <n v="3"/>
    <s v="Married"/>
    <n v="3600"/>
    <n v="8429"/>
    <n v="1"/>
    <s v="Y"/>
    <x v="1"/>
    <n v="13"/>
    <n v="3"/>
    <n v="4"/>
    <n v="80"/>
    <n v="1"/>
    <n v="5"/>
    <n v="2"/>
    <n v="3"/>
    <n v="5"/>
    <x v="2"/>
    <n v="4"/>
    <n v="1"/>
    <n v="4"/>
    <x v="2"/>
    <n v="0"/>
  </r>
  <r>
    <n v="41"/>
    <x v="0"/>
    <x v="0"/>
    <x v="2"/>
    <n v="906"/>
    <x v="1"/>
    <n v="5"/>
    <n v="2"/>
    <s v="Life Sciences"/>
    <n v="1"/>
    <n v="1210"/>
    <n v="1"/>
    <x v="1"/>
    <n v="95"/>
    <n v="2"/>
    <n v="1"/>
    <x v="1"/>
    <n v="1"/>
    <s v="Divorced"/>
    <n v="2107"/>
    <n v="20293"/>
    <n v="6"/>
    <s v="Y"/>
    <x v="1"/>
    <n v="17"/>
    <n v="3"/>
    <n v="1"/>
    <n v="80"/>
    <n v="1"/>
    <n v="5"/>
    <n v="2"/>
    <n v="1"/>
    <n v="1"/>
    <x v="1"/>
    <n v="0"/>
    <n v="0"/>
    <n v="0"/>
    <x v="3"/>
    <n v="1"/>
  </r>
  <r>
    <n v="30"/>
    <x v="1"/>
    <x v="1"/>
    <x v="0"/>
    <n v="1329"/>
    <x v="0"/>
    <n v="29"/>
    <n v="4"/>
    <s v="Life Sciences"/>
    <n v="1"/>
    <n v="1211"/>
    <n v="3"/>
    <x v="1"/>
    <n v="61"/>
    <n v="3"/>
    <n v="2"/>
    <x v="0"/>
    <n v="1"/>
    <s v="Divorced"/>
    <n v="4115"/>
    <n v="13192"/>
    <n v="8"/>
    <s v="Y"/>
    <x v="1"/>
    <n v="19"/>
    <n v="3"/>
    <n v="3"/>
    <n v="80"/>
    <n v="3"/>
    <n v="8"/>
    <n v="3"/>
    <n v="3"/>
    <n v="4"/>
    <x v="2"/>
    <n v="3"/>
    <n v="0"/>
    <n v="3"/>
    <x v="3"/>
    <n v="0"/>
  </r>
  <r>
    <n v="40"/>
    <x v="1"/>
    <x v="1"/>
    <x v="1"/>
    <n v="1184"/>
    <x v="0"/>
    <n v="2"/>
    <n v="4"/>
    <s v="Medical"/>
    <n v="1"/>
    <n v="1212"/>
    <n v="2"/>
    <x v="1"/>
    <n v="62"/>
    <n v="3"/>
    <n v="2"/>
    <x v="0"/>
    <n v="2"/>
    <s v="Married"/>
    <n v="4327"/>
    <n v="25440"/>
    <n v="5"/>
    <s v="Y"/>
    <x v="1"/>
    <n v="12"/>
    <n v="3"/>
    <n v="4"/>
    <n v="80"/>
    <n v="3"/>
    <n v="5"/>
    <n v="2"/>
    <n v="3"/>
    <n v="0"/>
    <x v="1"/>
    <n v="0"/>
    <n v="0"/>
    <n v="0"/>
    <x v="1"/>
    <n v="0"/>
  </r>
  <r>
    <n v="50"/>
    <x v="0"/>
    <x v="1"/>
    <x v="1"/>
    <n v="1421"/>
    <x v="1"/>
    <n v="2"/>
    <n v="3"/>
    <s v="Medical"/>
    <n v="1"/>
    <n v="1215"/>
    <n v="4"/>
    <x v="0"/>
    <n v="30"/>
    <n v="3"/>
    <n v="4"/>
    <x v="5"/>
    <n v="1"/>
    <s v="Married"/>
    <n v="17856"/>
    <n v="9490"/>
    <n v="2"/>
    <s v="Y"/>
    <x v="1"/>
    <n v="22"/>
    <n v="4"/>
    <n v="3"/>
    <n v="80"/>
    <n v="1"/>
    <n v="32"/>
    <n v="3"/>
    <n v="3"/>
    <n v="2"/>
    <x v="1"/>
    <n v="2"/>
    <n v="2"/>
    <n v="2"/>
    <x v="3"/>
    <n v="0"/>
  </r>
  <r>
    <n v="28"/>
    <x v="2"/>
    <x v="1"/>
    <x v="0"/>
    <n v="1179"/>
    <x v="1"/>
    <n v="19"/>
    <n v="4"/>
    <s v="Medical"/>
    <n v="1"/>
    <n v="1216"/>
    <n v="4"/>
    <x v="1"/>
    <n v="78"/>
    <n v="2"/>
    <n v="1"/>
    <x v="2"/>
    <n v="1"/>
    <s v="Married"/>
    <n v="3196"/>
    <n v="12449"/>
    <n v="1"/>
    <s v="Y"/>
    <x v="1"/>
    <n v="12"/>
    <n v="3"/>
    <n v="3"/>
    <n v="80"/>
    <n v="3"/>
    <n v="6"/>
    <n v="2"/>
    <n v="3"/>
    <n v="6"/>
    <x v="0"/>
    <n v="5"/>
    <n v="3"/>
    <n v="3"/>
    <x v="3"/>
    <n v="0"/>
  </r>
  <r>
    <n v="46"/>
    <x v="0"/>
    <x v="1"/>
    <x v="0"/>
    <n v="1450"/>
    <x v="1"/>
    <n v="15"/>
    <n v="2"/>
    <s v="Life Sciences"/>
    <n v="1"/>
    <n v="1217"/>
    <n v="4"/>
    <x v="1"/>
    <n v="52"/>
    <n v="3"/>
    <n v="5"/>
    <x v="7"/>
    <n v="2"/>
    <s v="Married"/>
    <n v="19081"/>
    <n v="10849"/>
    <n v="5"/>
    <s v="Y"/>
    <x v="1"/>
    <n v="11"/>
    <n v="3"/>
    <n v="1"/>
    <n v="80"/>
    <n v="1"/>
    <n v="25"/>
    <n v="2"/>
    <n v="3"/>
    <n v="4"/>
    <x v="2"/>
    <n v="2"/>
    <n v="0"/>
    <n v="3"/>
    <x v="1"/>
    <n v="0"/>
  </r>
  <r>
    <n v="35"/>
    <x v="1"/>
    <x v="1"/>
    <x v="0"/>
    <n v="1361"/>
    <x v="0"/>
    <n v="17"/>
    <n v="4"/>
    <s v="Life Sciences"/>
    <n v="1"/>
    <n v="1218"/>
    <n v="3"/>
    <x v="1"/>
    <n v="94"/>
    <n v="3"/>
    <n v="2"/>
    <x v="0"/>
    <n v="1"/>
    <s v="Married"/>
    <n v="8966"/>
    <n v="21026"/>
    <n v="3"/>
    <s v="Y"/>
    <x v="0"/>
    <n v="15"/>
    <n v="3"/>
    <n v="4"/>
    <n v="80"/>
    <n v="3"/>
    <n v="15"/>
    <n v="2"/>
    <n v="3"/>
    <n v="7"/>
    <x v="0"/>
    <n v="7"/>
    <n v="1"/>
    <n v="7"/>
    <x v="3"/>
    <n v="0"/>
  </r>
  <r>
    <n v="24"/>
    <x v="2"/>
    <x v="0"/>
    <x v="0"/>
    <n v="984"/>
    <x v="1"/>
    <n v="17"/>
    <n v="2"/>
    <s v="Life Sciences"/>
    <n v="1"/>
    <n v="1219"/>
    <n v="4"/>
    <x v="0"/>
    <n v="97"/>
    <n v="3"/>
    <n v="1"/>
    <x v="2"/>
    <n v="2"/>
    <s v="Married"/>
    <n v="2210"/>
    <n v="3372"/>
    <n v="1"/>
    <s v="Y"/>
    <x v="1"/>
    <n v="13"/>
    <n v="3"/>
    <n v="1"/>
    <n v="80"/>
    <n v="1"/>
    <n v="1"/>
    <n v="3"/>
    <n v="1"/>
    <n v="1"/>
    <x v="1"/>
    <n v="0"/>
    <n v="0"/>
    <n v="0"/>
    <x v="1"/>
    <n v="1"/>
  </r>
  <r>
    <n v="33"/>
    <x v="1"/>
    <x v="1"/>
    <x v="1"/>
    <n v="1146"/>
    <x v="0"/>
    <n v="25"/>
    <n v="3"/>
    <s v="Medical"/>
    <n v="1"/>
    <n v="1220"/>
    <n v="2"/>
    <x v="0"/>
    <n v="82"/>
    <n v="3"/>
    <n v="2"/>
    <x v="0"/>
    <n v="3"/>
    <s v="Married"/>
    <n v="4539"/>
    <n v="4905"/>
    <n v="1"/>
    <s v="Y"/>
    <x v="1"/>
    <n v="12"/>
    <n v="3"/>
    <n v="1"/>
    <n v="80"/>
    <n v="1"/>
    <n v="10"/>
    <n v="3"/>
    <n v="2"/>
    <n v="10"/>
    <x v="0"/>
    <n v="7"/>
    <n v="0"/>
    <n v="1"/>
    <x v="2"/>
    <n v="0"/>
  </r>
  <r>
    <n v="36"/>
    <x v="1"/>
    <x v="1"/>
    <x v="0"/>
    <n v="917"/>
    <x v="1"/>
    <n v="6"/>
    <n v="4"/>
    <s v="Life Sciences"/>
    <n v="1"/>
    <n v="1221"/>
    <n v="3"/>
    <x v="1"/>
    <n v="60"/>
    <n v="1"/>
    <n v="1"/>
    <x v="2"/>
    <n v="3"/>
    <s v="Divorced"/>
    <n v="2741"/>
    <n v="6865"/>
    <n v="1"/>
    <s v="Y"/>
    <x v="1"/>
    <n v="14"/>
    <n v="3"/>
    <n v="3"/>
    <n v="80"/>
    <n v="1"/>
    <n v="7"/>
    <n v="4"/>
    <n v="3"/>
    <n v="7"/>
    <x v="0"/>
    <n v="7"/>
    <n v="1"/>
    <n v="7"/>
    <x v="2"/>
    <n v="0"/>
  </r>
  <r>
    <n v="30"/>
    <x v="1"/>
    <x v="1"/>
    <x v="0"/>
    <n v="853"/>
    <x v="1"/>
    <n v="7"/>
    <n v="4"/>
    <s v="Life Sciences"/>
    <n v="1"/>
    <n v="1224"/>
    <n v="3"/>
    <x v="1"/>
    <n v="49"/>
    <n v="3"/>
    <n v="2"/>
    <x v="2"/>
    <n v="3"/>
    <s v="Divorced"/>
    <n v="3491"/>
    <n v="11309"/>
    <n v="1"/>
    <s v="Y"/>
    <x v="1"/>
    <n v="13"/>
    <n v="3"/>
    <n v="1"/>
    <n v="80"/>
    <n v="3"/>
    <n v="10"/>
    <n v="4"/>
    <n v="2"/>
    <n v="10"/>
    <x v="0"/>
    <n v="7"/>
    <n v="8"/>
    <n v="9"/>
    <x v="2"/>
    <n v="0"/>
  </r>
  <r>
    <n v="44"/>
    <x v="0"/>
    <x v="1"/>
    <x v="0"/>
    <n v="200"/>
    <x v="1"/>
    <n v="29"/>
    <n v="4"/>
    <s v="Other"/>
    <n v="1"/>
    <n v="1225"/>
    <n v="4"/>
    <x v="1"/>
    <n v="32"/>
    <n v="3"/>
    <n v="2"/>
    <x v="1"/>
    <n v="4"/>
    <s v="Single"/>
    <n v="4541"/>
    <n v="7744"/>
    <n v="1"/>
    <s v="Y"/>
    <x v="1"/>
    <n v="25"/>
    <n v="4"/>
    <n v="2"/>
    <n v="80"/>
    <n v="0"/>
    <n v="20"/>
    <n v="3"/>
    <n v="3"/>
    <n v="20"/>
    <x v="3"/>
    <n v="11"/>
    <n v="13"/>
    <n v="17"/>
    <x v="0"/>
    <n v="0"/>
  </r>
  <r>
    <n v="20"/>
    <x v="2"/>
    <x v="1"/>
    <x v="0"/>
    <n v="654"/>
    <x v="0"/>
    <n v="21"/>
    <n v="3"/>
    <s v="Marketing"/>
    <n v="1"/>
    <n v="1226"/>
    <n v="3"/>
    <x v="1"/>
    <n v="43"/>
    <n v="4"/>
    <n v="1"/>
    <x v="6"/>
    <n v="4"/>
    <s v="Single"/>
    <n v="2678"/>
    <n v="5050"/>
    <n v="1"/>
    <s v="Y"/>
    <x v="1"/>
    <n v="17"/>
    <n v="3"/>
    <n v="4"/>
    <n v="80"/>
    <n v="0"/>
    <n v="2"/>
    <n v="2"/>
    <n v="3"/>
    <n v="2"/>
    <x v="1"/>
    <n v="1"/>
    <n v="2"/>
    <n v="2"/>
    <x v="0"/>
    <n v="0"/>
  </r>
  <r>
    <n v="46"/>
    <x v="0"/>
    <x v="1"/>
    <x v="0"/>
    <n v="150"/>
    <x v="1"/>
    <n v="2"/>
    <n v="4"/>
    <s v="Technical Degree"/>
    <n v="1"/>
    <n v="1228"/>
    <n v="4"/>
    <x v="1"/>
    <n v="60"/>
    <n v="3"/>
    <n v="2"/>
    <x v="3"/>
    <n v="4"/>
    <s v="Divorced"/>
    <n v="7379"/>
    <n v="17433"/>
    <n v="2"/>
    <s v="Y"/>
    <x v="1"/>
    <n v="11"/>
    <n v="3"/>
    <n v="3"/>
    <n v="80"/>
    <n v="1"/>
    <n v="12"/>
    <n v="3"/>
    <n v="2"/>
    <n v="6"/>
    <x v="0"/>
    <n v="3"/>
    <n v="1"/>
    <n v="4"/>
    <x v="0"/>
    <n v="0"/>
  </r>
  <r>
    <n v="42"/>
    <x v="0"/>
    <x v="1"/>
    <x v="2"/>
    <n v="179"/>
    <x v="2"/>
    <n v="2"/>
    <n v="5"/>
    <s v="Medical"/>
    <n v="1"/>
    <n v="1231"/>
    <n v="4"/>
    <x v="1"/>
    <n v="79"/>
    <n v="4"/>
    <n v="2"/>
    <x v="8"/>
    <n v="1"/>
    <s v="Married"/>
    <n v="6272"/>
    <n v="12858"/>
    <n v="7"/>
    <s v="Y"/>
    <x v="1"/>
    <n v="16"/>
    <n v="3"/>
    <n v="1"/>
    <n v="80"/>
    <n v="1"/>
    <n v="10"/>
    <n v="3"/>
    <n v="4"/>
    <n v="4"/>
    <x v="2"/>
    <n v="3"/>
    <n v="0"/>
    <n v="3"/>
    <x v="3"/>
    <n v="0"/>
  </r>
  <r>
    <n v="60"/>
    <x v="3"/>
    <x v="1"/>
    <x v="0"/>
    <n v="696"/>
    <x v="0"/>
    <n v="7"/>
    <n v="4"/>
    <s v="Marketing"/>
    <n v="1"/>
    <n v="1233"/>
    <n v="2"/>
    <x v="1"/>
    <n v="52"/>
    <n v="4"/>
    <n v="2"/>
    <x v="0"/>
    <n v="4"/>
    <s v="Divorced"/>
    <n v="5220"/>
    <n v="10893"/>
    <n v="0"/>
    <s v="Y"/>
    <x v="0"/>
    <n v="18"/>
    <n v="3"/>
    <n v="2"/>
    <n v="80"/>
    <n v="1"/>
    <n v="12"/>
    <n v="3"/>
    <n v="3"/>
    <n v="11"/>
    <x v="3"/>
    <n v="7"/>
    <n v="1"/>
    <n v="9"/>
    <x v="0"/>
    <n v="0"/>
  </r>
  <r>
    <n v="32"/>
    <x v="1"/>
    <x v="1"/>
    <x v="1"/>
    <n v="116"/>
    <x v="1"/>
    <n v="13"/>
    <n v="3"/>
    <s v="Other"/>
    <n v="1"/>
    <n v="1234"/>
    <n v="3"/>
    <x v="0"/>
    <n v="77"/>
    <n v="2"/>
    <n v="1"/>
    <x v="2"/>
    <n v="2"/>
    <s v="Married"/>
    <n v="2743"/>
    <n v="7331"/>
    <n v="1"/>
    <s v="Y"/>
    <x v="1"/>
    <n v="20"/>
    <n v="4"/>
    <n v="3"/>
    <n v="80"/>
    <n v="1"/>
    <n v="2"/>
    <n v="2"/>
    <n v="3"/>
    <n v="2"/>
    <x v="1"/>
    <n v="2"/>
    <n v="2"/>
    <n v="2"/>
    <x v="1"/>
    <n v="0"/>
  </r>
  <r>
    <n v="32"/>
    <x v="1"/>
    <x v="1"/>
    <x v="1"/>
    <n v="1316"/>
    <x v="1"/>
    <n v="2"/>
    <n v="2"/>
    <s v="Life Sciences"/>
    <n v="1"/>
    <n v="1235"/>
    <n v="4"/>
    <x v="0"/>
    <n v="38"/>
    <n v="3"/>
    <n v="2"/>
    <x v="1"/>
    <n v="3"/>
    <s v="Single"/>
    <n v="4998"/>
    <n v="2338"/>
    <n v="4"/>
    <s v="Y"/>
    <x v="0"/>
    <n v="14"/>
    <n v="3"/>
    <n v="4"/>
    <n v="80"/>
    <n v="0"/>
    <n v="10"/>
    <n v="2"/>
    <n v="3"/>
    <n v="8"/>
    <x v="0"/>
    <n v="7"/>
    <n v="0"/>
    <n v="7"/>
    <x v="2"/>
    <n v="0"/>
  </r>
  <r>
    <n v="36"/>
    <x v="1"/>
    <x v="1"/>
    <x v="0"/>
    <n v="363"/>
    <x v="1"/>
    <n v="1"/>
    <n v="3"/>
    <s v="Technical Degree"/>
    <n v="1"/>
    <n v="1237"/>
    <n v="3"/>
    <x v="0"/>
    <n v="77"/>
    <n v="1"/>
    <n v="3"/>
    <x v="3"/>
    <n v="1"/>
    <s v="Divorced"/>
    <n v="10252"/>
    <n v="4235"/>
    <n v="2"/>
    <s v="Y"/>
    <x v="0"/>
    <n v="21"/>
    <n v="4"/>
    <n v="3"/>
    <n v="80"/>
    <n v="1"/>
    <n v="17"/>
    <n v="2"/>
    <n v="3"/>
    <n v="7"/>
    <x v="0"/>
    <n v="7"/>
    <n v="7"/>
    <n v="7"/>
    <x v="3"/>
    <n v="0"/>
  </r>
  <r>
    <n v="33"/>
    <x v="1"/>
    <x v="1"/>
    <x v="0"/>
    <n v="117"/>
    <x v="1"/>
    <n v="9"/>
    <n v="3"/>
    <s v="Medical"/>
    <n v="1"/>
    <n v="1238"/>
    <n v="1"/>
    <x v="1"/>
    <n v="60"/>
    <n v="3"/>
    <n v="1"/>
    <x v="1"/>
    <n v="4"/>
    <s v="Married"/>
    <n v="2781"/>
    <n v="6311"/>
    <n v="0"/>
    <s v="Y"/>
    <x v="1"/>
    <n v="13"/>
    <n v="3"/>
    <n v="2"/>
    <n v="80"/>
    <n v="1"/>
    <n v="15"/>
    <n v="5"/>
    <n v="3"/>
    <n v="14"/>
    <x v="3"/>
    <n v="10"/>
    <n v="4"/>
    <n v="10"/>
    <x v="0"/>
    <n v="0"/>
  </r>
  <r>
    <n v="40"/>
    <x v="1"/>
    <x v="1"/>
    <x v="0"/>
    <n v="107"/>
    <x v="0"/>
    <n v="10"/>
    <n v="3"/>
    <s v="Technical Degree"/>
    <n v="1"/>
    <n v="1239"/>
    <n v="2"/>
    <x v="0"/>
    <n v="84"/>
    <n v="2"/>
    <n v="2"/>
    <x v="0"/>
    <n v="2"/>
    <s v="Divorced"/>
    <n v="6852"/>
    <n v="11591"/>
    <n v="7"/>
    <s v="Y"/>
    <x v="1"/>
    <n v="12"/>
    <n v="3"/>
    <n v="2"/>
    <n v="80"/>
    <n v="1"/>
    <n v="7"/>
    <n v="2"/>
    <n v="4"/>
    <n v="5"/>
    <x v="2"/>
    <n v="1"/>
    <n v="1"/>
    <n v="3"/>
    <x v="1"/>
    <n v="0"/>
  </r>
  <r>
    <n v="25"/>
    <x v="2"/>
    <x v="1"/>
    <x v="0"/>
    <n v="1356"/>
    <x v="0"/>
    <n v="10"/>
    <n v="4"/>
    <s v="Life Sciences"/>
    <n v="1"/>
    <n v="1240"/>
    <n v="3"/>
    <x v="1"/>
    <n v="57"/>
    <n v="3"/>
    <n v="2"/>
    <x v="0"/>
    <n v="4"/>
    <s v="Single"/>
    <n v="4950"/>
    <n v="20623"/>
    <n v="0"/>
    <s v="Y"/>
    <x v="1"/>
    <n v="14"/>
    <n v="3"/>
    <n v="2"/>
    <n v="80"/>
    <n v="0"/>
    <n v="5"/>
    <n v="4"/>
    <n v="3"/>
    <n v="4"/>
    <x v="2"/>
    <n v="3"/>
    <n v="1"/>
    <n v="1"/>
    <x v="0"/>
    <n v="0"/>
  </r>
  <r>
    <n v="30"/>
    <x v="1"/>
    <x v="1"/>
    <x v="0"/>
    <n v="1465"/>
    <x v="1"/>
    <n v="1"/>
    <n v="3"/>
    <s v="Medical"/>
    <n v="1"/>
    <n v="1241"/>
    <n v="4"/>
    <x v="1"/>
    <n v="63"/>
    <n v="3"/>
    <n v="1"/>
    <x v="1"/>
    <n v="2"/>
    <s v="Married"/>
    <n v="3579"/>
    <n v="9369"/>
    <n v="0"/>
    <s v="Y"/>
    <x v="0"/>
    <n v="21"/>
    <n v="4"/>
    <n v="1"/>
    <n v="80"/>
    <n v="1"/>
    <n v="12"/>
    <n v="2"/>
    <n v="3"/>
    <n v="11"/>
    <x v="3"/>
    <n v="9"/>
    <n v="5"/>
    <n v="7"/>
    <x v="1"/>
    <n v="0"/>
  </r>
  <r>
    <n v="42"/>
    <x v="0"/>
    <x v="1"/>
    <x v="1"/>
    <n v="458"/>
    <x v="1"/>
    <n v="26"/>
    <n v="5"/>
    <s v="Medical"/>
    <n v="1"/>
    <n v="1242"/>
    <n v="1"/>
    <x v="0"/>
    <n v="60"/>
    <n v="3"/>
    <n v="3"/>
    <x v="7"/>
    <n v="1"/>
    <s v="Married"/>
    <n v="13191"/>
    <n v="23281"/>
    <n v="3"/>
    <s v="Y"/>
    <x v="0"/>
    <n v="17"/>
    <n v="3"/>
    <n v="3"/>
    <n v="80"/>
    <n v="0"/>
    <n v="20"/>
    <n v="6"/>
    <n v="3"/>
    <n v="1"/>
    <x v="1"/>
    <n v="0"/>
    <n v="0"/>
    <n v="0"/>
    <x v="3"/>
    <n v="0"/>
  </r>
  <r>
    <n v="35"/>
    <x v="1"/>
    <x v="1"/>
    <x v="2"/>
    <n v="1212"/>
    <x v="0"/>
    <n v="8"/>
    <n v="2"/>
    <s v="Marketing"/>
    <n v="1"/>
    <n v="1243"/>
    <n v="3"/>
    <x v="0"/>
    <n v="78"/>
    <n v="2"/>
    <n v="3"/>
    <x v="0"/>
    <n v="4"/>
    <s v="Married"/>
    <n v="10377"/>
    <n v="13755"/>
    <n v="4"/>
    <s v="Y"/>
    <x v="0"/>
    <n v="11"/>
    <n v="3"/>
    <n v="2"/>
    <n v="80"/>
    <n v="1"/>
    <n v="16"/>
    <n v="6"/>
    <n v="2"/>
    <n v="13"/>
    <x v="3"/>
    <n v="2"/>
    <n v="4"/>
    <n v="12"/>
    <x v="0"/>
    <n v="0"/>
  </r>
  <r>
    <n v="27"/>
    <x v="2"/>
    <x v="1"/>
    <x v="0"/>
    <n v="1103"/>
    <x v="1"/>
    <n v="14"/>
    <n v="3"/>
    <s v="Life Sciences"/>
    <n v="1"/>
    <n v="1244"/>
    <n v="1"/>
    <x v="1"/>
    <n v="42"/>
    <n v="3"/>
    <n v="1"/>
    <x v="1"/>
    <n v="1"/>
    <s v="Married"/>
    <n v="2235"/>
    <n v="14377"/>
    <n v="1"/>
    <s v="Y"/>
    <x v="0"/>
    <n v="14"/>
    <n v="3"/>
    <n v="4"/>
    <n v="80"/>
    <n v="2"/>
    <n v="9"/>
    <n v="3"/>
    <n v="2"/>
    <n v="9"/>
    <x v="0"/>
    <n v="7"/>
    <n v="6"/>
    <n v="8"/>
    <x v="3"/>
    <n v="0"/>
  </r>
  <r>
    <n v="54"/>
    <x v="3"/>
    <x v="1"/>
    <x v="1"/>
    <n v="966"/>
    <x v="1"/>
    <n v="1"/>
    <n v="4"/>
    <s v="Life Sciences"/>
    <n v="1"/>
    <n v="1245"/>
    <n v="4"/>
    <x v="0"/>
    <n v="53"/>
    <n v="3"/>
    <n v="3"/>
    <x v="3"/>
    <n v="3"/>
    <s v="Divorced"/>
    <n v="10502"/>
    <n v="9659"/>
    <n v="7"/>
    <s v="Y"/>
    <x v="1"/>
    <n v="17"/>
    <n v="3"/>
    <n v="1"/>
    <n v="80"/>
    <n v="1"/>
    <n v="33"/>
    <n v="2"/>
    <n v="1"/>
    <n v="5"/>
    <x v="2"/>
    <n v="4"/>
    <n v="1"/>
    <n v="4"/>
    <x v="2"/>
    <n v="0"/>
  </r>
  <r>
    <n v="44"/>
    <x v="0"/>
    <x v="1"/>
    <x v="0"/>
    <n v="1117"/>
    <x v="1"/>
    <n v="2"/>
    <n v="1"/>
    <s v="Life Sciences"/>
    <n v="1"/>
    <n v="1246"/>
    <n v="1"/>
    <x v="0"/>
    <n v="72"/>
    <n v="4"/>
    <n v="1"/>
    <x v="1"/>
    <n v="4"/>
    <s v="Married"/>
    <n v="2011"/>
    <n v="19982"/>
    <n v="1"/>
    <s v="Y"/>
    <x v="1"/>
    <n v="13"/>
    <n v="3"/>
    <n v="4"/>
    <n v="80"/>
    <n v="1"/>
    <n v="10"/>
    <n v="5"/>
    <n v="3"/>
    <n v="10"/>
    <x v="0"/>
    <n v="5"/>
    <n v="7"/>
    <n v="7"/>
    <x v="0"/>
    <n v="0"/>
  </r>
  <r>
    <n v="19"/>
    <x v="2"/>
    <x v="0"/>
    <x v="2"/>
    <n v="504"/>
    <x v="1"/>
    <n v="10"/>
    <n v="3"/>
    <s v="Medical"/>
    <n v="1"/>
    <n v="1248"/>
    <n v="1"/>
    <x v="0"/>
    <n v="96"/>
    <n v="2"/>
    <n v="1"/>
    <x v="1"/>
    <n v="2"/>
    <s v="Single"/>
    <n v="1859"/>
    <n v="6148"/>
    <n v="1"/>
    <s v="Y"/>
    <x v="0"/>
    <n v="25"/>
    <n v="4"/>
    <n v="2"/>
    <n v="80"/>
    <n v="0"/>
    <n v="1"/>
    <n v="2"/>
    <n v="4"/>
    <n v="1"/>
    <x v="1"/>
    <n v="1"/>
    <n v="0"/>
    <n v="0"/>
    <x v="1"/>
    <n v="1"/>
  </r>
  <r>
    <n v="29"/>
    <x v="2"/>
    <x v="1"/>
    <x v="0"/>
    <n v="1010"/>
    <x v="1"/>
    <n v="1"/>
    <n v="3"/>
    <s v="Life Sciences"/>
    <n v="1"/>
    <n v="1249"/>
    <n v="1"/>
    <x v="0"/>
    <n v="97"/>
    <n v="3"/>
    <n v="1"/>
    <x v="1"/>
    <n v="4"/>
    <s v="Divorced"/>
    <n v="3760"/>
    <n v="5598"/>
    <n v="1"/>
    <s v="Y"/>
    <x v="1"/>
    <n v="15"/>
    <n v="3"/>
    <n v="1"/>
    <n v="80"/>
    <n v="3"/>
    <n v="3"/>
    <n v="5"/>
    <n v="3"/>
    <n v="3"/>
    <x v="2"/>
    <n v="2"/>
    <n v="1"/>
    <n v="2"/>
    <x v="0"/>
    <n v="0"/>
  </r>
  <r>
    <n v="54"/>
    <x v="3"/>
    <x v="1"/>
    <x v="0"/>
    <n v="685"/>
    <x v="1"/>
    <n v="3"/>
    <n v="3"/>
    <s v="Life Sciences"/>
    <n v="1"/>
    <n v="1250"/>
    <n v="4"/>
    <x v="1"/>
    <n v="85"/>
    <n v="3"/>
    <n v="4"/>
    <x v="7"/>
    <n v="4"/>
    <s v="Married"/>
    <n v="17779"/>
    <n v="23474"/>
    <n v="3"/>
    <s v="Y"/>
    <x v="1"/>
    <n v="14"/>
    <n v="3"/>
    <n v="1"/>
    <n v="80"/>
    <n v="0"/>
    <n v="36"/>
    <n v="2"/>
    <n v="3"/>
    <n v="10"/>
    <x v="0"/>
    <n v="9"/>
    <n v="0"/>
    <n v="9"/>
    <x v="0"/>
    <n v="0"/>
  </r>
  <r>
    <n v="31"/>
    <x v="1"/>
    <x v="1"/>
    <x v="0"/>
    <n v="1332"/>
    <x v="1"/>
    <n v="11"/>
    <n v="2"/>
    <s v="Medical"/>
    <n v="1"/>
    <n v="1251"/>
    <n v="3"/>
    <x v="1"/>
    <n v="80"/>
    <n v="3"/>
    <n v="2"/>
    <x v="4"/>
    <n v="1"/>
    <s v="Married"/>
    <n v="6833"/>
    <n v="17089"/>
    <n v="1"/>
    <s v="Y"/>
    <x v="0"/>
    <n v="12"/>
    <n v="3"/>
    <n v="4"/>
    <n v="80"/>
    <n v="0"/>
    <n v="6"/>
    <n v="2"/>
    <n v="2"/>
    <n v="6"/>
    <x v="0"/>
    <n v="5"/>
    <n v="0"/>
    <n v="1"/>
    <x v="3"/>
    <n v="0"/>
  </r>
  <r>
    <n v="31"/>
    <x v="1"/>
    <x v="1"/>
    <x v="0"/>
    <n v="1062"/>
    <x v="1"/>
    <n v="24"/>
    <n v="3"/>
    <s v="Medical"/>
    <n v="1"/>
    <n v="1252"/>
    <n v="3"/>
    <x v="0"/>
    <n v="96"/>
    <n v="2"/>
    <n v="2"/>
    <x v="4"/>
    <n v="1"/>
    <s v="Single"/>
    <n v="6812"/>
    <n v="17198"/>
    <n v="1"/>
    <s v="Y"/>
    <x v="1"/>
    <n v="19"/>
    <n v="3"/>
    <n v="2"/>
    <n v="80"/>
    <n v="0"/>
    <n v="10"/>
    <n v="2"/>
    <n v="3"/>
    <n v="10"/>
    <x v="0"/>
    <n v="9"/>
    <n v="1"/>
    <n v="8"/>
    <x v="3"/>
    <n v="0"/>
  </r>
  <r>
    <n v="59"/>
    <x v="3"/>
    <x v="1"/>
    <x v="0"/>
    <n v="326"/>
    <x v="0"/>
    <n v="3"/>
    <n v="3"/>
    <s v="Life Sciences"/>
    <n v="1"/>
    <n v="1254"/>
    <n v="3"/>
    <x v="0"/>
    <n v="48"/>
    <n v="2"/>
    <n v="2"/>
    <x v="0"/>
    <n v="4"/>
    <s v="Single"/>
    <n v="5171"/>
    <n v="16490"/>
    <n v="5"/>
    <s v="Y"/>
    <x v="1"/>
    <n v="17"/>
    <n v="3"/>
    <n v="4"/>
    <n v="80"/>
    <n v="0"/>
    <n v="13"/>
    <n v="2"/>
    <n v="3"/>
    <n v="6"/>
    <x v="0"/>
    <n v="1"/>
    <n v="0"/>
    <n v="5"/>
    <x v="0"/>
    <n v="0"/>
  </r>
  <r>
    <n v="43"/>
    <x v="0"/>
    <x v="1"/>
    <x v="0"/>
    <n v="920"/>
    <x v="1"/>
    <n v="3"/>
    <n v="3"/>
    <s v="Life Sciences"/>
    <n v="1"/>
    <n v="1255"/>
    <n v="3"/>
    <x v="1"/>
    <n v="96"/>
    <n v="1"/>
    <n v="5"/>
    <x v="7"/>
    <n v="4"/>
    <s v="Married"/>
    <n v="19740"/>
    <n v="18625"/>
    <n v="3"/>
    <s v="Y"/>
    <x v="1"/>
    <n v="14"/>
    <n v="3"/>
    <n v="2"/>
    <n v="80"/>
    <n v="1"/>
    <n v="25"/>
    <n v="2"/>
    <n v="3"/>
    <n v="8"/>
    <x v="0"/>
    <n v="7"/>
    <n v="0"/>
    <n v="7"/>
    <x v="0"/>
    <n v="0"/>
  </r>
  <r>
    <n v="49"/>
    <x v="0"/>
    <x v="1"/>
    <x v="0"/>
    <n v="1098"/>
    <x v="1"/>
    <n v="4"/>
    <n v="2"/>
    <s v="Medical"/>
    <n v="1"/>
    <n v="1256"/>
    <n v="1"/>
    <x v="1"/>
    <n v="85"/>
    <n v="2"/>
    <n v="5"/>
    <x v="5"/>
    <n v="3"/>
    <s v="Married"/>
    <n v="18711"/>
    <n v="12124"/>
    <n v="2"/>
    <s v="Y"/>
    <x v="1"/>
    <n v="13"/>
    <n v="3"/>
    <n v="3"/>
    <n v="80"/>
    <n v="1"/>
    <n v="23"/>
    <n v="2"/>
    <n v="4"/>
    <n v="1"/>
    <x v="1"/>
    <n v="0"/>
    <n v="0"/>
    <n v="0"/>
    <x v="2"/>
    <n v="0"/>
  </r>
  <r>
    <n v="36"/>
    <x v="1"/>
    <x v="1"/>
    <x v="1"/>
    <n v="469"/>
    <x v="1"/>
    <n v="3"/>
    <n v="3"/>
    <s v="Technical Degree"/>
    <n v="1"/>
    <n v="1257"/>
    <n v="3"/>
    <x v="1"/>
    <n v="46"/>
    <n v="3"/>
    <n v="1"/>
    <x v="1"/>
    <n v="2"/>
    <s v="Married"/>
    <n v="3692"/>
    <n v="9256"/>
    <n v="1"/>
    <s v="Y"/>
    <x v="1"/>
    <n v="12"/>
    <n v="3"/>
    <n v="3"/>
    <n v="80"/>
    <n v="0"/>
    <n v="12"/>
    <n v="2"/>
    <n v="2"/>
    <n v="11"/>
    <x v="3"/>
    <n v="10"/>
    <n v="0"/>
    <n v="7"/>
    <x v="1"/>
    <n v="0"/>
  </r>
  <r>
    <n v="48"/>
    <x v="0"/>
    <x v="1"/>
    <x v="0"/>
    <n v="969"/>
    <x v="1"/>
    <n v="2"/>
    <n v="2"/>
    <s v="Technical Degree"/>
    <n v="1"/>
    <n v="1258"/>
    <n v="4"/>
    <x v="1"/>
    <n v="76"/>
    <n v="4"/>
    <n v="1"/>
    <x v="2"/>
    <n v="2"/>
    <s v="Single"/>
    <n v="2559"/>
    <n v="16620"/>
    <n v="5"/>
    <s v="Y"/>
    <x v="1"/>
    <n v="11"/>
    <n v="3"/>
    <n v="3"/>
    <n v="80"/>
    <n v="0"/>
    <n v="7"/>
    <n v="4"/>
    <n v="2"/>
    <n v="1"/>
    <x v="1"/>
    <n v="0"/>
    <n v="0"/>
    <n v="0"/>
    <x v="1"/>
    <n v="0"/>
  </r>
  <r>
    <n v="27"/>
    <x v="2"/>
    <x v="1"/>
    <x v="0"/>
    <n v="1167"/>
    <x v="1"/>
    <n v="4"/>
    <n v="2"/>
    <s v="Life Sciences"/>
    <n v="1"/>
    <n v="1259"/>
    <n v="1"/>
    <x v="1"/>
    <n v="76"/>
    <n v="3"/>
    <n v="1"/>
    <x v="1"/>
    <n v="3"/>
    <s v="Divorced"/>
    <n v="2517"/>
    <n v="3208"/>
    <n v="1"/>
    <s v="Y"/>
    <x v="1"/>
    <n v="11"/>
    <n v="3"/>
    <n v="2"/>
    <n v="80"/>
    <n v="3"/>
    <n v="5"/>
    <n v="2"/>
    <n v="3"/>
    <n v="5"/>
    <x v="2"/>
    <n v="3"/>
    <n v="0"/>
    <n v="3"/>
    <x v="2"/>
    <n v="0"/>
  </r>
  <r>
    <n v="29"/>
    <x v="2"/>
    <x v="1"/>
    <x v="0"/>
    <n v="1329"/>
    <x v="1"/>
    <n v="7"/>
    <n v="3"/>
    <s v="Life Sciences"/>
    <n v="1"/>
    <n v="1260"/>
    <n v="3"/>
    <x v="1"/>
    <n v="82"/>
    <n v="3"/>
    <n v="2"/>
    <x v="4"/>
    <n v="4"/>
    <s v="Divorced"/>
    <n v="6623"/>
    <n v="4204"/>
    <n v="1"/>
    <s v="Y"/>
    <x v="0"/>
    <n v="11"/>
    <n v="3"/>
    <n v="2"/>
    <n v="80"/>
    <n v="2"/>
    <n v="6"/>
    <n v="2"/>
    <n v="3"/>
    <n v="6"/>
    <x v="0"/>
    <n v="0"/>
    <n v="1"/>
    <n v="0"/>
    <x v="0"/>
    <n v="0"/>
  </r>
  <r>
    <n v="48"/>
    <x v="0"/>
    <x v="1"/>
    <x v="0"/>
    <n v="715"/>
    <x v="1"/>
    <n v="1"/>
    <n v="3"/>
    <s v="Life Sciences"/>
    <n v="1"/>
    <n v="1263"/>
    <n v="4"/>
    <x v="1"/>
    <n v="76"/>
    <n v="2"/>
    <n v="5"/>
    <x v="7"/>
    <n v="4"/>
    <s v="Single"/>
    <n v="18265"/>
    <n v="8733"/>
    <n v="6"/>
    <s v="Y"/>
    <x v="1"/>
    <n v="12"/>
    <n v="3"/>
    <n v="3"/>
    <n v="80"/>
    <n v="0"/>
    <n v="25"/>
    <n v="3"/>
    <n v="4"/>
    <n v="1"/>
    <x v="1"/>
    <n v="0"/>
    <n v="0"/>
    <n v="0"/>
    <x v="0"/>
    <n v="0"/>
  </r>
  <r>
    <n v="29"/>
    <x v="2"/>
    <x v="1"/>
    <x v="0"/>
    <n v="694"/>
    <x v="1"/>
    <n v="1"/>
    <n v="3"/>
    <s v="Life Sciences"/>
    <n v="1"/>
    <n v="1264"/>
    <n v="4"/>
    <x v="0"/>
    <n v="87"/>
    <n v="2"/>
    <n v="4"/>
    <x v="7"/>
    <n v="4"/>
    <s v="Divorced"/>
    <n v="16124"/>
    <n v="3423"/>
    <n v="3"/>
    <s v="Y"/>
    <x v="1"/>
    <n v="14"/>
    <n v="3"/>
    <n v="2"/>
    <n v="80"/>
    <n v="2"/>
    <n v="9"/>
    <n v="2"/>
    <n v="2"/>
    <n v="7"/>
    <x v="0"/>
    <n v="7"/>
    <n v="1"/>
    <n v="7"/>
    <x v="0"/>
    <n v="0"/>
  </r>
  <r>
    <n v="34"/>
    <x v="1"/>
    <x v="1"/>
    <x v="0"/>
    <n v="1320"/>
    <x v="1"/>
    <n v="20"/>
    <n v="3"/>
    <s v="Technical Degree"/>
    <n v="1"/>
    <n v="1265"/>
    <n v="3"/>
    <x v="0"/>
    <n v="89"/>
    <n v="4"/>
    <n v="1"/>
    <x v="1"/>
    <n v="3"/>
    <s v="Married"/>
    <n v="2585"/>
    <n v="21643"/>
    <n v="0"/>
    <s v="Y"/>
    <x v="1"/>
    <n v="17"/>
    <n v="3"/>
    <n v="4"/>
    <n v="80"/>
    <n v="0"/>
    <n v="2"/>
    <n v="5"/>
    <n v="2"/>
    <n v="1"/>
    <x v="1"/>
    <n v="0"/>
    <n v="0"/>
    <n v="0"/>
    <x v="2"/>
    <n v="0"/>
  </r>
  <r>
    <n v="44"/>
    <x v="0"/>
    <x v="1"/>
    <x v="0"/>
    <n v="1099"/>
    <x v="0"/>
    <n v="5"/>
    <n v="3"/>
    <s v="Marketing"/>
    <n v="1"/>
    <n v="1267"/>
    <n v="2"/>
    <x v="1"/>
    <n v="88"/>
    <n v="3"/>
    <n v="5"/>
    <x v="5"/>
    <n v="2"/>
    <s v="Married"/>
    <n v="18213"/>
    <n v="8751"/>
    <n v="7"/>
    <s v="Y"/>
    <x v="1"/>
    <n v="11"/>
    <n v="3"/>
    <n v="3"/>
    <n v="80"/>
    <n v="1"/>
    <n v="26"/>
    <n v="5"/>
    <n v="3"/>
    <n v="22"/>
    <x v="3"/>
    <n v="9"/>
    <n v="3"/>
    <n v="10"/>
    <x v="1"/>
    <n v="0"/>
  </r>
  <r>
    <n v="33"/>
    <x v="1"/>
    <x v="1"/>
    <x v="0"/>
    <n v="536"/>
    <x v="0"/>
    <n v="10"/>
    <n v="5"/>
    <s v="Marketing"/>
    <n v="1"/>
    <n v="1268"/>
    <n v="4"/>
    <x v="1"/>
    <n v="82"/>
    <n v="4"/>
    <n v="3"/>
    <x v="0"/>
    <n v="3"/>
    <s v="Divorced"/>
    <n v="8380"/>
    <n v="21708"/>
    <n v="0"/>
    <s v="Y"/>
    <x v="0"/>
    <n v="14"/>
    <n v="3"/>
    <n v="4"/>
    <n v="80"/>
    <n v="2"/>
    <n v="10"/>
    <n v="3"/>
    <n v="3"/>
    <n v="9"/>
    <x v="0"/>
    <n v="8"/>
    <n v="0"/>
    <n v="8"/>
    <x v="2"/>
    <n v="0"/>
  </r>
  <r>
    <n v="19"/>
    <x v="2"/>
    <x v="1"/>
    <x v="0"/>
    <n v="265"/>
    <x v="1"/>
    <n v="25"/>
    <n v="3"/>
    <s v="Life Sciences"/>
    <n v="1"/>
    <n v="1269"/>
    <n v="2"/>
    <x v="0"/>
    <n v="57"/>
    <n v="4"/>
    <n v="1"/>
    <x v="1"/>
    <n v="4"/>
    <s v="Single"/>
    <n v="2994"/>
    <n v="21221"/>
    <n v="1"/>
    <s v="Y"/>
    <x v="0"/>
    <n v="12"/>
    <n v="3"/>
    <n v="4"/>
    <n v="80"/>
    <n v="0"/>
    <n v="1"/>
    <n v="2"/>
    <n v="3"/>
    <n v="1"/>
    <x v="1"/>
    <n v="0"/>
    <n v="0"/>
    <n v="1"/>
    <x v="0"/>
    <n v="0"/>
  </r>
  <r>
    <n v="23"/>
    <x v="2"/>
    <x v="1"/>
    <x v="0"/>
    <n v="373"/>
    <x v="1"/>
    <n v="1"/>
    <n v="2"/>
    <s v="Life Sciences"/>
    <n v="1"/>
    <n v="1270"/>
    <n v="4"/>
    <x v="1"/>
    <n v="47"/>
    <n v="3"/>
    <n v="1"/>
    <x v="1"/>
    <n v="3"/>
    <s v="Married"/>
    <n v="1223"/>
    <n v="16901"/>
    <n v="1"/>
    <s v="Y"/>
    <x v="1"/>
    <n v="22"/>
    <n v="4"/>
    <n v="4"/>
    <n v="80"/>
    <n v="1"/>
    <n v="1"/>
    <n v="2"/>
    <n v="3"/>
    <n v="1"/>
    <x v="1"/>
    <n v="0"/>
    <n v="0"/>
    <n v="1"/>
    <x v="2"/>
    <n v="0"/>
  </r>
  <r>
    <n v="25"/>
    <x v="2"/>
    <x v="0"/>
    <x v="1"/>
    <n v="599"/>
    <x v="0"/>
    <n v="24"/>
    <n v="1"/>
    <s v="Life Sciences"/>
    <n v="1"/>
    <n v="1273"/>
    <n v="3"/>
    <x v="1"/>
    <n v="73"/>
    <n v="1"/>
    <n v="1"/>
    <x v="6"/>
    <n v="4"/>
    <s v="Single"/>
    <n v="1118"/>
    <n v="8040"/>
    <n v="1"/>
    <s v="Y"/>
    <x v="0"/>
    <n v="14"/>
    <n v="3"/>
    <n v="4"/>
    <n v="80"/>
    <n v="0"/>
    <n v="1"/>
    <n v="4"/>
    <n v="3"/>
    <n v="1"/>
    <x v="1"/>
    <n v="0"/>
    <n v="1"/>
    <n v="0"/>
    <x v="0"/>
    <n v="1"/>
  </r>
  <r>
    <n v="26"/>
    <x v="2"/>
    <x v="1"/>
    <x v="0"/>
    <n v="583"/>
    <x v="1"/>
    <n v="4"/>
    <n v="2"/>
    <s v="Life Sciences"/>
    <n v="1"/>
    <n v="1275"/>
    <n v="3"/>
    <x v="1"/>
    <n v="53"/>
    <n v="3"/>
    <n v="1"/>
    <x v="1"/>
    <n v="4"/>
    <s v="Single"/>
    <n v="2875"/>
    <n v="9973"/>
    <n v="1"/>
    <s v="Y"/>
    <x v="0"/>
    <n v="20"/>
    <n v="4"/>
    <n v="2"/>
    <n v="80"/>
    <n v="0"/>
    <n v="8"/>
    <n v="2"/>
    <n v="2"/>
    <n v="8"/>
    <x v="0"/>
    <n v="5"/>
    <n v="2"/>
    <n v="2"/>
    <x v="0"/>
    <n v="0"/>
  </r>
  <r>
    <n v="45"/>
    <x v="0"/>
    <x v="0"/>
    <x v="0"/>
    <n v="1449"/>
    <x v="0"/>
    <n v="2"/>
    <n v="3"/>
    <s v="Marketing"/>
    <n v="1"/>
    <n v="1277"/>
    <n v="1"/>
    <x v="0"/>
    <n v="94"/>
    <n v="1"/>
    <n v="5"/>
    <x v="5"/>
    <n v="2"/>
    <s v="Single"/>
    <n v="18824"/>
    <n v="2493"/>
    <n v="2"/>
    <s v="Y"/>
    <x v="0"/>
    <n v="16"/>
    <n v="3"/>
    <n v="1"/>
    <n v="80"/>
    <n v="0"/>
    <n v="26"/>
    <n v="2"/>
    <n v="3"/>
    <n v="24"/>
    <x v="3"/>
    <n v="10"/>
    <n v="1"/>
    <n v="11"/>
    <x v="1"/>
    <n v="1"/>
  </r>
  <r>
    <n v="55"/>
    <x v="3"/>
    <x v="1"/>
    <x v="2"/>
    <n v="177"/>
    <x v="1"/>
    <n v="8"/>
    <n v="1"/>
    <s v="Medical"/>
    <n v="1"/>
    <n v="1278"/>
    <n v="4"/>
    <x v="1"/>
    <n v="37"/>
    <n v="2"/>
    <n v="4"/>
    <x v="4"/>
    <n v="2"/>
    <s v="Divorced"/>
    <n v="13577"/>
    <n v="25592"/>
    <n v="1"/>
    <s v="Y"/>
    <x v="0"/>
    <n v="15"/>
    <n v="3"/>
    <n v="4"/>
    <n v="80"/>
    <n v="1"/>
    <n v="34"/>
    <n v="3"/>
    <n v="3"/>
    <n v="33"/>
    <x v="3"/>
    <n v="9"/>
    <n v="15"/>
    <n v="0"/>
    <x v="1"/>
    <n v="0"/>
  </r>
  <r>
    <n v="21"/>
    <x v="2"/>
    <x v="0"/>
    <x v="1"/>
    <n v="251"/>
    <x v="1"/>
    <n v="10"/>
    <n v="2"/>
    <s v="Life Sciences"/>
    <n v="1"/>
    <n v="1279"/>
    <n v="1"/>
    <x v="0"/>
    <n v="45"/>
    <n v="2"/>
    <n v="1"/>
    <x v="2"/>
    <n v="3"/>
    <s v="Single"/>
    <n v="2625"/>
    <n v="25308"/>
    <n v="1"/>
    <s v="Y"/>
    <x v="1"/>
    <n v="20"/>
    <n v="4"/>
    <n v="3"/>
    <n v="80"/>
    <n v="0"/>
    <n v="2"/>
    <n v="2"/>
    <n v="1"/>
    <n v="2"/>
    <x v="1"/>
    <n v="2"/>
    <n v="2"/>
    <n v="2"/>
    <x v="2"/>
    <n v="1"/>
  </r>
  <r>
    <n v="46"/>
    <x v="0"/>
    <x v="1"/>
    <x v="0"/>
    <n v="168"/>
    <x v="0"/>
    <n v="4"/>
    <n v="2"/>
    <s v="Marketing"/>
    <n v="1"/>
    <n v="1280"/>
    <n v="4"/>
    <x v="0"/>
    <n v="33"/>
    <n v="2"/>
    <n v="5"/>
    <x v="5"/>
    <n v="2"/>
    <s v="Married"/>
    <n v="18789"/>
    <n v="9946"/>
    <n v="2"/>
    <s v="Y"/>
    <x v="1"/>
    <n v="14"/>
    <n v="3"/>
    <n v="3"/>
    <n v="80"/>
    <n v="1"/>
    <n v="26"/>
    <n v="2"/>
    <n v="3"/>
    <n v="11"/>
    <x v="3"/>
    <n v="4"/>
    <n v="0"/>
    <n v="8"/>
    <x v="1"/>
    <n v="0"/>
  </r>
  <r>
    <n v="34"/>
    <x v="1"/>
    <x v="1"/>
    <x v="0"/>
    <n v="131"/>
    <x v="0"/>
    <n v="2"/>
    <n v="3"/>
    <s v="Marketing"/>
    <n v="1"/>
    <n v="1281"/>
    <n v="3"/>
    <x v="0"/>
    <n v="86"/>
    <n v="3"/>
    <n v="2"/>
    <x v="0"/>
    <n v="1"/>
    <s v="Single"/>
    <n v="4538"/>
    <n v="6039"/>
    <n v="0"/>
    <s v="Y"/>
    <x v="0"/>
    <n v="12"/>
    <n v="3"/>
    <n v="4"/>
    <n v="80"/>
    <n v="0"/>
    <n v="4"/>
    <n v="3"/>
    <n v="3"/>
    <n v="3"/>
    <x v="2"/>
    <n v="2"/>
    <n v="0"/>
    <n v="2"/>
    <x v="3"/>
    <n v="0"/>
  </r>
  <r>
    <n v="51"/>
    <x v="3"/>
    <x v="1"/>
    <x v="1"/>
    <n v="237"/>
    <x v="0"/>
    <n v="9"/>
    <n v="3"/>
    <s v="Life Sciences"/>
    <n v="1"/>
    <n v="1282"/>
    <n v="4"/>
    <x v="1"/>
    <n v="83"/>
    <n v="3"/>
    <n v="5"/>
    <x v="5"/>
    <n v="2"/>
    <s v="Divorced"/>
    <n v="19847"/>
    <n v="19196"/>
    <n v="4"/>
    <s v="Y"/>
    <x v="0"/>
    <n v="24"/>
    <n v="4"/>
    <n v="1"/>
    <n v="80"/>
    <n v="1"/>
    <n v="31"/>
    <n v="5"/>
    <n v="2"/>
    <n v="29"/>
    <x v="3"/>
    <n v="10"/>
    <n v="11"/>
    <n v="10"/>
    <x v="1"/>
    <n v="0"/>
  </r>
  <r>
    <n v="59"/>
    <x v="3"/>
    <x v="1"/>
    <x v="0"/>
    <n v="1429"/>
    <x v="1"/>
    <n v="18"/>
    <n v="4"/>
    <s v="Medical"/>
    <n v="1"/>
    <n v="1283"/>
    <n v="4"/>
    <x v="1"/>
    <n v="67"/>
    <n v="3"/>
    <n v="3"/>
    <x v="3"/>
    <n v="4"/>
    <s v="Single"/>
    <n v="10512"/>
    <n v="20002"/>
    <n v="6"/>
    <s v="Y"/>
    <x v="1"/>
    <n v="12"/>
    <n v="3"/>
    <n v="4"/>
    <n v="80"/>
    <n v="0"/>
    <n v="25"/>
    <n v="6"/>
    <n v="2"/>
    <n v="9"/>
    <x v="0"/>
    <n v="7"/>
    <n v="5"/>
    <n v="4"/>
    <x v="0"/>
    <n v="0"/>
  </r>
  <r>
    <n v="34"/>
    <x v="1"/>
    <x v="1"/>
    <x v="1"/>
    <n v="135"/>
    <x v="1"/>
    <n v="19"/>
    <n v="3"/>
    <s v="Medical"/>
    <n v="1"/>
    <n v="1285"/>
    <n v="3"/>
    <x v="0"/>
    <n v="46"/>
    <n v="3"/>
    <n v="2"/>
    <x v="2"/>
    <n v="2"/>
    <s v="Divorced"/>
    <n v="4444"/>
    <n v="22534"/>
    <n v="4"/>
    <s v="Y"/>
    <x v="1"/>
    <n v="13"/>
    <n v="3"/>
    <n v="3"/>
    <n v="80"/>
    <n v="2"/>
    <n v="15"/>
    <n v="2"/>
    <n v="4"/>
    <n v="11"/>
    <x v="3"/>
    <n v="8"/>
    <n v="5"/>
    <n v="10"/>
    <x v="1"/>
    <n v="0"/>
  </r>
  <r>
    <n v="28"/>
    <x v="2"/>
    <x v="1"/>
    <x v="1"/>
    <n v="791"/>
    <x v="1"/>
    <n v="1"/>
    <n v="4"/>
    <s v="Medical"/>
    <n v="1"/>
    <n v="1286"/>
    <n v="4"/>
    <x v="1"/>
    <n v="44"/>
    <n v="3"/>
    <n v="1"/>
    <x v="2"/>
    <n v="3"/>
    <s v="Single"/>
    <n v="2154"/>
    <n v="6842"/>
    <n v="0"/>
    <s v="Y"/>
    <x v="0"/>
    <n v="11"/>
    <n v="3"/>
    <n v="3"/>
    <n v="80"/>
    <n v="0"/>
    <n v="5"/>
    <n v="2"/>
    <n v="2"/>
    <n v="4"/>
    <x v="2"/>
    <n v="2"/>
    <n v="0"/>
    <n v="2"/>
    <x v="2"/>
    <n v="0"/>
  </r>
  <r>
    <n v="44"/>
    <x v="0"/>
    <x v="1"/>
    <x v="0"/>
    <n v="1199"/>
    <x v="1"/>
    <n v="4"/>
    <n v="2"/>
    <s v="Life Sciences"/>
    <n v="1"/>
    <n v="1288"/>
    <n v="3"/>
    <x v="1"/>
    <n v="92"/>
    <n v="4"/>
    <n v="5"/>
    <x v="5"/>
    <n v="1"/>
    <s v="Divorced"/>
    <n v="19190"/>
    <n v="17477"/>
    <n v="1"/>
    <s v="Y"/>
    <x v="1"/>
    <n v="14"/>
    <n v="3"/>
    <n v="4"/>
    <n v="80"/>
    <n v="2"/>
    <n v="26"/>
    <n v="4"/>
    <n v="2"/>
    <n v="25"/>
    <x v="3"/>
    <n v="9"/>
    <n v="14"/>
    <n v="13"/>
    <x v="3"/>
    <n v="0"/>
  </r>
  <r>
    <n v="34"/>
    <x v="1"/>
    <x v="1"/>
    <x v="1"/>
    <n v="648"/>
    <x v="2"/>
    <n v="11"/>
    <n v="3"/>
    <s v="Life Sciences"/>
    <n v="1"/>
    <n v="1289"/>
    <n v="3"/>
    <x v="1"/>
    <n v="56"/>
    <n v="2"/>
    <n v="2"/>
    <x v="8"/>
    <n v="2"/>
    <s v="Married"/>
    <n v="4490"/>
    <n v="21833"/>
    <n v="4"/>
    <s v="Y"/>
    <x v="1"/>
    <n v="11"/>
    <n v="3"/>
    <n v="4"/>
    <n v="80"/>
    <n v="2"/>
    <n v="14"/>
    <n v="5"/>
    <n v="4"/>
    <n v="10"/>
    <x v="0"/>
    <n v="9"/>
    <n v="1"/>
    <n v="8"/>
    <x v="1"/>
    <n v="0"/>
  </r>
  <r>
    <n v="35"/>
    <x v="1"/>
    <x v="1"/>
    <x v="0"/>
    <n v="735"/>
    <x v="1"/>
    <n v="6"/>
    <n v="1"/>
    <s v="Life Sciences"/>
    <n v="1"/>
    <n v="1291"/>
    <n v="3"/>
    <x v="1"/>
    <n v="66"/>
    <n v="3"/>
    <n v="1"/>
    <x v="1"/>
    <n v="3"/>
    <s v="Married"/>
    <n v="3506"/>
    <n v="6020"/>
    <n v="0"/>
    <s v="Y"/>
    <x v="0"/>
    <n v="14"/>
    <n v="3"/>
    <n v="4"/>
    <n v="80"/>
    <n v="0"/>
    <n v="4"/>
    <n v="3"/>
    <n v="3"/>
    <n v="3"/>
    <x v="2"/>
    <n v="2"/>
    <n v="2"/>
    <n v="2"/>
    <x v="2"/>
    <n v="0"/>
  </r>
  <r>
    <n v="42"/>
    <x v="0"/>
    <x v="1"/>
    <x v="0"/>
    <n v="603"/>
    <x v="1"/>
    <n v="7"/>
    <n v="4"/>
    <s v="Medical"/>
    <n v="1"/>
    <n v="1292"/>
    <n v="2"/>
    <x v="0"/>
    <n v="78"/>
    <n v="4"/>
    <n v="2"/>
    <x v="1"/>
    <n v="2"/>
    <s v="Married"/>
    <n v="2372"/>
    <n v="5628"/>
    <n v="6"/>
    <s v="Y"/>
    <x v="0"/>
    <n v="16"/>
    <n v="3"/>
    <n v="4"/>
    <n v="80"/>
    <n v="0"/>
    <n v="18"/>
    <n v="2"/>
    <n v="3"/>
    <n v="1"/>
    <x v="1"/>
    <n v="0"/>
    <n v="0"/>
    <n v="0"/>
    <x v="1"/>
    <n v="0"/>
  </r>
  <r>
    <n v="43"/>
    <x v="0"/>
    <x v="1"/>
    <x v="0"/>
    <n v="531"/>
    <x v="0"/>
    <n v="4"/>
    <n v="4"/>
    <s v="Marketing"/>
    <n v="1"/>
    <n v="1293"/>
    <n v="4"/>
    <x v="0"/>
    <n v="56"/>
    <n v="2"/>
    <n v="3"/>
    <x v="0"/>
    <n v="4"/>
    <s v="Single"/>
    <n v="10231"/>
    <n v="20364"/>
    <n v="3"/>
    <s v="Y"/>
    <x v="1"/>
    <n v="14"/>
    <n v="3"/>
    <n v="4"/>
    <n v="80"/>
    <n v="0"/>
    <n v="23"/>
    <n v="3"/>
    <n v="4"/>
    <n v="21"/>
    <x v="3"/>
    <n v="7"/>
    <n v="15"/>
    <n v="17"/>
    <x v="0"/>
    <n v="0"/>
  </r>
  <r>
    <n v="36"/>
    <x v="1"/>
    <x v="1"/>
    <x v="0"/>
    <n v="429"/>
    <x v="1"/>
    <n v="2"/>
    <n v="4"/>
    <s v="Life Sciences"/>
    <n v="1"/>
    <n v="1294"/>
    <n v="3"/>
    <x v="0"/>
    <n v="53"/>
    <n v="3"/>
    <n v="2"/>
    <x v="3"/>
    <n v="2"/>
    <s v="Single"/>
    <n v="5410"/>
    <n v="2323"/>
    <n v="9"/>
    <s v="Y"/>
    <x v="0"/>
    <n v="11"/>
    <n v="3"/>
    <n v="4"/>
    <n v="80"/>
    <n v="0"/>
    <n v="18"/>
    <n v="2"/>
    <n v="3"/>
    <n v="16"/>
    <x v="3"/>
    <n v="14"/>
    <n v="5"/>
    <n v="12"/>
    <x v="1"/>
    <n v="0"/>
  </r>
  <r>
    <n v="44"/>
    <x v="0"/>
    <x v="0"/>
    <x v="0"/>
    <n v="621"/>
    <x v="1"/>
    <n v="15"/>
    <n v="3"/>
    <s v="Medical"/>
    <n v="1"/>
    <n v="1295"/>
    <n v="1"/>
    <x v="0"/>
    <n v="73"/>
    <n v="3"/>
    <n v="3"/>
    <x v="4"/>
    <n v="4"/>
    <s v="Married"/>
    <n v="7978"/>
    <n v="14075"/>
    <n v="1"/>
    <s v="Y"/>
    <x v="1"/>
    <n v="11"/>
    <n v="3"/>
    <n v="4"/>
    <n v="80"/>
    <n v="1"/>
    <n v="10"/>
    <n v="2"/>
    <n v="3"/>
    <n v="10"/>
    <x v="0"/>
    <n v="7"/>
    <n v="0"/>
    <n v="5"/>
    <x v="0"/>
    <n v="1"/>
  </r>
  <r>
    <n v="28"/>
    <x v="2"/>
    <x v="1"/>
    <x v="1"/>
    <n v="193"/>
    <x v="1"/>
    <n v="2"/>
    <n v="3"/>
    <s v="Life Sciences"/>
    <n v="1"/>
    <n v="1296"/>
    <n v="4"/>
    <x v="1"/>
    <n v="52"/>
    <n v="2"/>
    <n v="1"/>
    <x v="2"/>
    <n v="4"/>
    <s v="Married"/>
    <n v="3867"/>
    <n v="14222"/>
    <n v="1"/>
    <s v="Y"/>
    <x v="0"/>
    <n v="12"/>
    <n v="3"/>
    <n v="2"/>
    <n v="80"/>
    <n v="1"/>
    <n v="2"/>
    <n v="2"/>
    <n v="3"/>
    <n v="2"/>
    <x v="1"/>
    <n v="2"/>
    <n v="2"/>
    <n v="2"/>
    <x v="0"/>
    <n v="0"/>
  </r>
  <r>
    <n v="51"/>
    <x v="3"/>
    <x v="1"/>
    <x v="1"/>
    <n v="968"/>
    <x v="1"/>
    <n v="6"/>
    <n v="2"/>
    <s v="Medical"/>
    <n v="1"/>
    <n v="1297"/>
    <n v="2"/>
    <x v="0"/>
    <n v="40"/>
    <n v="2"/>
    <n v="1"/>
    <x v="2"/>
    <n v="3"/>
    <s v="Single"/>
    <n v="2838"/>
    <n v="4257"/>
    <n v="0"/>
    <s v="Y"/>
    <x v="1"/>
    <n v="14"/>
    <n v="3"/>
    <n v="2"/>
    <n v="80"/>
    <n v="0"/>
    <n v="8"/>
    <n v="6"/>
    <n v="2"/>
    <n v="7"/>
    <x v="0"/>
    <n v="0"/>
    <n v="7"/>
    <n v="7"/>
    <x v="2"/>
    <n v="0"/>
  </r>
  <r>
    <n v="30"/>
    <x v="1"/>
    <x v="1"/>
    <x v="2"/>
    <n v="879"/>
    <x v="1"/>
    <n v="9"/>
    <n v="2"/>
    <s v="Medical"/>
    <n v="1"/>
    <n v="1298"/>
    <n v="3"/>
    <x v="0"/>
    <n v="72"/>
    <n v="3"/>
    <n v="2"/>
    <x v="3"/>
    <n v="3"/>
    <s v="Single"/>
    <n v="4695"/>
    <n v="12858"/>
    <n v="7"/>
    <s v="Y"/>
    <x v="0"/>
    <n v="18"/>
    <n v="3"/>
    <n v="3"/>
    <n v="80"/>
    <n v="0"/>
    <n v="10"/>
    <n v="3"/>
    <n v="3"/>
    <n v="8"/>
    <x v="0"/>
    <n v="4"/>
    <n v="1"/>
    <n v="7"/>
    <x v="2"/>
    <n v="0"/>
  </r>
  <r>
    <n v="29"/>
    <x v="2"/>
    <x v="0"/>
    <x v="0"/>
    <n v="806"/>
    <x v="1"/>
    <n v="7"/>
    <n v="3"/>
    <s v="Technical Degree"/>
    <n v="1"/>
    <n v="1299"/>
    <n v="2"/>
    <x v="0"/>
    <n v="39"/>
    <n v="3"/>
    <n v="1"/>
    <x v="2"/>
    <n v="3"/>
    <s v="Divorced"/>
    <n v="3339"/>
    <n v="17285"/>
    <n v="3"/>
    <s v="Y"/>
    <x v="0"/>
    <n v="13"/>
    <n v="3"/>
    <n v="1"/>
    <n v="80"/>
    <n v="2"/>
    <n v="10"/>
    <n v="2"/>
    <n v="3"/>
    <n v="7"/>
    <x v="0"/>
    <n v="7"/>
    <n v="7"/>
    <n v="7"/>
    <x v="2"/>
    <n v="1"/>
  </r>
  <r>
    <n v="28"/>
    <x v="2"/>
    <x v="1"/>
    <x v="0"/>
    <n v="640"/>
    <x v="1"/>
    <n v="1"/>
    <n v="3"/>
    <s v="Technical Degree"/>
    <n v="1"/>
    <n v="1301"/>
    <n v="4"/>
    <x v="1"/>
    <n v="84"/>
    <n v="3"/>
    <n v="1"/>
    <x v="1"/>
    <n v="1"/>
    <s v="Single"/>
    <n v="2080"/>
    <n v="4732"/>
    <n v="2"/>
    <s v="Y"/>
    <x v="1"/>
    <n v="11"/>
    <n v="3"/>
    <n v="2"/>
    <n v="80"/>
    <n v="0"/>
    <n v="5"/>
    <n v="2"/>
    <n v="2"/>
    <n v="3"/>
    <x v="2"/>
    <n v="2"/>
    <n v="1"/>
    <n v="2"/>
    <x v="3"/>
    <n v="0"/>
  </r>
  <r>
    <n v="25"/>
    <x v="2"/>
    <x v="1"/>
    <x v="0"/>
    <n v="266"/>
    <x v="1"/>
    <n v="1"/>
    <n v="3"/>
    <s v="Medical"/>
    <n v="1"/>
    <n v="1303"/>
    <n v="4"/>
    <x v="0"/>
    <n v="40"/>
    <n v="3"/>
    <n v="1"/>
    <x v="1"/>
    <n v="2"/>
    <s v="Single"/>
    <n v="2096"/>
    <n v="18830"/>
    <n v="1"/>
    <s v="Y"/>
    <x v="1"/>
    <n v="18"/>
    <n v="3"/>
    <n v="4"/>
    <n v="80"/>
    <n v="0"/>
    <n v="2"/>
    <n v="3"/>
    <n v="2"/>
    <n v="2"/>
    <x v="1"/>
    <n v="2"/>
    <n v="2"/>
    <n v="1"/>
    <x v="1"/>
    <n v="0"/>
  </r>
  <r>
    <n v="32"/>
    <x v="1"/>
    <x v="1"/>
    <x v="0"/>
    <n v="604"/>
    <x v="0"/>
    <n v="8"/>
    <n v="3"/>
    <s v="Medical"/>
    <n v="1"/>
    <n v="1304"/>
    <n v="3"/>
    <x v="1"/>
    <n v="56"/>
    <n v="4"/>
    <n v="2"/>
    <x v="0"/>
    <n v="4"/>
    <s v="Married"/>
    <n v="6209"/>
    <n v="11693"/>
    <n v="1"/>
    <s v="Y"/>
    <x v="1"/>
    <n v="15"/>
    <n v="3"/>
    <n v="3"/>
    <n v="80"/>
    <n v="2"/>
    <n v="10"/>
    <n v="4"/>
    <n v="4"/>
    <n v="10"/>
    <x v="0"/>
    <n v="7"/>
    <n v="0"/>
    <n v="8"/>
    <x v="0"/>
    <n v="0"/>
  </r>
  <r>
    <n v="45"/>
    <x v="0"/>
    <x v="1"/>
    <x v="1"/>
    <n v="364"/>
    <x v="1"/>
    <n v="25"/>
    <n v="3"/>
    <s v="Medical"/>
    <n v="1"/>
    <n v="1306"/>
    <n v="2"/>
    <x v="0"/>
    <n v="83"/>
    <n v="3"/>
    <n v="5"/>
    <x v="5"/>
    <n v="2"/>
    <s v="Single"/>
    <n v="18061"/>
    <n v="13035"/>
    <n v="3"/>
    <s v="Y"/>
    <x v="1"/>
    <n v="22"/>
    <n v="4"/>
    <n v="3"/>
    <n v="80"/>
    <n v="0"/>
    <n v="22"/>
    <n v="4"/>
    <n v="3"/>
    <n v="0"/>
    <x v="1"/>
    <n v="0"/>
    <n v="0"/>
    <n v="0"/>
    <x v="1"/>
    <n v="0"/>
  </r>
  <r>
    <n v="39"/>
    <x v="1"/>
    <x v="1"/>
    <x v="0"/>
    <n v="412"/>
    <x v="1"/>
    <n v="13"/>
    <n v="4"/>
    <s v="Medical"/>
    <n v="1"/>
    <n v="1307"/>
    <n v="3"/>
    <x v="0"/>
    <n v="94"/>
    <n v="2"/>
    <n v="4"/>
    <x v="5"/>
    <n v="2"/>
    <s v="Divorced"/>
    <n v="17123"/>
    <n v="17334"/>
    <n v="6"/>
    <s v="Y"/>
    <x v="0"/>
    <n v="13"/>
    <n v="3"/>
    <n v="4"/>
    <n v="80"/>
    <n v="2"/>
    <n v="21"/>
    <n v="4"/>
    <n v="3"/>
    <n v="19"/>
    <x v="3"/>
    <n v="9"/>
    <n v="15"/>
    <n v="2"/>
    <x v="1"/>
    <n v="0"/>
  </r>
  <r>
    <n v="58"/>
    <x v="3"/>
    <x v="1"/>
    <x v="0"/>
    <n v="848"/>
    <x v="1"/>
    <n v="23"/>
    <n v="4"/>
    <s v="Life Sciences"/>
    <n v="1"/>
    <n v="1308"/>
    <n v="1"/>
    <x v="1"/>
    <n v="88"/>
    <n v="3"/>
    <n v="1"/>
    <x v="1"/>
    <n v="3"/>
    <s v="Divorced"/>
    <n v="2372"/>
    <n v="26076"/>
    <n v="1"/>
    <s v="Y"/>
    <x v="1"/>
    <n v="12"/>
    <n v="3"/>
    <n v="4"/>
    <n v="80"/>
    <n v="2"/>
    <n v="2"/>
    <n v="3"/>
    <n v="3"/>
    <n v="2"/>
    <x v="1"/>
    <n v="2"/>
    <n v="2"/>
    <n v="2"/>
    <x v="2"/>
    <n v="0"/>
  </r>
  <r>
    <n v="32"/>
    <x v="1"/>
    <x v="0"/>
    <x v="0"/>
    <n v="1089"/>
    <x v="1"/>
    <n v="7"/>
    <n v="2"/>
    <s v="Life Sciences"/>
    <n v="1"/>
    <n v="1309"/>
    <n v="4"/>
    <x v="1"/>
    <n v="79"/>
    <n v="3"/>
    <n v="2"/>
    <x v="2"/>
    <n v="3"/>
    <s v="Married"/>
    <n v="4883"/>
    <n v="22845"/>
    <n v="1"/>
    <s v="Y"/>
    <x v="1"/>
    <n v="18"/>
    <n v="3"/>
    <n v="1"/>
    <n v="80"/>
    <n v="1"/>
    <n v="10"/>
    <n v="3"/>
    <n v="3"/>
    <n v="10"/>
    <x v="0"/>
    <n v="4"/>
    <n v="1"/>
    <n v="1"/>
    <x v="2"/>
    <n v="1"/>
  </r>
  <r>
    <n v="39"/>
    <x v="1"/>
    <x v="0"/>
    <x v="0"/>
    <n v="360"/>
    <x v="1"/>
    <n v="23"/>
    <n v="3"/>
    <s v="Medical"/>
    <n v="1"/>
    <n v="1310"/>
    <n v="3"/>
    <x v="1"/>
    <n v="93"/>
    <n v="3"/>
    <n v="1"/>
    <x v="1"/>
    <n v="1"/>
    <s v="Single"/>
    <n v="3904"/>
    <n v="22154"/>
    <n v="0"/>
    <s v="Y"/>
    <x v="1"/>
    <n v="13"/>
    <n v="3"/>
    <n v="1"/>
    <n v="80"/>
    <n v="0"/>
    <n v="6"/>
    <n v="2"/>
    <n v="3"/>
    <n v="5"/>
    <x v="2"/>
    <n v="2"/>
    <n v="0"/>
    <n v="3"/>
    <x v="3"/>
    <n v="1"/>
  </r>
  <r>
    <n v="30"/>
    <x v="1"/>
    <x v="1"/>
    <x v="0"/>
    <n v="1138"/>
    <x v="1"/>
    <n v="6"/>
    <n v="3"/>
    <s v="Technical Degree"/>
    <n v="1"/>
    <n v="1311"/>
    <n v="1"/>
    <x v="0"/>
    <n v="48"/>
    <n v="2"/>
    <n v="2"/>
    <x v="2"/>
    <n v="4"/>
    <s v="Married"/>
    <n v="4627"/>
    <n v="23631"/>
    <n v="0"/>
    <s v="Y"/>
    <x v="1"/>
    <n v="12"/>
    <n v="3"/>
    <n v="1"/>
    <n v="80"/>
    <n v="1"/>
    <n v="10"/>
    <n v="6"/>
    <n v="3"/>
    <n v="9"/>
    <x v="0"/>
    <n v="2"/>
    <n v="6"/>
    <n v="7"/>
    <x v="0"/>
    <n v="0"/>
  </r>
  <r>
    <n v="36"/>
    <x v="1"/>
    <x v="1"/>
    <x v="0"/>
    <n v="325"/>
    <x v="1"/>
    <n v="10"/>
    <n v="4"/>
    <s v="Technical Degree"/>
    <n v="1"/>
    <n v="1312"/>
    <n v="4"/>
    <x v="0"/>
    <n v="63"/>
    <n v="3"/>
    <n v="3"/>
    <x v="4"/>
    <n v="3"/>
    <s v="Married"/>
    <n v="7094"/>
    <n v="5747"/>
    <n v="3"/>
    <s v="Y"/>
    <x v="1"/>
    <n v="12"/>
    <n v="3"/>
    <n v="1"/>
    <n v="80"/>
    <n v="0"/>
    <n v="10"/>
    <n v="0"/>
    <n v="3"/>
    <n v="7"/>
    <x v="0"/>
    <n v="7"/>
    <n v="1"/>
    <n v="7"/>
    <x v="2"/>
    <n v="0"/>
  </r>
  <r>
    <n v="46"/>
    <x v="0"/>
    <x v="1"/>
    <x v="0"/>
    <n v="991"/>
    <x v="2"/>
    <n v="1"/>
    <n v="2"/>
    <s v="Life Sciences"/>
    <n v="1"/>
    <n v="1314"/>
    <n v="4"/>
    <x v="0"/>
    <n v="44"/>
    <n v="3"/>
    <n v="1"/>
    <x v="8"/>
    <n v="1"/>
    <s v="Single"/>
    <n v="3423"/>
    <n v="22957"/>
    <n v="6"/>
    <s v="Y"/>
    <x v="1"/>
    <n v="12"/>
    <n v="3"/>
    <n v="3"/>
    <n v="80"/>
    <n v="0"/>
    <n v="10"/>
    <n v="3"/>
    <n v="4"/>
    <n v="7"/>
    <x v="0"/>
    <n v="6"/>
    <n v="5"/>
    <n v="7"/>
    <x v="3"/>
    <n v="0"/>
  </r>
  <r>
    <n v="28"/>
    <x v="2"/>
    <x v="1"/>
    <x v="2"/>
    <n v="1476"/>
    <x v="1"/>
    <n v="1"/>
    <n v="3"/>
    <s v="Life Sciences"/>
    <n v="1"/>
    <n v="1315"/>
    <n v="3"/>
    <x v="0"/>
    <n v="55"/>
    <n v="1"/>
    <n v="2"/>
    <x v="2"/>
    <n v="4"/>
    <s v="Married"/>
    <n v="6674"/>
    <n v="16392"/>
    <n v="0"/>
    <s v="Y"/>
    <x v="1"/>
    <n v="11"/>
    <n v="3"/>
    <n v="1"/>
    <n v="80"/>
    <n v="3"/>
    <n v="10"/>
    <n v="6"/>
    <n v="3"/>
    <n v="9"/>
    <x v="0"/>
    <n v="8"/>
    <n v="7"/>
    <n v="5"/>
    <x v="0"/>
    <n v="0"/>
  </r>
  <r>
    <n v="50"/>
    <x v="0"/>
    <x v="1"/>
    <x v="0"/>
    <n v="1322"/>
    <x v="1"/>
    <n v="28"/>
    <n v="3"/>
    <s v="Life Sciences"/>
    <n v="1"/>
    <n v="1317"/>
    <n v="4"/>
    <x v="0"/>
    <n v="43"/>
    <n v="3"/>
    <n v="4"/>
    <x v="7"/>
    <n v="1"/>
    <s v="Married"/>
    <n v="16880"/>
    <n v="22422"/>
    <n v="4"/>
    <s v="Y"/>
    <x v="0"/>
    <n v="11"/>
    <n v="3"/>
    <n v="2"/>
    <n v="80"/>
    <n v="0"/>
    <n v="25"/>
    <n v="2"/>
    <n v="3"/>
    <n v="3"/>
    <x v="2"/>
    <n v="2"/>
    <n v="1"/>
    <n v="2"/>
    <x v="3"/>
    <n v="0"/>
  </r>
  <r>
    <n v="40"/>
    <x v="1"/>
    <x v="0"/>
    <x v="0"/>
    <n v="299"/>
    <x v="0"/>
    <n v="25"/>
    <n v="4"/>
    <s v="Marketing"/>
    <n v="1"/>
    <n v="1318"/>
    <n v="4"/>
    <x v="1"/>
    <n v="57"/>
    <n v="2"/>
    <n v="3"/>
    <x v="0"/>
    <n v="2"/>
    <s v="Single"/>
    <n v="9094"/>
    <n v="17235"/>
    <n v="2"/>
    <s v="Y"/>
    <x v="0"/>
    <n v="12"/>
    <n v="3"/>
    <n v="3"/>
    <n v="80"/>
    <n v="0"/>
    <n v="9"/>
    <n v="2"/>
    <n v="3"/>
    <n v="5"/>
    <x v="2"/>
    <n v="4"/>
    <n v="1"/>
    <n v="0"/>
    <x v="1"/>
    <n v="1"/>
  </r>
  <r>
    <n v="52"/>
    <x v="3"/>
    <x v="0"/>
    <x v="0"/>
    <n v="1030"/>
    <x v="0"/>
    <n v="5"/>
    <n v="3"/>
    <s v="Life Sciences"/>
    <n v="1"/>
    <n v="1319"/>
    <n v="2"/>
    <x v="1"/>
    <n v="64"/>
    <n v="3"/>
    <n v="3"/>
    <x v="0"/>
    <n v="2"/>
    <s v="Single"/>
    <n v="8446"/>
    <n v="21534"/>
    <n v="9"/>
    <s v="Y"/>
    <x v="0"/>
    <n v="19"/>
    <n v="3"/>
    <n v="3"/>
    <n v="80"/>
    <n v="0"/>
    <n v="10"/>
    <n v="2"/>
    <n v="2"/>
    <n v="8"/>
    <x v="0"/>
    <n v="7"/>
    <n v="7"/>
    <n v="7"/>
    <x v="1"/>
    <n v="1"/>
  </r>
  <r>
    <n v="30"/>
    <x v="1"/>
    <x v="1"/>
    <x v="0"/>
    <n v="634"/>
    <x v="1"/>
    <n v="17"/>
    <n v="4"/>
    <s v="Medical"/>
    <n v="1"/>
    <n v="1321"/>
    <n v="2"/>
    <x v="0"/>
    <n v="95"/>
    <n v="3"/>
    <n v="3"/>
    <x v="5"/>
    <n v="1"/>
    <s v="Married"/>
    <n v="11916"/>
    <n v="25927"/>
    <n v="1"/>
    <s v="Y"/>
    <x v="0"/>
    <n v="23"/>
    <n v="4"/>
    <n v="4"/>
    <n v="80"/>
    <n v="2"/>
    <n v="9"/>
    <n v="2"/>
    <n v="3"/>
    <n v="9"/>
    <x v="0"/>
    <n v="1"/>
    <n v="0"/>
    <n v="8"/>
    <x v="3"/>
    <n v="0"/>
  </r>
  <r>
    <n v="39"/>
    <x v="1"/>
    <x v="1"/>
    <x v="0"/>
    <n v="524"/>
    <x v="1"/>
    <n v="18"/>
    <n v="2"/>
    <s v="Life Sciences"/>
    <n v="1"/>
    <n v="1322"/>
    <n v="1"/>
    <x v="1"/>
    <n v="32"/>
    <n v="3"/>
    <n v="2"/>
    <x v="3"/>
    <n v="3"/>
    <s v="Single"/>
    <n v="4534"/>
    <n v="13352"/>
    <n v="0"/>
    <s v="Y"/>
    <x v="1"/>
    <n v="11"/>
    <n v="3"/>
    <n v="1"/>
    <n v="80"/>
    <n v="0"/>
    <n v="9"/>
    <n v="6"/>
    <n v="3"/>
    <n v="8"/>
    <x v="0"/>
    <n v="7"/>
    <n v="1"/>
    <n v="7"/>
    <x v="2"/>
    <n v="0"/>
  </r>
  <r>
    <n v="31"/>
    <x v="1"/>
    <x v="1"/>
    <x v="2"/>
    <n v="587"/>
    <x v="0"/>
    <n v="2"/>
    <n v="4"/>
    <s v="Life Sciences"/>
    <n v="1"/>
    <n v="1324"/>
    <n v="4"/>
    <x v="0"/>
    <n v="57"/>
    <n v="3"/>
    <n v="3"/>
    <x v="0"/>
    <n v="3"/>
    <s v="Divorced"/>
    <n v="9852"/>
    <n v="8935"/>
    <n v="1"/>
    <s v="Y"/>
    <x v="0"/>
    <n v="19"/>
    <n v="3"/>
    <n v="1"/>
    <n v="80"/>
    <n v="1"/>
    <n v="10"/>
    <n v="5"/>
    <n v="2"/>
    <n v="10"/>
    <x v="0"/>
    <n v="8"/>
    <n v="9"/>
    <n v="6"/>
    <x v="2"/>
    <n v="0"/>
  </r>
  <r>
    <n v="41"/>
    <x v="0"/>
    <x v="1"/>
    <x v="2"/>
    <n v="256"/>
    <x v="0"/>
    <n v="10"/>
    <n v="2"/>
    <s v="Medical"/>
    <n v="1"/>
    <n v="1329"/>
    <n v="3"/>
    <x v="1"/>
    <n v="40"/>
    <n v="1"/>
    <n v="2"/>
    <x v="0"/>
    <n v="2"/>
    <s v="Single"/>
    <n v="6151"/>
    <n v="22074"/>
    <n v="1"/>
    <s v="Y"/>
    <x v="1"/>
    <n v="13"/>
    <n v="3"/>
    <n v="1"/>
    <n v="80"/>
    <n v="0"/>
    <n v="19"/>
    <n v="4"/>
    <n v="3"/>
    <n v="19"/>
    <x v="3"/>
    <n v="2"/>
    <n v="11"/>
    <n v="9"/>
    <x v="1"/>
    <n v="0"/>
  </r>
  <r>
    <n v="31"/>
    <x v="1"/>
    <x v="0"/>
    <x v="1"/>
    <n v="1060"/>
    <x v="0"/>
    <n v="1"/>
    <n v="3"/>
    <s v="Life Sciences"/>
    <n v="1"/>
    <n v="1331"/>
    <n v="4"/>
    <x v="0"/>
    <n v="54"/>
    <n v="3"/>
    <n v="1"/>
    <x v="6"/>
    <n v="2"/>
    <s v="Single"/>
    <n v="2302"/>
    <n v="8319"/>
    <n v="1"/>
    <s v="Y"/>
    <x v="0"/>
    <n v="11"/>
    <n v="3"/>
    <n v="1"/>
    <n v="80"/>
    <n v="0"/>
    <n v="3"/>
    <n v="2"/>
    <n v="4"/>
    <n v="3"/>
    <x v="2"/>
    <n v="2"/>
    <n v="2"/>
    <n v="2"/>
    <x v="1"/>
    <n v="1"/>
  </r>
  <r>
    <n v="44"/>
    <x v="0"/>
    <x v="0"/>
    <x v="0"/>
    <n v="935"/>
    <x v="1"/>
    <n v="3"/>
    <n v="3"/>
    <s v="Life Sciences"/>
    <n v="1"/>
    <n v="1333"/>
    <n v="1"/>
    <x v="1"/>
    <n v="89"/>
    <n v="3"/>
    <n v="1"/>
    <x v="2"/>
    <n v="1"/>
    <s v="Married"/>
    <n v="2362"/>
    <n v="14669"/>
    <n v="4"/>
    <s v="Y"/>
    <x v="1"/>
    <n v="12"/>
    <n v="3"/>
    <n v="3"/>
    <n v="80"/>
    <n v="0"/>
    <n v="10"/>
    <n v="4"/>
    <n v="4"/>
    <n v="3"/>
    <x v="2"/>
    <n v="2"/>
    <n v="1"/>
    <n v="2"/>
    <x v="3"/>
    <n v="1"/>
  </r>
  <r>
    <n v="42"/>
    <x v="0"/>
    <x v="1"/>
    <x v="2"/>
    <n v="495"/>
    <x v="1"/>
    <n v="2"/>
    <n v="1"/>
    <s v="Life Sciences"/>
    <n v="1"/>
    <n v="1334"/>
    <n v="3"/>
    <x v="1"/>
    <n v="37"/>
    <n v="3"/>
    <n v="4"/>
    <x v="5"/>
    <n v="3"/>
    <s v="Married"/>
    <n v="17861"/>
    <n v="26582"/>
    <n v="0"/>
    <s v="Y"/>
    <x v="0"/>
    <n v="13"/>
    <n v="3"/>
    <n v="4"/>
    <n v="80"/>
    <n v="0"/>
    <n v="21"/>
    <n v="3"/>
    <n v="2"/>
    <n v="20"/>
    <x v="3"/>
    <n v="8"/>
    <n v="2"/>
    <n v="10"/>
    <x v="2"/>
    <n v="0"/>
  </r>
  <r>
    <n v="55"/>
    <x v="3"/>
    <x v="1"/>
    <x v="0"/>
    <n v="282"/>
    <x v="1"/>
    <n v="2"/>
    <n v="2"/>
    <s v="Medical"/>
    <n v="1"/>
    <n v="1336"/>
    <n v="4"/>
    <x v="0"/>
    <n v="58"/>
    <n v="1"/>
    <n v="5"/>
    <x v="5"/>
    <n v="3"/>
    <s v="Married"/>
    <n v="19187"/>
    <n v="6992"/>
    <n v="4"/>
    <s v="Y"/>
    <x v="1"/>
    <n v="14"/>
    <n v="3"/>
    <n v="4"/>
    <n v="80"/>
    <n v="1"/>
    <n v="23"/>
    <n v="5"/>
    <n v="3"/>
    <n v="19"/>
    <x v="3"/>
    <n v="9"/>
    <n v="9"/>
    <n v="11"/>
    <x v="2"/>
    <n v="0"/>
  </r>
  <r>
    <n v="56"/>
    <x v="3"/>
    <x v="1"/>
    <x v="0"/>
    <n v="206"/>
    <x v="2"/>
    <n v="8"/>
    <n v="4"/>
    <s v="Life Sciences"/>
    <n v="1"/>
    <n v="1338"/>
    <n v="4"/>
    <x v="1"/>
    <n v="99"/>
    <n v="3"/>
    <n v="5"/>
    <x v="5"/>
    <n v="2"/>
    <s v="Single"/>
    <n v="19717"/>
    <n v="4022"/>
    <n v="6"/>
    <s v="Y"/>
    <x v="1"/>
    <n v="14"/>
    <n v="3"/>
    <n v="1"/>
    <n v="80"/>
    <n v="0"/>
    <n v="36"/>
    <n v="4"/>
    <n v="3"/>
    <n v="7"/>
    <x v="0"/>
    <n v="3"/>
    <n v="7"/>
    <n v="7"/>
    <x v="1"/>
    <n v="0"/>
  </r>
  <r>
    <n v="40"/>
    <x v="1"/>
    <x v="1"/>
    <x v="2"/>
    <n v="458"/>
    <x v="1"/>
    <n v="16"/>
    <n v="2"/>
    <s v="Life Sciences"/>
    <n v="1"/>
    <n v="1340"/>
    <n v="3"/>
    <x v="1"/>
    <n v="74"/>
    <n v="3"/>
    <n v="1"/>
    <x v="1"/>
    <n v="3"/>
    <s v="Divorced"/>
    <n v="3544"/>
    <n v="8532"/>
    <n v="9"/>
    <s v="Y"/>
    <x v="1"/>
    <n v="16"/>
    <n v="3"/>
    <n v="2"/>
    <n v="80"/>
    <n v="1"/>
    <n v="6"/>
    <n v="0"/>
    <n v="3"/>
    <n v="4"/>
    <x v="2"/>
    <n v="2"/>
    <n v="0"/>
    <n v="0"/>
    <x v="2"/>
    <n v="0"/>
  </r>
  <r>
    <n v="34"/>
    <x v="1"/>
    <x v="1"/>
    <x v="0"/>
    <n v="943"/>
    <x v="1"/>
    <n v="9"/>
    <n v="3"/>
    <s v="Life Sciences"/>
    <n v="1"/>
    <n v="1344"/>
    <n v="4"/>
    <x v="1"/>
    <n v="86"/>
    <n v="3"/>
    <n v="3"/>
    <x v="4"/>
    <n v="4"/>
    <s v="Divorced"/>
    <n v="8500"/>
    <n v="5494"/>
    <n v="0"/>
    <s v="Y"/>
    <x v="1"/>
    <n v="11"/>
    <n v="3"/>
    <n v="4"/>
    <n v="80"/>
    <n v="1"/>
    <n v="10"/>
    <n v="0"/>
    <n v="2"/>
    <n v="9"/>
    <x v="0"/>
    <n v="7"/>
    <n v="1"/>
    <n v="6"/>
    <x v="0"/>
    <n v="0"/>
  </r>
  <r>
    <n v="40"/>
    <x v="1"/>
    <x v="1"/>
    <x v="0"/>
    <n v="523"/>
    <x v="1"/>
    <n v="2"/>
    <n v="3"/>
    <s v="Life Sciences"/>
    <n v="1"/>
    <n v="1346"/>
    <n v="3"/>
    <x v="1"/>
    <n v="98"/>
    <n v="3"/>
    <n v="2"/>
    <x v="1"/>
    <n v="4"/>
    <s v="Single"/>
    <n v="4661"/>
    <n v="22455"/>
    <n v="1"/>
    <s v="Y"/>
    <x v="1"/>
    <n v="13"/>
    <n v="3"/>
    <n v="3"/>
    <n v="80"/>
    <n v="0"/>
    <n v="9"/>
    <n v="4"/>
    <n v="3"/>
    <n v="9"/>
    <x v="0"/>
    <n v="8"/>
    <n v="8"/>
    <n v="8"/>
    <x v="0"/>
    <n v="0"/>
  </r>
  <r>
    <n v="41"/>
    <x v="0"/>
    <x v="1"/>
    <x v="1"/>
    <n v="1018"/>
    <x v="0"/>
    <n v="1"/>
    <n v="3"/>
    <s v="Marketing"/>
    <n v="1"/>
    <n v="1349"/>
    <n v="3"/>
    <x v="0"/>
    <n v="66"/>
    <n v="3"/>
    <n v="2"/>
    <x v="0"/>
    <n v="1"/>
    <s v="Divorced"/>
    <n v="4103"/>
    <n v="4297"/>
    <n v="0"/>
    <s v="Y"/>
    <x v="1"/>
    <n v="17"/>
    <n v="3"/>
    <n v="4"/>
    <n v="80"/>
    <n v="1"/>
    <n v="10"/>
    <n v="2"/>
    <n v="3"/>
    <n v="9"/>
    <x v="0"/>
    <n v="3"/>
    <n v="1"/>
    <n v="7"/>
    <x v="3"/>
    <n v="0"/>
  </r>
  <r>
    <n v="35"/>
    <x v="1"/>
    <x v="1"/>
    <x v="1"/>
    <n v="482"/>
    <x v="1"/>
    <n v="4"/>
    <n v="4"/>
    <s v="Life Sciences"/>
    <n v="1"/>
    <n v="1350"/>
    <n v="3"/>
    <x v="1"/>
    <n v="87"/>
    <n v="3"/>
    <n v="2"/>
    <x v="1"/>
    <n v="3"/>
    <s v="Single"/>
    <n v="4249"/>
    <n v="2690"/>
    <n v="1"/>
    <s v="Y"/>
    <x v="0"/>
    <n v="11"/>
    <n v="3"/>
    <n v="2"/>
    <n v="80"/>
    <n v="0"/>
    <n v="9"/>
    <n v="3"/>
    <n v="3"/>
    <n v="9"/>
    <x v="0"/>
    <n v="6"/>
    <n v="1"/>
    <n v="1"/>
    <x v="2"/>
    <n v="0"/>
  </r>
  <r>
    <n v="51"/>
    <x v="3"/>
    <x v="1"/>
    <x v="0"/>
    <n v="770"/>
    <x v="2"/>
    <n v="5"/>
    <n v="3"/>
    <s v="Life Sciences"/>
    <n v="1"/>
    <n v="1352"/>
    <n v="3"/>
    <x v="1"/>
    <n v="84"/>
    <n v="3"/>
    <n v="4"/>
    <x v="5"/>
    <n v="2"/>
    <s v="Divorced"/>
    <n v="14026"/>
    <n v="17588"/>
    <n v="1"/>
    <s v="Y"/>
    <x v="0"/>
    <n v="11"/>
    <n v="3"/>
    <n v="2"/>
    <n v="80"/>
    <n v="1"/>
    <n v="33"/>
    <n v="2"/>
    <n v="3"/>
    <n v="33"/>
    <x v="3"/>
    <n v="9"/>
    <n v="0"/>
    <n v="10"/>
    <x v="1"/>
    <n v="0"/>
  </r>
  <r>
    <n v="38"/>
    <x v="1"/>
    <x v="1"/>
    <x v="0"/>
    <n v="1009"/>
    <x v="0"/>
    <n v="2"/>
    <n v="2"/>
    <s v="Life Sciences"/>
    <n v="1"/>
    <n v="1355"/>
    <n v="2"/>
    <x v="0"/>
    <n v="31"/>
    <n v="3"/>
    <n v="2"/>
    <x v="0"/>
    <n v="1"/>
    <s v="Divorced"/>
    <n v="6893"/>
    <n v="19461"/>
    <n v="3"/>
    <s v="Y"/>
    <x v="1"/>
    <n v="15"/>
    <n v="3"/>
    <n v="4"/>
    <n v="80"/>
    <n v="1"/>
    <n v="11"/>
    <n v="3"/>
    <n v="3"/>
    <n v="7"/>
    <x v="0"/>
    <n v="7"/>
    <n v="1"/>
    <n v="7"/>
    <x v="3"/>
    <n v="0"/>
  </r>
  <r>
    <n v="34"/>
    <x v="1"/>
    <x v="1"/>
    <x v="0"/>
    <n v="507"/>
    <x v="0"/>
    <n v="15"/>
    <n v="2"/>
    <s v="Medical"/>
    <n v="1"/>
    <n v="1356"/>
    <n v="3"/>
    <x v="0"/>
    <n v="66"/>
    <n v="3"/>
    <n v="2"/>
    <x v="0"/>
    <n v="1"/>
    <s v="Single"/>
    <n v="6125"/>
    <n v="23553"/>
    <n v="1"/>
    <s v="Y"/>
    <x v="1"/>
    <n v="12"/>
    <n v="3"/>
    <n v="4"/>
    <n v="80"/>
    <n v="0"/>
    <n v="10"/>
    <n v="6"/>
    <n v="4"/>
    <n v="10"/>
    <x v="0"/>
    <n v="8"/>
    <n v="9"/>
    <n v="6"/>
    <x v="3"/>
    <n v="0"/>
  </r>
  <r>
    <n v="25"/>
    <x v="2"/>
    <x v="1"/>
    <x v="0"/>
    <n v="882"/>
    <x v="1"/>
    <n v="19"/>
    <n v="1"/>
    <s v="Medical"/>
    <n v="1"/>
    <n v="1358"/>
    <n v="4"/>
    <x v="1"/>
    <n v="67"/>
    <n v="3"/>
    <n v="1"/>
    <x v="2"/>
    <n v="4"/>
    <s v="Married"/>
    <n v="3669"/>
    <n v="9075"/>
    <n v="3"/>
    <s v="Y"/>
    <x v="1"/>
    <n v="11"/>
    <n v="3"/>
    <n v="3"/>
    <n v="80"/>
    <n v="3"/>
    <n v="7"/>
    <n v="6"/>
    <n v="2"/>
    <n v="3"/>
    <x v="2"/>
    <n v="2"/>
    <n v="1"/>
    <n v="2"/>
    <x v="0"/>
    <n v="0"/>
  </r>
  <r>
    <n v="58"/>
    <x v="3"/>
    <x v="0"/>
    <x v="0"/>
    <n v="601"/>
    <x v="1"/>
    <n v="7"/>
    <n v="4"/>
    <s v="Medical"/>
    <n v="1"/>
    <n v="1360"/>
    <n v="3"/>
    <x v="0"/>
    <n v="53"/>
    <n v="2"/>
    <n v="3"/>
    <x v="3"/>
    <n v="1"/>
    <s v="Married"/>
    <n v="10008"/>
    <n v="12023"/>
    <n v="7"/>
    <s v="Y"/>
    <x v="0"/>
    <n v="14"/>
    <n v="3"/>
    <n v="4"/>
    <n v="80"/>
    <n v="0"/>
    <n v="31"/>
    <n v="0"/>
    <n v="2"/>
    <n v="10"/>
    <x v="0"/>
    <n v="9"/>
    <n v="5"/>
    <n v="9"/>
    <x v="3"/>
    <n v="1"/>
  </r>
  <r>
    <n v="40"/>
    <x v="1"/>
    <x v="1"/>
    <x v="0"/>
    <n v="329"/>
    <x v="1"/>
    <n v="1"/>
    <n v="4"/>
    <s v="Life Sciences"/>
    <n v="1"/>
    <n v="1361"/>
    <n v="2"/>
    <x v="1"/>
    <n v="88"/>
    <n v="3"/>
    <n v="1"/>
    <x v="2"/>
    <n v="2"/>
    <s v="Married"/>
    <n v="2387"/>
    <n v="6762"/>
    <n v="3"/>
    <s v="Y"/>
    <x v="1"/>
    <n v="22"/>
    <n v="4"/>
    <n v="3"/>
    <n v="80"/>
    <n v="1"/>
    <n v="7"/>
    <n v="3"/>
    <n v="3"/>
    <n v="4"/>
    <x v="2"/>
    <n v="2"/>
    <n v="0"/>
    <n v="3"/>
    <x v="1"/>
    <n v="0"/>
  </r>
  <r>
    <n v="36"/>
    <x v="1"/>
    <x v="1"/>
    <x v="1"/>
    <n v="607"/>
    <x v="0"/>
    <n v="7"/>
    <n v="3"/>
    <s v="Marketing"/>
    <n v="1"/>
    <n v="1362"/>
    <n v="1"/>
    <x v="0"/>
    <n v="83"/>
    <n v="4"/>
    <n v="2"/>
    <x v="0"/>
    <n v="1"/>
    <s v="Married"/>
    <n v="4639"/>
    <n v="2261"/>
    <n v="2"/>
    <s v="Y"/>
    <x v="1"/>
    <n v="16"/>
    <n v="3"/>
    <n v="4"/>
    <n v="80"/>
    <n v="1"/>
    <n v="17"/>
    <n v="2"/>
    <n v="2"/>
    <n v="15"/>
    <x v="3"/>
    <n v="7"/>
    <n v="6"/>
    <n v="13"/>
    <x v="3"/>
    <n v="0"/>
  </r>
  <r>
    <n v="48"/>
    <x v="0"/>
    <x v="1"/>
    <x v="0"/>
    <n v="855"/>
    <x v="1"/>
    <n v="4"/>
    <n v="3"/>
    <s v="Life Sciences"/>
    <n v="1"/>
    <n v="1363"/>
    <n v="4"/>
    <x v="1"/>
    <n v="54"/>
    <n v="3"/>
    <n v="3"/>
    <x v="3"/>
    <n v="4"/>
    <s v="Single"/>
    <n v="7898"/>
    <n v="18706"/>
    <n v="1"/>
    <s v="Y"/>
    <x v="1"/>
    <n v="11"/>
    <n v="3"/>
    <n v="3"/>
    <n v="80"/>
    <n v="0"/>
    <n v="11"/>
    <n v="2"/>
    <n v="3"/>
    <n v="10"/>
    <x v="0"/>
    <n v="9"/>
    <n v="0"/>
    <n v="8"/>
    <x v="0"/>
    <n v="0"/>
  </r>
  <r>
    <n v="27"/>
    <x v="2"/>
    <x v="1"/>
    <x v="0"/>
    <n v="1291"/>
    <x v="0"/>
    <n v="11"/>
    <n v="3"/>
    <s v="Medical"/>
    <n v="1"/>
    <n v="1364"/>
    <n v="3"/>
    <x v="0"/>
    <n v="98"/>
    <n v="4"/>
    <n v="1"/>
    <x v="6"/>
    <n v="4"/>
    <s v="Married"/>
    <n v="2534"/>
    <n v="6527"/>
    <n v="8"/>
    <s v="Y"/>
    <x v="1"/>
    <n v="14"/>
    <n v="3"/>
    <n v="2"/>
    <n v="80"/>
    <n v="1"/>
    <n v="5"/>
    <n v="4"/>
    <n v="3"/>
    <n v="1"/>
    <x v="1"/>
    <n v="0"/>
    <n v="0"/>
    <n v="0"/>
    <x v="0"/>
    <n v="0"/>
  </r>
  <r>
    <n v="51"/>
    <x v="3"/>
    <x v="1"/>
    <x v="0"/>
    <n v="1405"/>
    <x v="1"/>
    <n v="11"/>
    <n v="2"/>
    <s v="Technical Degree"/>
    <n v="1"/>
    <n v="1367"/>
    <n v="4"/>
    <x v="0"/>
    <n v="82"/>
    <n v="2"/>
    <n v="4"/>
    <x v="3"/>
    <n v="2"/>
    <s v="Single"/>
    <n v="13142"/>
    <n v="24439"/>
    <n v="3"/>
    <s v="Y"/>
    <x v="1"/>
    <n v="16"/>
    <n v="3"/>
    <n v="2"/>
    <n v="80"/>
    <n v="0"/>
    <n v="29"/>
    <n v="1"/>
    <n v="2"/>
    <n v="5"/>
    <x v="2"/>
    <n v="2"/>
    <n v="0"/>
    <n v="3"/>
    <x v="1"/>
    <n v="0"/>
  </r>
  <r>
    <n v="18"/>
    <x v="2"/>
    <x v="1"/>
    <x v="2"/>
    <n v="1124"/>
    <x v="1"/>
    <n v="1"/>
    <n v="3"/>
    <s v="Life Sciences"/>
    <n v="1"/>
    <n v="1368"/>
    <n v="4"/>
    <x v="0"/>
    <n v="97"/>
    <n v="3"/>
    <n v="1"/>
    <x v="2"/>
    <n v="4"/>
    <s v="Single"/>
    <n v="1611"/>
    <n v="19305"/>
    <n v="1"/>
    <s v="Y"/>
    <x v="1"/>
    <n v="15"/>
    <n v="3"/>
    <n v="3"/>
    <n v="80"/>
    <n v="0"/>
    <n v="0"/>
    <n v="5"/>
    <n v="4"/>
    <n v="0"/>
    <x v="1"/>
    <n v="0"/>
    <n v="0"/>
    <n v="0"/>
    <x v="0"/>
    <n v="0"/>
  </r>
  <r>
    <n v="35"/>
    <x v="1"/>
    <x v="1"/>
    <x v="0"/>
    <n v="817"/>
    <x v="1"/>
    <n v="1"/>
    <n v="3"/>
    <s v="Medical"/>
    <n v="1"/>
    <n v="1369"/>
    <n v="4"/>
    <x v="0"/>
    <n v="60"/>
    <n v="2"/>
    <n v="2"/>
    <x v="2"/>
    <n v="4"/>
    <s v="Married"/>
    <n v="5363"/>
    <n v="10846"/>
    <n v="0"/>
    <s v="Y"/>
    <x v="1"/>
    <n v="12"/>
    <n v="3"/>
    <n v="2"/>
    <n v="80"/>
    <n v="1"/>
    <n v="10"/>
    <n v="0"/>
    <n v="3"/>
    <n v="9"/>
    <x v="0"/>
    <n v="7"/>
    <n v="0"/>
    <n v="0"/>
    <x v="0"/>
    <n v="0"/>
  </r>
  <r>
    <n v="27"/>
    <x v="2"/>
    <x v="1"/>
    <x v="1"/>
    <n v="793"/>
    <x v="0"/>
    <n v="2"/>
    <n v="1"/>
    <s v="Life Sciences"/>
    <n v="1"/>
    <n v="1371"/>
    <n v="4"/>
    <x v="1"/>
    <n v="43"/>
    <n v="1"/>
    <n v="2"/>
    <x v="0"/>
    <n v="4"/>
    <s v="Single"/>
    <n v="5071"/>
    <n v="20392"/>
    <n v="3"/>
    <s v="Y"/>
    <x v="1"/>
    <n v="20"/>
    <n v="4"/>
    <n v="2"/>
    <n v="80"/>
    <n v="0"/>
    <n v="8"/>
    <n v="3"/>
    <n v="3"/>
    <n v="6"/>
    <x v="0"/>
    <n v="2"/>
    <n v="0"/>
    <n v="0"/>
    <x v="0"/>
    <n v="0"/>
  </r>
  <r>
    <n v="55"/>
    <x v="3"/>
    <x v="0"/>
    <x v="0"/>
    <n v="267"/>
    <x v="0"/>
    <n v="13"/>
    <n v="4"/>
    <s v="Marketing"/>
    <n v="1"/>
    <n v="1372"/>
    <n v="1"/>
    <x v="1"/>
    <n v="85"/>
    <n v="4"/>
    <n v="4"/>
    <x v="0"/>
    <n v="3"/>
    <s v="Single"/>
    <n v="13695"/>
    <n v="9277"/>
    <n v="6"/>
    <s v="Y"/>
    <x v="0"/>
    <n v="17"/>
    <n v="3"/>
    <n v="3"/>
    <n v="80"/>
    <n v="0"/>
    <n v="24"/>
    <n v="2"/>
    <n v="2"/>
    <n v="19"/>
    <x v="3"/>
    <n v="7"/>
    <n v="3"/>
    <n v="8"/>
    <x v="2"/>
    <n v="1"/>
  </r>
  <r>
    <n v="56"/>
    <x v="3"/>
    <x v="1"/>
    <x v="0"/>
    <n v="1369"/>
    <x v="1"/>
    <n v="23"/>
    <n v="3"/>
    <s v="Life Sciences"/>
    <n v="1"/>
    <n v="1373"/>
    <n v="4"/>
    <x v="1"/>
    <n v="68"/>
    <n v="3"/>
    <n v="4"/>
    <x v="3"/>
    <n v="2"/>
    <s v="Married"/>
    <n v="13402"/>
    <n v="18235"/>
    <n v="4"/>
    <s v="Y"/>
    <x v="0"/>
    <n v="12"/>
    <n v="3"/>
    <n v="1"/>
    <n v="80"/>
    <n v="1"/>
    <n v="33"/>
    <n v="0"/>
    <n v="3"/>
    <n v="19"/>
    <x v="3"/>
    <n v="16"/>
    <n v="15"/>
    <n v="9"/>
    <x v="1"/>
    <n v="0"/>
  </r>
  <r>
    <n v="34"/>
    <x v="1"/>
    <x v="1"/>
    <x v="2"/>
    <n v="999"/>
    <x v="1"/>
    <n v="26"/>
    <n v="1"/>
    <s v="Technical Degree"/>
    <n v="1"/>
    <n v="1374"/>
    <n v="1"/>
    <x v="0"/>
    <n v="92"/>
    <n v="2"/>
    <n v="1"/>
    <x v="1"/>
    <n v="3"/>
    <s v="Divorced"/>
    <n v="2029"/>
    <n v="15891"/>
    <n v="1"/>
    <s v="Y"/>
    <x v="1"/>
    <n v="20"/>
    <n v="4"/>
    <n v="3"/>
    <n v="80"/>
    <n v="3"/>
    <n v="5"/>
    <n v="2"/>
    <n v="3"/>
    <n v="5"/>
    <x v="2"/>
    <n v="4"/>
    <n v="0"/>
    <n v="0"/>
    <x v="2"/>
    <n v="0"/>
  </r>
  <r>
    <n v="40"/>
    <x v="1"/>
    <x v="1"/>
    <x v="0"/>
    <n v="1202"/>
    <x v="1"/>
    <n v="2"/>
    <n v="1"/>
    <s v="Medical"/>
    <n v="1"/>
    <n v="1375"/>
    <n v="2"/>
    <x v="0"/>
    <n v="89"/>
    <n v="4"/>
    <n v="2"/>
    <x v="4"/>
    <n v="3"/>
    <s v="Divorced"/>
    <n v="6377"/>
    <n v="13888"/>
    <n v="5"/>
    <s v="Y"/>
    <x v="1"/>
    <n v="20"/>
    <n v="4"/>
    <n v="2"/>
    <n v="80"/>
    <n v="3"/>
    <n v="15"/>
    <n v="0"/>
    <n v="3"/>
    <n v="12"/>
    <x v="3"/>
    <n v="11"/>
    <n v="11"/>
    <n v="8"/>
    <x v="2"/>
    <n v="0"/>
  </r>
  <r>
    <n v="34"/>
    <x v="1"/>
    <x v="1"/>
    <x v="0"/>
    <n v="285"/>
    <x v="1"/>
    <n v="29"/>
    <n v="3"/>
    <s v="Medical"/>
    <n v="1"/>
    <n v="1377"/>
    <n v="2"/>
    <x v="1"/>
    <n v="86"/>
    <n v="3"/>
    <n v="2"/>
    <x v="2"/>
    <n v="3"/>
    <s v="Married"/>
    <n v="5429"/>
    <n v="17491"/>
    <n v="4"/>
    <s v="Y"/>
    <x v="1"/>
    <n v="13"/>
    <n v="3"/>
    <n v="1"/>
    <n v="80"/>
    <n v="2"/>
    <n v="10"/>
    <n v="1"/>
    <n v="3"/>
    <n v="8"/>
    <x v="0"/>
    <n v="7"/>
    <n v="7"/>
    <n v="7"/>
    <x v="2"/>
    <n v="0"/>
  </r>
  <r>
    <n v="31"/>
    <x v="1"/>
    <x v="0"/>
    <x v="1"/>
    <n v="703"/>
    <x v="0"/>
    <n v="2"/>
    <n v="3"/>
    <s v="Life Sciences"/>
    <n v="1"/>
    <n v="1379"/>
    <n v="3"/>
    <x v="0"/>
    <n v="90"/>
    <n v="2"/>
    <n v="1"/>
    <x v="6"/>
    <n v="4"/>
    <s v="Single"/>
    <n v="2785"/>
    <n v="11882"/>
    <n v="7"/>
    <s v="Y"/>
    <x v="1"/>
    <n v="14"/>
    <n v="3"/>
    <n v="3"/>
    <n v="80"/>
    <n v="0"/>
    <n v="3"/>
    <n v="3"/>
    <n v="4"/>
    <n v="1"/>
    <x v="1"/>
    <n v="0"/>
    <n v="0"/>
    <n v="0"/>
    <x v="0"/>
    <n v="1"/>
  </r>
  <r>
    <n v="35"/>
    <x v="1"/>
    <x v="0"/>
    <x v="1"/>
    <n v="662"/>
    <x v="0"/>
    <n v="18"/>
    <n v="4"/>
    <s v="Marketing"/>
    <n v="1"/>
    <n v="1380"/>
    <n v="4"/>
    <x v="0"/>
    <n v="67"/>
    <n v="3"/>
    <n v="2"/>
    <x v="0"/>
    <n v="3"/>
    <s v="Married"/>
    <n v="4614"/>
    <n v="23288"/>
    <n v="0"/>
    <s v="Y"/>
    <x v="0"/>
    <n v="18"/>
    <n v="3"/>
    <n v="3"/>
    <n v="80"/>
    <n v="1"/>
    <n v="5"/>
    <n v="0"/>
    <n v="2"/>
    <n v="4"/>
    <x v="2"/>
    <n v="2"/>
    <n v="3"/>
    <n v="2"/>
    <x v="2"/>
    <n v="1"/>
  </r>
  <r>
    <n v="38"/>
    <x v="1"/>
    <x v="1"/>
    <x v="1"/>
    <n v="693"/>
    <x v="1"/>
    <n v="7"/>
    <n v="3"/>
    <s v="Life Sciences"/>
    <n v="1"/>
    <n v="1382"/>
    <n v="4"/>
    <x v="1"/>
    <n v="57"/>
    <n v="4"/>
    <n v="1"/>
    <x v="1"/>
    <n v="3"/>
    <s v="Divorced"/>
    <n v="2610"/>
    <n v="15748"/>
    <n v="1"/>
    <s v="Y"/>
    <x v="1"/>
    <n v="11"/>
    <n v="3"/>
    <n v="4"/>
    <n v="80"/>
    <n v="3"/>
    <n v="4"/>
    <n v="2"/>
    <n v="3"/>
    <n v="4"/>
    <x v="2"/>
    <n v="2"/>
    <n v="0"/>
    <n v="3"/>
    <x v="2"/>
    <n v="0"/>
  </r>
  <r>
    <n v="34"/>
    <x v="1"/>
    <x v="1"/>
    <x v="0"/>
    <n v="404"/>
    <x v="1"/>
    <n v="2"/>
    <n v="4"/>
    <s v="Technical Degree"/>
    <n v="1"/>
    <n v="1383"/>
    <n v="3"/>
    <x v="0"/>
    <n v="98"/>
    <n v="3"/>
    <n v="2"/>
    <x v="4"/>
    <n v="4"/>
    <s v="Single"/>
    <n v="6687"/>
    <n v="6163"/>
    <n v="1"/>
    <s v="Y"/>
    <x v="1"/>
    <n v="11"/>
    <n v="3"/>
    <n v="4"/>
    <n v="80"/>
    <n v="0"/>
    <n v="14"/>
    <n v="2"/>
    <n v="4"/>
    <n v="14"/>
    <x v="3"/>
    <n v="11"/>
    <n v="4"/>
    <n v="11"/>
    <x v="0"/>
    <n v="0"/>
  </r>
  <r>
    <n v="28"/>
    <x v="2"/>
    <x v="1"/>
    <x v="0"/>
    <n v="736"/>
    <x v="0"/>
    <n v="26"/>
    <n v="3"/>
    <s v="Life Sciences"/>
    <n v="1"/>
    <n v="1387"/>
    <n v="3"/>
    <x v="1"/>
    <n v="48"/>
    <n v="2"/>
    <n v="2"/>
    <x v="0"/>
    <n v="1"/>
    <s v="Married"/>
    <n v="4724"/>
    <n v="24232"/>
    <n v="1"/>
    <s v="Y"/>
    <x v="1"/>
    <n v="11"/>
    <n v="3"/>
    <n v="3"/>
    <n v="80"/>
    <n v="1"/>
    <n v="5"/>
    <n v="0"/>
    <n v="3"/>
    <n v="5"/>
    <x v="2"/>
    <n v="3"/>
    <n v="0"/>
    <n v="4"/>
    <x v="3"/>
    <n v="0"/>
  </r>
  <r>
    <n v="31"/>
    <x v="1"/>
    <x v="0"/>
    <x v="0"/>
    <n v="330"/>
    <x v="1"/>
    <n v="22"/>
    <n v="4"/>
    <s v="Medical"/>
    <n v="1"/>
    <n v="1389"/>
    <n v="4"/>
    <x v="1"/>
    <n v="98"/>
    <n v="3"/>
    <n v="2"/>
    <x v="3"/>
    <n v="3"/>
    <s v="Married"/>
    <n v="6179"/>
    <n v="21057"/>
    <n v="1"/>
    <s v="Y"/>
    <x v="0"/>
    <n v="15"/>
    <n v="3"/>
    <n v="4"/>
    <n v="80"/>
    <n v="2"/>
    <n v="10"/>
    <n v="3"/>
    <n v="2"/>
    <n v="10"/>
    <x v="0"/>
    <n v="2"/>
    <n v="6"/>
    <n v="7"/>
    <x v="2"/>
    <n v="1"/>
  </r>
  <r>
    <n v="39"/>
    <x v="1"/>
    <x v="1"/>
    <x v="0"/>
    <n v="1498"/>
    <x v="0"/>
    <n v="21"/>
    <n v="4"/>
    <s v="Life Sciences"/>
    <n v="1"/>
    <n v="1390"/>
    <n v="1"/>
    <x v="1"/>
    <n v="44"/>
    <n v="2"/>
    <n v="2"/>
    <x v="0"/>
    <n v="4"/>
    <s v="Married"/>
    <n v="6120"/>
    <n v="3567"/>
    <n v="3"/>
    <s v="Y"/>
    <x v="0"/>
    <n v="12"/>
    <n v="3"/>
    <n v="4"/>
    <n v="80"/>
    <n v="2"/>
    <n v="8"/>
    <n v="2"/>
    <n v="4"/>
    <n v="5"/>
    <x v="2"/>
    <n v="4"/>
    <n v="1"/>
    <n v="4"/>
    <x v="0"/>
    <n v="0"/>
  </r>
  <r>
    <n v="51"/>
    <x v="3"/>
    <x v="1"/>
    <x v="1"/>
    <n v="541"/>
    <x v="0"/>
    <n v="2"/>
    <n v="3"/>
    <s v="Marketing"/>
    <n v="1"/>
    <n v="1391"/>
    <n v="2"/>
    <x v="1"/>
    <n v="52"/>
    <n v="3"/>
    <n v="3"/>
    <x v="0"/>
    <n v="2"/>
    <s v="Married"/>
    <n v="10596"/>
    <n v="15395"/>
    <n v="2"/>
    <s v="Y"/>
    <x v="1"/>
    <n v="11"/>
    <n v="3"/>
    <n v="2"/>
    <n v="80"/>
    <n v="0"/>
    <n v="14"/>
    <n v="5"/>
    <n v="3"/>
    <n v="4"/>
    <x v="2"/>
    <n v="2"/>
    <n v="3"/>
    <n v="2"/>
    <x v="1"/>
    <n v="0"/>
  </r>
  <r>
    <n v="41"/>
    <x v="0"/>
    <x v="1"/>
    <x v="1"/>
    <n v="1200"/>
    <x v="1"/>
    <n v="22"/>
    <n v="3"/>
    <s v="Life Sciences"/>
    <n v="1"/>
    <n v="1392"/>
    <n v="4"/>
    <x v="0"/>
    <n v="75"/>
    <n v="3"/>
    <n v="2"/>
    <x v="1"/>
    <n v="4"/>
    <s v="Divorced"/>
    <n v="5467"/>
    <n v="13953"/>
    <n v="3"/>
    <s v="Y"/>
    <x v="0"/>
    <n v="14"/>
    <n v="3"/>
    <n v="1"/>
    <n v="80"/>
    <n v="2"/>
    <n v="12"/>
    <n v="4"/>
    <n v="2"/>
    <n v="6"/>
    <x v="0"/>
    <n v="2"/>
    <n v="3"/>
    <n v="3"/>
    <x v="0"/>
    <n v="0"/>
  </r>
  <r>
    <n v="37"/>
    <x v="1"/>
    <x v="1"/>
    <x v="0"/>
    <n v="1439"/>
    <x v="1"/>
    <n v="4"/>
    <n v="1"/>
    <s v="Life Sciences"/>
    <n v="1"/>
    <n v="1394"/>
    <n v="3"/>
    <x v="1"/>
    <n v="54"/>
    <n v="3"/>
    <n v="1"/>
    <x v="1"/>
    <n v="3"/>
    <s v="Married"/>
    <n v="2996"/>
    <n v="5182"/>
    <n v="7"/>
    <s v="Y"/>
    <x v="0"/>
    <n v="15"/>
    <n v="3"/>
    <n v="4"/>
    <n v="80"/>
    <n v="0"/>
    <n v="8"/>
    <n v="2"/>
    <n v="3"/>
    <n v="6"/>
    <x v="0"/>
    <n v="4"/>
    <n v="1"/>
    <n v="3"/>
    <x v="2"/>
    <n v="0"/>
  </r>
  <r>
    <n v="33"/>
    <x v="1"/>
    <x v="1"/>
    <x v="1"/>
    <n v="1111"/>
    <x v="0"/>
    <n v="5"/>
    <n v="1"/>
    <s v="Life Sciences"/>
    <n v="1"/>
    <n v="1395"/>
    <n v="2"/>
    <x v="1"/>
    <n v="61"/>
    <n v="3"/>
    <n v="2"/>
    <x v="0"/>
    <n v="4"/>
    <s v="Married"/>
    <n v="9998"/>
    <n v="19293"/>
    <n v="6"/>
    <s v="Y"/>
    <x v="1"/>
    <n v="13"/>
    <n v="3"/>
    <n v="1"/>
    <n v="80"/>
    <n v="0"/>
    <n v="8"/>
    <n v="2"/>
    <n v="4"/>
    <n v="5"/>
    <x v="2"/>
    <n v="4"/>
    <n v="1"/>
    <n v="2"/>
    <x v="0"/>
    <n v="0"/>
  </r>
  <r>
    <n v="32"/>
    <x v="1"/>
    <x v="1"/>
    <x v="0"/>
    <n v="499"/>
    <x v="0"/>
    <n v="2"/>
    <n v="1"/>
    <s v="Marketing"/>
    <n v="1"/>
    <n v="1396"/>
    <n v="3"/>
    <x v="1"/>
    <n v="36"/>
    <n v="3"/>
    <n v="2"/>
    <x v="0"/>
    <n v="2"/>
    <s v="Married"/>
    <n v="4078"/>
    <n v="20497"/>
    <n v="0"/>
    <s v="Y"/>
    <x v="0"/>
    <n v="13"/>
    <n v="3"/>
    <n v="1"/>
    <n v="80"/>
    <n v="3"/>
    <n v="4"/>
    <n v="3"/>
    <n v="2"/>
    <n v="3"/>
    <x v="2"/>
    <n v="2"/>
    <n v="1"/>
    <n v="2"/>
    <x v="1"/>
    <n v="0"/>
  </r>
  <r>
    <n v="39"/>
    <x v="1"/>
    <x v="1"/>
    <x v="2"/>
    <n v="1485"/>
    <x v="1"/>
    <n v="25"/>
    <n v="2"/>
    <s v="Life Sciences"/>
    <n v="1"/>
    <n v="1397"/>
    <n v="3"/>
    <x v="1"/>
    <n v="71"/>
    <n v="3"/>
    <n v="3"/>
    <x v="4"/>
    <n v="3"/>
    <s v="Married"/>
    <n v="10920"/>
    <n v="3449"/>
    <n v="3"/>
    <s v="Y"/>
    <x v="1"/>
    <n v="21"/>
    <n v="4"/>
    <n v="2"/>
    <n v="80"/>
    <n v="1"/>
    <n v="13"/>
    <n v="2"/>
    <n v="3"/>
    <n v="6"/>
    <x v="0"/>
    <n v="4"/>
    <n v="0"/>
    <n v="5"/>
    <x v="2"/>
    <n v="0"/>
  </r>
  <r>
    <n v="25"/>
    <x v="2"/>
    <x v="1"/>
    <x v="0"/>
    <n v="1372"/>
    <x v="0"/>
    <n v="18"/>
    <n v="1"/>
    <s v="Life Sciences"/>
    <n v="1"/>
    <n v="1399"/>
    <n v="1"/>
    <x v="1"/>
    <n v="93"/>
    <n v="4"/>
    <n v="2"/>
    <x v="0"/>
    <n v="3"/>
    <s v="Married"/>
    <n v="6232"/>
    <n v="12477"/>
    <n v="2"/>
    <s v="Y"/>
    <x v="1"/>
    <n v="11"/>
    <n v="3"/>
    <n v="2"/>
    <n v="80"/>
    <n v="0"/>
    <n v="6"/>
    <n v="3"/>
    <n v="2"/>
    <n v="3"/>
    <x v="2"/>
    <n v="2"/>
    <n v="1"/>
    <n v="2"/>
    <x v="2"/>
    <n v="0"/>
  </r>
  <r>
    <n v="52"/>
    <x v="3"/>
    <x v="1"/>
    <x v="1"/>
    <n v="322"/>
    <x v="1"/>
    <n v="28"/>
    <n v="2"/>
    <s v="Medical"/>
    <n v="1"/>
    <n v="1401"/>
    <n v="4"/>
    <x v="0"/>
    <n v="59"/>
    <n v="4"/>
    <n v="4"/>
    <x v="3"/>
    <n v="3"/>
    <s v="Married"/>
    <n v="13247"/>
    <n v="9731"/>
    <n v="2"/>
    <s v="Y"/>
    <x v="0"/>
    <n v="11"/>
    <n v="3"/>
    <n v="2"/>
    <n v="80"/>
    <n v="1"/>
    <n v="24"/>
    <n v="3"/>
    <n v="2"/>
    <n v="5"/>
    <x v="2"/>
    <n v="3"/>
    <n v="0"/>
    <n v="2"/>
    <x v="2"/>
    <n v="0"/>
  </r>
  <r>
    <n v="43"/>
    <x v="0"/>
    <x v="1"/>
    <x v="0"/>
    <n v="930"/>
    <x v="1"/>
    <n v="6"/>
    <n v="3"/>
    <s v="Medical"/>
    <n v="1"/>
    <n v="1402"/>
    <n v="1"/>
    <x v="0"/>
    <n v="73"/>
    <n v="2"/>
    <n v="2"/>
    <x v="1"/>
    <n v="3"/>
    <s v="Single"/>
    <n v="4081"/>
    <n v="20003"/>
    <n v="1"/>
    <s v="Y"/>
    <x v="0"/>
    <n v="14"/>
    <n v="3"/>
    <n v="1"/>
    <n v="80"/>
    <n v="0"/>
    <n v="20"/>
    <n v="3"/>
    <n v="1"/>
    <n v="20"/>
    <x v="3"/>
    <n v="7"/>
    <n v="1"/>
    <n v="8"/>
    <x v="2"/>
    <n v="0"/>
  </r>
  <r>
    <n v="27"/>
    <x v="2"/>
    <x v="1"/>
    <x v="0"/>
    <n v="205"/>
    <x v="0"/>
    <n v="10"/>
    <n v="3"/>
    <s v="Marketing"/>
    <n v="1"/>
    <n v="1403"/>
    <n v="4"/>
    <x v="0"/>
    <n v="98"/>
    <n v="2"/>
    <n v="2"/>
    <x v="0"/>
    <n v="4"/>
    <s v="Married"/>
    <n v="5769"/>
    <n v="7100"/>
    <n v="1"/>
    <s v="Y"/>
    <x v="0"/>
    <n v="11"/>
    <n v="3"/>
    <n v="4"/>
    <n v="80"/>
    <n v="0"/>
    <n v="6"/>
    <n v="3"/>
    <n v="3"/>
    <n v="6"/>
    <x v="0"/>
    <n v="2"/>
    <n v="4"/>
    <n v="4"/>
    <x v="0"/>
    <n v="0"/>
  </r>
  <r>
    <n v="27"/>
    <x v="2"/>
    <x v="0"/>
    <x v="0"/>
    <n v="135"/>
    <x v="1"/>
    <n v="17"/>
    <n v="4"/>
    <s v="Life Sciences"/>
    <n v="1"/>
    <n v="1405"/>
    <n v="4"/>
    <x v="0"/>
    <n v="51"/>
    <n v="3"/>
    <n v="1"/>
    <x v="1"/>
    <n v="3"/>
    <s v="Single"/>
    <n v="2394"/>
    <n v="25681"/>
    <n v="1"/>
    <s v="Y"/>
    <x v="0"/>
    <n v="13"/>
    <n v="3"/>
    <n v="4"/>
    <n v="80"/>
    <n v="0"/>
    <n v="8"/>
    <n v="2"/>
    <n v="3"/>
    <n v="8"/>
    <x v="0"/>
    <n v="2"/>
    <n v="7"/>
    <n v="7"/>
    <x v="2"/>
    <n v="1"/>
  </r>
  <r>
    <n v="26"/>
    <x v="2"/>
    <x v="1"/>
    <x v="0"/>
    <n v="683"/>
    <x v="1"/>
    <n v="2"/>
    <n v="1"/>
    <s v="Medical"/>
    <n v="1"/>
    <n v="1407"/>
    <n v="1"/>
    <x v="1"/>
    <n v="36"/>
    <n v="2"/>
    <n v="1"/>
    <x v="1"/>
    <n v="4"/>
    <s v="Single"/>
    <n v="3904"/>
    <n v="4050"/>
    <n v="0"/>
    <s v="Y"/>
    <x v="1"/>
    <n v="12"/>
    <n v="3"/>
    <n v="4"/>
    <n v="80"/>
    <n v="0"/>
    <n v="5"/>
    <n v="2"/>
    <n v="3"/>
    <n v="4"/>
    <x v="2"/>
    <n v="3"/>
    <n v="1"/>
    <n v="1"/>
    <x v="0"/>
    <n v="0"/>
  </r>
  <r>
    <n v="42"/>
    <x v="0"/>
    <x v="1"/>
    <x v="0"/>
    <n v="1147"/>
    <x v="2"/>
    <n v="10"/>
    <n v="3"/>
    <s v="Human Resources"/>
    <n v="1"/>
    <n v="1408"/>
    <n v="3"/>
    <x v="0"/>
    <n v="31"/>
    <n v="3"/>
    <n v="4"/>
    <x v="5"/>
    <n v="1"/>
    <s v="Married"/>
    <n v="16799"/>
    <n v="16616"/>
    <n v="0"/>
    <s v="Y"/>
    <x v="1"/>
    <n v="14"/>
    <n v="3"/>
    <n v="3"/>
    <n v="80"/>
    <n v="1"/>
    <n v="21"/>
    <n v="5"/>
    <n v="3"/>
    <n v="20"/>
    <x v="3"/>
    <n v="7"/>
    <n v="0"/>
    <n v="9"/>
    <x v="3"/>
    <n v="0"/>
  </r>
  <r>
    <n v="52"/>
    <x v="3"/>
    <x v="1"/>
    <x v="0"/>
    <n v="258"/>
    <x v="1"/>
    <n v="8"/>
    <n v="4"/>
    <s v="Other"/>
    <n v="1"/>
    <n v="1409"/>
    <n v="3"/>
    <x v="0"/>
    <n v="54"/>
    <n v="3"/>
    <n v="1"/>
    <x v="2"/>
    <n v="1"/>
    <s v="Married"/>
    <n v="2950"/>
    <n v="17363"/>
    <n v="9"/>
    <s v="Y"/>
    <x v="1"/>
    <n v="13"/>
    <n v="3"/>
    <n v="3"/>
    <n v="80"/>
    <n v="0"/>
    <n v="12"/>
    <n v="2"/>
    <n v="1"/>
    <n v="5"/>
    <x v="2"/>
    <n v="4"/>
    <n v="0"/>
    <n v="4"/>
    <x v="3"/>
    <n v="0"/>
  </r>
  <r>
    <n v="37"/>
    <x v="1"/>
    <x v="1"/>
    <x v="0"/>
    <n v="1462"/>
    <x v="1"/>
    <n v="11"/>
    <n v="3"/>
    <s v="Medical"/>
    <n v="1"/>
    <n v="1411"/>
    <n v="1"/>
    <x v="0"/>
    <n v="94"/>
    <n v="3"/>
    <n v="1"/>
    <x v="2"/>
    <n v="3"/>
    <s v="Single"/>
    <n v="3629"/>
    <n v="19106"/>
    <n v="4"/>
    <s v="Y"/>
    <x v="1"/>
    <n v="18"/>
    <n v="3"/>
    <n v="1"/>
    <n v="80"/>
    <n v="0"/>
    <n v="8"/>
    <n v="6"/>
    <n v="3"/>
    <n v="3"/>
    <x v="2"/>
    <n v="2"/>
    <n v="0"/>
    <n v="2"/>
    <x v="2"/>
    <n v="0"/>
  </r>
  <r>
    <n v="35"/>
    <x v="1"/>
    <x v="1"/>
    <x v="1"/>
    <n v="200"/>
    <x v="1"/>
    <n v="18"/>
    <n v="2"/>
    <s v="Life Sciences"/>
    <n v="1"/>
    <n v="1412"/>
    <n v="3"/>
    <x v="1"/>
    <n v="60"/>
    <n v="3"/>
    <n v="3"/>
    <x v="3"/>
    <n v="4"/>
    <s v="Single"/>
    <n v="9362"/>
    <n v="19944"/>
    <n v="2"/>
    <s v="Y"/>
    <x v="1"/>
    <n v="11"/>
    <n v="3"/>
    <n v="3"/>
    <n v="80"/>
    <n v="0"/>
    <n v="10"/>
    <n v="2"/>
    <n v="3"/>
    <n v="2"/>
    <x v="1"/>
    <n v="2"/>
    <n v="2"/>
    <n v="2"/>
    <x v="0"/>
    <n v="0"/>
  </r>
  <r>
    <n v="25"/>
    <x v="2"/>
    <x v="1"/>
    <x v="0"/>
    <n v="949"/>
    <x v="1"/>
    <n v="1"/>
    <n v="3"/>
    <s v="Technical Degree"/>
    <n v="1"/>
    <n v="1415"/>
    <n v="1"/>
    <x v="1"/>
    <n v="81"/>
    <n v="3"/>
    <n v="1"/>
    <x v="2"/>
    <n v="4"/>
    <s v="Married"/>
    <n v="3229"/>
    <n v="4910"/>
    <n v="4"/>
    <s v="Y"/>
    <x v="1"/>
    <n v="11"/>
    <n v="3"/>
    <n v="2"/>
    <n v="80"/>
    <n v="1"/>
    <n v="7"/>
    <n v="2"/>
    <n v="2"/>
    <n v="3"/>
    <x v="2"/>
    <n v="2"/>
    <n v="0"/>
    <n v="2"/>
    <x v="0"/>
    <n v="0"/>
  </r>
  <r>
    <n v="26"/>
    <x v="2"/>
    <x v="1"/>
    <x v="0"/>
    <n v="652"/>
    <x v="1"/>
    <n v="7"/>
    <n v="3"/>
    <s v="Other"/>
    <n v="1"/>
    <n v="1417"/>
    <n v="3"/>
    <x v="1"/>
    <n v="100"/>
    <n v="4"/>
    <n v="1"/>
    <x v="2"/>
    <n v="1"/>
    <s v="Single"/>
    <n v="3578"/>
    <n v="23577"/>
    <n v="0"/>
    <s v="Y"/>
    <x v="1"/>
    <n v="12"/>
    <n v="3"/>
    <n v="4"/>
    <n v="80"/>
    <n v="0"/>
    <n v="8"/>
    <n v="2"/>
    <n v="3"/>
    <n v="7"/>
    <x v="0"/>
    <n v="7"/>
    <n v="0"/>
    <n v="7"/>
    <x v="3"/>
    <n v="0"/>
  </r>
  <r>
    <n v="29"/>
    <x v="2"/>
    <x v="1"/>
    <x v="0"/>
    <n v="332"/>
    <x v="2"/>
    <n v="17"/>
    <n v="3"/>
    <s v="Other"/>
    <n v="1"/>
    <n v="1419"/>
    <n v="2"/>
    <x v="1"/>
    <n v="51"/>
    <n v="2"/>
    <n v="3"/>
    <x v="8"/>
    <n v="1"/>
    <s v="Single"/>
    <n v="7988"/>
    <n v="9769"/>
    <n v="1"/>
    <s v="Y"/>
    <x v="1"/>
    <n v="13"/>
    <n v="3"/>
    <n v="1"/>
    <n v="80"/>
    <n v="0"/>
    <n v="10"/>
    <n v="3"/>
    <n v="2"/>
    <n v="10"/>
    <x v="0"/>
    <n v="9"/>
    <n v="0"/>
    <n v="9"/>
    <x v="3"/>
    <n v="0"/>
  </r>
  <r>
    <n v="49"/>
    <x v="0"/>
    <x v="0"/>
    <x v="1"/>
    <n v="1475"/>
    <x v="1"/>
    <n v="28"/>
    <n v="2"/>
    <s v="Life Sciences"/>
    <n v="1"/>
    <n v="1420"/>
    <n v="1"/>
    <x v="1"/>
    <n v="97"/>
    <n v="2"/>
    <n v="2"/>
    <x v="2"/>
    <n v="1"/>
    <s v="Single"/>
    <n v="4284"/>
    <n v="22710"/>
    <n v="3"/>
    <s v="Y"/>
    <x v="1"/>
    <n v="20"/>
    <n v="4"/>
    <n v="1"/>
    <n v="80"/>
    <n v="0"/>
    <n v="20"/>
    <n v="2"/>
    <n v="3"/>
    <n v="4"/>
    <x v="2"/>
    <n v="3"/>
    <n v="1"/>
    <n v="3"/>
    <x v="3"/>
    <n v="1"/>
  </r>
  <r>
    <n v="29"/>
    <x v="2"/>
    <x v="0"/>
    <x v="1"/>
    <n v="337"/>
    <x v="1"/>
    <n v="14"/>
    <n v="1"/>
    <s v="Other"/>
    <n v="1"/>
    <n v="1421"/>
    <n v="3"/>
    <x v="0"/>
    <n v="84"/>
    <n v="3"/>
    <n v="3"/>
    <x v="4"/>
    <n v="4"/>
    <s v="Single"/>
    <n v="7553"/>
    <n v="22930"/>
    <n v="0"/>
    <s v="Y"/>
    <x v="0"/>
    <n v="12"/>
    <n v="3"/>
    <n v="1"/>
    <n v="80"/>
    <n v="0"/>
    <n v="9"/>
    <n v="1"/>
    <n v="3"/>
    <n v="8"/>
    <x v="0"/>
    <n v="7"/>
    <n v="7"/>
    <n v="7"/>
    <x v="0"/>
    <n v="1"/>
  </r>
  <r>
    <n v="54"/>
    <x v="3"/>
    <x v="1"/>
    <x v="0"/>
    <n v="971"/>
    <x v="1"/>
    <n v="1"/>
    <n v="3"/>
    <s v="Medical"/>
    <n v="1"/>
    <n v="1422"/>
    <n v="4"/>
    <x v="0"/>
    <n v="54"/>
    <n v="3"/>
    <n v="4"/>
    <x v="7"/>
    <n v="4"/>
    <s v="Single"/>
    <n v="17328"/>
    <n v="5652"/>
    <n v="6"/>
    <s v="Y"/>
    <x v="1"/>
    <n v="19"/>
    <n v="3"/>
    <n v="4"/>
    <n v="80"/>
    <n v="0"/>
    <n v="29"/>
    <n v="3"/>
    <n v="2"/>
    <n v="20"/>
    <x v="3"/>
    <n v="7"/>
    <n v="12"/>
    <n v="7"/>
    <x v="0"/>
    <n v="0"/>
  </r>
  <r>
    <n v="58"/>
    <x v="3"/>
    <x v="1"/>
    <x v="0"/>
    <n v="1055"/>
    <x v="1"/>
    <n v="1"/>
    <n v="3"/>
    <s v="Medical"/>
    <n v="1"/>
    <n v="1423"/>
    <n v="4"/>
    <x v="0"/>
    <n v="76"/>
    <n v="3"/>
    <n v="5"/>
    <x v="7"/>
    <n v="1"/>
    <s v="Married"/>
    <n v="19701"/>
    <n v="22456"/>
    <n v="3"/>
    <s v="Y"/>
    <x v="0"/>
    <n v="21"/>
    <n v="4"/>
    <n v="3"/>
    <n v="80"/>
    <n v="1"/>
    <n v="32"/>
    <n v="3"/>
    <n v="3"/>
    <n v="9"/>
    <x v="0"/>
    <n v="8"/>
    <n v="1"/>
    <n v="5"/>
    <x v="3"/>
    <n v="0"/>
  </r>
  <r>
    <n v="55"/>
    <x v="3"/>
    <x v="1"/>
    <x v="0"/>
    <n v="1136"/>
    <x v="1"/>
    <n v="1"/>
    <n v="4"/>
    <s v="Medical"/>
    <n v="1"/>
    <n v="1424"/>
    <n v="2"/>
    <x v="1"/>
    <n v="81"/>
    <n v="4"/>
    <n v="4"/>
    <x v="7"/>
    <n v="4"/>
    <s v="Divorced"/>
    <n v="14732"/>
    <n v="12414"/>
    <n v="2"/>
    <s v="Y"/>
    <x v="1"/>
    <n v="13"/>
    <n v="3"/>
    <n v="4"/>
    <n v="80"/>
    <n v="2"/>
    <n v="31"/>
    <n v="4"/>
    <n v="4"/>
    <n v="7"/>
    <x v="0"/>
    <n v="7"/>
    <n v="0"/>
    <n v="0"/>
    <x v="0"/>
    <n v="0"/>
  </r>
  <r>
    <n v="36"/>
    <x v="1"/>
    <x v="1"/>
    <x v="0"/>
    <n v="1174"/>
    <x v="0"/>
    <n v="3"/>
    <n v="4"/>
    <s v="Marketing"/>
    <n v="1"/>
    <n v="1425"/>
    <n v="1"/>
    <x v="0"/>
    <n v="99"/>
    <n v="3"/>
    <n v="2"/>
    <x v="0"/>
    <n v="2"/>
    <s v="Single"/>
    <n v="9278"/>
    <n v="20763"/>
    <n v="3"/>
    <s v="Y"/>
    <x v="0"/>
    <n v="16"/>
    <n v="3"/>
    <n v="4"/>
    <n v="80"/>
    <n v="0"/>
    <n v="15"/>
    <n v="3"/>
    <n v="3"/>
    <n v="5"/>
    <x v="2"/>
    <n v="4"/>
    <n v="0"/>
    <n v="1"/>
    <x v="1"/>
    <n v="0"/>
  </r>
  <r>
    <n v="31"/>
    <x v="1"/>
    <x v="0"/>
    <x v="1"/>
    <n v="667"/>
    <x v="0"/>
    <n v="1"/>
    <n v="4"/>
    <s v="Life Sciences"/>
    <n v="1"/>
    <n v="1427"/>
    <n v="2"/>
    <x v="0"/>
    <n v="50"/>
    <n v="1"/>
    <n v="1"/>
    <x v="6"/>
    <n v="3"/>
    <s v="Single"/>
    <n v="1359"/>
    <n v="16154"/>
    <n v="1"/>
    <s v="Y"/>
    <x v="1"/>
    <n v="12"/>
    <n v="3"/>
    <n v="2"/>
    <n v="80"/>
    <n v="0"/>
    <n v="1"/>
    <n v="3"/>
    <n v="3"/>
    <n v="1"/>
    <x v="1"/>
    <n v="0"/>
    <n v="0"/>
    <n v="0"/>
    <x v="2"/>
    <n v="1"/>
  </r>
  <r>
    <n v="30"/>
    <x v="1"/>
    <x v="1"/>
    <x v="0"/>
    <n v="855"/>
    <x v="0"/>
    <n v="7"/>
    <n v="4"/>
    <s v="Marketing"/>
    <n v="1"/>
    <n v="1428"/>
    <n v="4"/>
    <x v="0"/>
    <n v="73"/>
    <n v="3"/>
    <n v="2"/>
    <x v="0"/>
    <n v="1"/>
    <s v="Divorced"/>
    <n v="4779"/>
    <n v="12761"/>
    <n v="7"/>
    <s v="Y"/>
    <x v="1"/>
    <n v="14"/>
    <n v="3"/>
    <n v="2"/>
    <n v="80"/>
    <n v="2"/>
    <n v="8"/>
    <n v="3"/>
    <n v="3"/>
    <n v="3"/>
    <x v="2"/>
    <n v="2"/>
    <n v="0"/>
    <n v="2"/>
    <x v="3"/>
    <n v="0"/>
  </r>
  <r>
    <n v="31"/>
    <x v="1"/>
    <x v="1"/>
    <x v="0"/>
    <n v="182"/>
    <x v="1"/>
    <n v="8"/>
    <n v="5"/>
    <s v="Life Sciences"/>
    <n v="1"/>
    <n v="1430"/>
    <n v="1"/>
    <x v="0"/>
    <n v="93"/>
    <n v="3"/>
    <n v="4"/>
    <x v="7"/>
    <n v="2"/>
    <s v="Single"/>
    <n v="16422"/>
    <n v="8847"/>
    <n v="3"/>
    <s v="Y"/>
    <x v="1"/>
    <n v="11"/>
    <n v="3"/>
    <n v="3"/>
    <n v="80"/>
    <n v="0"/>
    <n v="9"/>
    <n v="3"/>
    <n v="4"/>
    <n v="3"/>
    <x v="2"/>
    <n v="2"/>
    <n v="1"/>
    <n v="0"/>
    <x v="1"/>
    <n v="0"/>
  </r>
  <r>
    <n v="34"/>
    <x v="1"/>
    <x v="1"/>
    <x v="1"/>
    <n v="560"/>
    <x v="1"/>
    <n v="1"/>
    <n v="4"/>
    <s v="Other"/>
    <n v="1"/>
    <n v="1431"/>
    <n v="4"/>
    <x v="1"/>
    <n v="91"/>
    <n v="3"/>
    <n v="1"/>
    <x v="1"/>
    <n v="1"/>
    <s v="Divorced"/>
    <n v="2996"/>
    <n v="20284"/>
    <n v="5"/>
    <s v="Y"/>
    <x v="1"/>
    <n v="14"/>
    <n v="3"/>
    <n v="3"/>
    <n v="80"/>
    <n v="2"/>
    <n v="10"/>
    <n v="2"/>
    <n v="3"/>
    <n v="4"/>
    <x v="2"/>
    <n v="3"/>
    <n v="1"/>
    <n v="3"/>
    <x v="3"/>
    <n v="0"/>
  </r>
  <r>
    <n v="31"/>
    <x v="1"/>
    <x v="0"/>
    <x v="0"/>
    <n v="202"/>
    <x v="1"/>
    <n v="8"/>
    <n v="3"/>
    <s v="Life Sciences"/>
    <n v="1"/>
    <n v="1433"/>
    <n v="1"/>
    <x v="0"/>
    <n v="34"/>
    <n v="2"/>
    <n v="1"/>
    <x v="1"/>
    <n v="2"/>
    <s v="Single"/>
    <n v="1261"/>
    <n v="22262"/>
    <n v="1"/>
    <s v="Y"/>
    <x v="1"/>
    <n v="12"/>
    <n v="3"/>
    <n v="3"/>
    <n v="80"/>
    <n v="0"/>
    <n v="1"/>
    <n v="3"/>
    <n v="4"/>
    <n v="1"/>
    <x v="1"/>
    <n v="0"/>
    <n v="0"/>
    <n v="0"/>
    <x v="1"/>
    <n v="1"/>
  </r>
  <r>
    <n v="27"/>
    <x v="2"/>
    <x v="1"/>
    <x v="0"/>
    <n v="1377"/>
    <x v="1"/>
    <n v="11"/>
    <n v="1"/>
    <s v="Life Sciences"/>
    <n v="1"/>
    <n v="1434"/>
    <n v="2"/>
    <x v="1"/>
    <n v="91"/>
    <n v="3"/>
    <n v="1"/>
    <x v="2"/>
    <n v="1"/>
    <s v="Married"/>
    <n v="2099"/>
    <n v="7679"/>
    <n v="0"/>
    <s v="Y"/>
    <x v="1"/>
    <n v="14"/>
    <n v="3"/>
    <n v="2"/>
    <n v="80"/>
    <n v="0"/>
    <n v="6"/>
    <n v="3"/>
    <n v="4"/>
    <n v="5"/>
    <x v="2"/>
    <n v="0"/>
    <n v="1"/>
    <n v="4"/>
    <x v="3"/>
    <n v="0"/>
  </r>
  <r>
    <n v="36"/>
    <x v="1"/>
    <x v="1"/>
    <x v="0"/>
    <n v="172"/>
    <x v="1"/>
    <n v="4"/>
    <n v="4"/>
    <s v="Life Sciences"/>
    <n v="1"/>
    <n v="1435"/>
    <n v="1"/>
    <x v="1"/>
    <n v="37"/>
    <n v="2"/>
    <n v="2"/>
    <x v="2"/>
    <n v="4"/>
    <s v="Single"/>
    <n v="5810"/>
    <n v="22604"/>
    <n v="1"/>
    <s v="Y"/>
    <x v="1"/>
    <n v="16"/>
    <n v="3"/>
    <n v="3"/>
    <n v="80"/>
    <n v="0"/>
    <n v="10"/>
    <n v="2"/>
    <n v="2"/>
    <n v="10"/>
    <x v="0"/>
    <n v="4"/>
    <n v="1"/>
    <n v="8"/>
    <x v="0"/>
    <n v="0"/>
  </r>
  <r>
    <n v="36"/>
    <x v="1"/>
    <x v="1"/>
    <x v="0"/>
    <n v="329"/>
    <x v="0"/>
    <n v="16"/>
    <n v="4"/>
    <s v="Marketing"/>
    <n v="1"/>
    <n v="1436"/>
    <n v="3"/>
    <x v="0"/>
    <n v="98"/>
    <n v="2"/>
    <n v="2"/>
    <x v="0"/>
    <n v="1"/>
    <s v="Married"/>
    <n v="5647"/>
    <n v="13494"/>
    <n v="4"/>
    <s v="Y"/>
    <x v="1"/>
    <n v="13"/>
    <n v="3"/>
    <n v="1"/>
    <n v="80"/>
    <n v="2"/>
    <n v="11"/>
    <n v="3"/>
    <n v="2"/>
    <n v="3"/>
    <x v="2"/>
    <n v="2"/>
    <n v="0"/>
    <n v="2"/>
    <x v="3"/>
    <n v="0"/>
  </r>
  <r>
    <n v="47"/>
    <x v="0"/>
    <x v="1"/>
    <x v="0"/>
    <n v="465"/>
    <x v="1"/>
    <n v="1"/>
    <n v="3"/>
    <s v="Technical Degree"/>
    <n v="1"/>
    <n v="1438"/>
    <n v="1"/>
    <x v="1"/>
    <n v="74"/>
    <n v="3"/>
    <n v="1"/>
    <x v="1"/>
    <n v="4"/>
    <s v="Married"/>
    <n v="3420"/>
    <n v="10205"/>
    <n v="7"/>
    <s v="Y"/>
    <x v="1"/>
    <n v="12"/>
    <n v="3"/>
    <n v="3"/>
    <n v="80"/>
    <n v="1"/>
    <n v="17"/>
    <n v="2"/>
    <n v="2"/>
    <n v="6"/>
    <x v="0"/>
    <n v="5"/>
    <n v="1"/>
    <n v="2"/>
    <x v="0"/>
    <n v="0"/>
  </r>
  <r>
    <n v="25"/>
    <x v="2"/>
    <x v="0"/>
    <x v="0"/>
    <n v="383"/>
    <x v="0"/>
    <n v="9"/>
    <n v="2"/>
    <s v="Life Sciences"/>
    <n v="1"/>
    <n v="1439"/>
    <n v="1"/>
    <x v="1"/>
    <n v="68"/>
    <n v="2"/>
    <n v="1"/>
    <x v="6"/>
    <n v="1"/>
    <s v="Married"/>
    <n v="4400"/>
    <n v="15182"/>
    <n v="3"/>
    <s v="Y"/>
    <x v="1"/>
    <n v="12"/>
    <n v="3"/>
    <n v="1"/>
    <n v="80"/>
    <n v="0"/>
    <n v="6"/>
    <n v="2"/>
    <n v="3"/>
    <n v="3"/>
    <x v="2"/>
    <n v="2"/>
    <n v="2"/>
    <n v="2"/>
    <x v="3"/>
    <n v="1"/>
  </r>
  <r>
    <n v="37"/>
    <x v="1"/>
    <x v="1"/>
    <x v="2"/>
    <n v="1413"/>
    <x v="1"/>
    <n v="5"/>
    <n v="2"/>
    <s v="Technical Degree"/>
    <n v="1"/>
    <n v="1440"/>
    <n v="3"/>
    <x v="1"/>
    <n v="84"/>
    <n v="4"/>
    <n v="1"/>
    <x v="2"/>
    <n v="3"/>
    <s v="Single"/>
    <n v="3500"/>
    <n v="25470"/>
    <n v="0"/>
    <s v="Y"/>
    <x v="1"/>
    <n v="14"/>
    <n v="3"/>
    <n v="1"/>
    <n v="80"/>
    <n v="0"/>
    <n v="7"/>
    <n v="2"/>
    <n v="1"/>
    <n v="6"/>
    <x v="0"/>
    <n v="5"/>
    <n v="1"/>
    <n v="3"/>
    <x v="2"/>
    <n v="0"/>
  </r>
  <r>
    <n v="56"/>
    <x v="3"/>
    <x v="1"/>
    <x v="0"/>
    <n v="1255"/>
    <x v="1"/>
    <n v="1"/>
    <n v="2"/>
    <s v="Life Sciences"/>
    <n v="1"/>
    <n v="1441"/>
    <n v="1"/>
    <x v="0"/>
    <n v="90"/>
    <n v="3"/>
    <n v="1"/>
    <x v="1"/>
    <n v="1"/>
    <s v="Married"/>
    <n v="2066"/>
    <n v="10494"/>
    <n v="2"/>
    <s v="Y"/>
    <x v="1"/>
    <n v="22"/>
    <n v="4"/>
    <n v="4"/>
    <n v="80"/>
    <n v="1"/>
    <n v="5"/>
    <n v="3"/>
    <n v="4"/>
    <n v="3"/>
    <x v="2"/>
    <n v="2"/>
    <n v="1"/>
    <n v="0"/>
    <x v="3"/>
    <n v="0"/>
  </r>
  <r>
    <n v="47"/>
    <x v="0"/>
    <x v="1"/>
    <x v="0"/>
    <n v="359"/>
    <x v="1"/>
    <n v="2"/>
    <n v="4"/>
    <s v="Medical"/>
    <n v="1"/>
    <n v="1443"/>
    <n v="1"/>
    <x v="0"/>
    <n v="82"/>
    <n v="3"/>
    <n v="4"/>
    <x v="7"/>
    <n v="3"/>
    <s v="Married"/>
    <n v="17169"/>
    <n v="26703"/>
    <n v="3"/>
    <s v="Y"/>
    <x v="1"/>
    <n v="19"/>
    <n v="3"/>
    <n v="2"/>
    <n v="80"/>
    <n v="2"/>
    <n v="26"/>
    <n v="2"/>
    <n v="4"/>
    <n v="20"/>
    <x v="3"/>
    <n v="17"/>
    <n v="5"/>
    <n v="6"/>
    <x v="2"/>
    <n v="0"/>
  </r>
  <r>
    <n v="24"/>
    <x v="2"/>
    <x v="1"/>
    <x v="0"/>
    <n v="1476"/>
    <x v="0"/>
    <n v="4"/>
    <n v="1"/>
    <s v="Medical"/>
    <n v="1"/>
    <n v="1445"/>
    <n v="4"/>
    <x v="0"/>
    <n v="42"/>
    <n v="3"/>
    <n v="2"/>
    <x v="0"/>
    <n v="3"/>
    <s v="Married"/>
    <n v="4162"/>
    <n v="15211"/>
    <n v="1"/>
    <s v="Y"/>
    <x v="0"/>
    <n v="12"/>
    <n v="3"/>
    <n v="3"/>
    <n v="80"/>
    <n v="2"/>
    <n v="5"/>
    <n v="3"/>
    <n v="3"/>
    <n v="5"/>
    <x v="2"/>
    <n v="4"/>
    <n v="0"/>
    <n v="3"/>
    <x v="2"/>
    <n v="0"/>
  </r>
  <r>
    <n v="32"/>
    <x v="1"/>
    <x v="1"/>
    <x v="0"/>
    <n v="601"/>
    <x v="0"/>
    <n v="7"/>
    <n v="5"/>
    <s v="Marketing"/>
    <n v="1"/>
    <n v="1446"/>
    <n v="4"/>
    <x v="1"/>
    <n v="97"/>
    <n v="3"/>
    <n v="2"/>
    <x v="0"/>
    <n v="4"/>
    <s v="Married"/>
    <n v="9204"/>
    <n v="23343"/>
    <n v="4"/>
    <s v="Y"/>
    <x v="1"/>
    <n v="12"/>
    <n v="3"/>
    <n v="3"/>
    <n v="80"/>
    <n v="1"/>
    <n v="7"/>
    <n v="3"/>
    <n v="2"/>
    <n v="4"/>
    <x v="2"/>
    <n v="3"/>
    <n v="0"/>
    <n v="3"/>
    <x v="0"/>
    <n v="0"/>
  </r>
  <r>
    <n v="34"/>
    <x v="1"/>
    <x v="1"/>
    <x v="0"/>
    <n v="401"/>
    <x v="1"/>
    <n v="1"/>
    <n v="3"/>
    <s v="Life Sciences"/>
    <n v="1"/>
    <n v="1447"/>
    <n v="4"/>
    <x v="0"/>
    <n v="86"/>
    <n v="2"/>
    <n v="1"/>
    <x v="2"/>
    <n v="2"/>
    <s v="Married"/>
    <n v="3294"/>
    <n v="3708"/>
    <n v="5"/>
    <s v="Y"/>
    <x v="1"/>
    <n v="17"/>
    <n v="3"/>
    <n v="1"/>
    <n v="80"/>
    <n v="1"/>
    <n v="7"/>
    <n v="2"/>
    <n v="2"/>
    <n v="5"/>
    <x v="2"/>
    <n v="4"/>
    <n v="0"/>
    <n v="2"/>
    <x v="1"/>
    <n v="0"/>
  </r>
  <r>
    <n v="41"/>
    <x v="0"/>
    <x v="1"/>
    <x v="0"/>
    <n v="1283"/>
    <x v="1"/>
    <n v="5"/>
    <n v="5"/>
    <s v="Medical"/>
    <n v="1"/>
    <n v="1448"/>
    <n v="2"/>
    <x v="1"/>
    <n v="90"/>
    <n v="4"/>
    <n v="1"/>
    <x v="1"/>
    <n v="3"/>
    <s v="Married"/>
    <n v="2127"/>
    <n v="5561"/>
    <n v="2"/>
    <s v="Y"/>
    <x v="0"/>
    <n v="12"/>
    <n v="3"/>
    <n v="1"/>
    <n v="80"/>
    <n v="0"/>
    <n v="7"/>
    <n v="5"/>
    <n v="2"/>
    <n v="4"/>
    <x v="2"/>
    <n v="2"/>
    <n v="0"/>
    <n v="3"/>
    <x v="2"/>
    <n v="0"/>
  </r>
  <r>
    <n v="40"/>
    <x v="1"/>
    <x v="1"/>
    <x v="2"/>
    <n v="663"/>
    <x v="1"/>
    <n v="9"/>
    <n v="4"/>
    <s v="Other"/>
    <n v="1"/>
    <n v="1449"/>
    <n v="3"/>
    <x v="1"/>
    <n v="81"/>
    <n v="3"/>
    <n v="2"/>
    <x v="2"/>
    <n v="3"/>
    <s v="Divorced"/>
    <n v="3975"/>
    <n v="23099"/>
    <n v="3"/>
    <s v="Y"/>
    <x v="1"/>
    <n v="11"/>
    <n v="3"/>
    <n v="3"/>
    <n v="80"/>
    <n v="2"/>
    <n v="11"/>
    <n v="2"/>
    <n v="4"/>
    <n v="8"/>
    <x v="0"/>
    <n v="7"/>
    <n v="0"/>
    <n v="7"/>
    <x v="2"/>
    <n v="0"/>
  </r>
  <r>
    <n v="31"/>
    <x v="1"/>
    <x v="1"/>
    <x v="0"/>
    <n v="326"/>
    <x v="0"/>
    <n v="8"/>
    <n v="2"/>
    <s v="Life Sciences"/>
    <n v="1"/>
    <n v="1453"/>
    <n v="1"/>
    <x v="1"/>
    <n v="31"/>
    <n v="3"/>
    <n v="3"/>
    <x v="0"/>
    <n v="4"/>
    <s v="Divorced"/>
    <n v="10793"/>
    <n v="8386"/>
    <n v="1"/>
    <s v="Y"/>
    <x v="1"/>
    <n v="18"/>
    <n v="3"/>
    <n v="1"/>
    <n v="80"/>
    <n v="1"/>
    <n v="13"/>
    <n v="5"/>
    <n v="3"/>
    <n v="13"/>
    <x v="3"/>
    <n v="7"/>
    <n v="9"/>
    <n v="9"/>
    <x v="0"/>
    <n v="0"/>
  </r>
  <r>
    <n v="46"/>
    <x v="0"/>
    <x v="0"/>
    <x v="0"/>
    <n v="377"/>
    <x v="0"/>
    <n v="9"/>
    <n v="3"/>
    <s v="Marketing"/>
    <n v="1"/>
    <n v="1457"/>
    <n v="1"/>
    <x v="1"/>
    <n v="52"/>
    <n v="3"/>
    <n v="3"/>
    <x v="0"/>
    <n v="4"/>
    <s v="Divorced"/>
    <n v="10096"/>
    <n v="15986"/>
    <n v="4"/>
    <s v="Y"/>
    <x v="1"/>
    <n v="11"/>
    <n v="3"/>
    <n v="1"/>
    <n v="80"/>
    <n v="1"/>
    <n v="28"/>
    <n v="1"/>
    <n v="4"/>
    <n v="7"/>
    <x v="0"/>
    <n v="7"/>
    <n v="4"/>
    <n v="3"/>
    <x v="0"/>
    <n v="1"/>
  </r>
  <r>
    <n v="39"/>
    <x v="1"/>
    <x v="0"/>
    <x v="2"/>
    <n v="592"/>
    <x v="1"/>
    <n v="2"/>
    <n v="3"/>
    <s v="Life Sciences"/>
    <n v="1"/>
    <n v="1458"/>
    <n v="1"/>
    <x v="0"/>
    <n v="54"/>
    <n v="2"/>
    <n v="1"/>
    <x v="2"/>
    <n v="1"/>
    <s v="Single"/>
    <n v="3646"/>
    <n v="17181"/>
    <n v="2"/>
    <s v="Y"/>
    <x v="0"/>
    <n v="23"/>
    <n v="4"/>
    <n v="2"/>
    <n v="80"/>
    <n v="0"/>
    <n v="11"/>
    <n v="2"/>
    <n v="4"/>
    <n v="1"/>
    <x v="1"/>
    <n v="0"/>
    <n v="0"/>
    <n v="0"/>
    <x v="3"/>
    <n v="1"/>
  </r>
  <r>
    <n v="31"/>
    <x v="1"/>
    <x v="0"/>
    <x v="1"/>
    <n v="1445"/>
    <x v="1"/>
    <n v="1"/>
    <n v="5"/>
    <s v="Life Sciences"/>
    <n v="1"/>
    <n v="1459"/>
    <n v="3"/>
    <x v="0"/>
    <n v="100"/>
    <n v="4"/>
    <n v="3"/>
    <x v="3"/>
    <n v="2"/>
    <s v="Single"/>
    <n v="7446"/>
    <n v="8931"/>
    <n v="1"/>
    <s v="Y"/>
    <x v="1"/>
    <n v="11"/>
    <n v="3"/>
    <n v="1"/>
    <n v="80"/>
    <n v="0"/>
    <n v="10"/>
    <n v="2"/>
    <n v="3"/>
    <n v="10"/>
    <x v="0"/>
    <n v="8"/>
    <n v="4"/>
    <n v="7"/>
    <x v="1"/>
    <n v="1"/>
  </r>
  <r>
    <n v="45"/>
    <x v="0"/>
    <x v="1"/>
    <x v="0"/>
    <n v="1038"/>
    <x v="1"/>
    <n v="20"/>
    <n v="3"/>
    <s v="Medical"/>
    <n v="1"/>
    <n v="1460"/>
    <n v="2"/>
    <x v="1"/>
    <n v="95"/>
    <n v="1"/>
    <n v="3"/>
    <x v="4"/>
    <n v="1"/>
    <s v="Divorced"/>
    <n v="10851"/>
    <n v="19863"/>
    <n v="2"/>
    <s v="Y"/>
    <x v="0"/>
    <n v="18"/>
    <n v="3"/>
    <n v="2"/>
    <n v="80"/>
    <n v="1"/>
    <n v="24"/>
    <n v="2"/>
    <n v="3"/>
    <n v="7"/>
    <x v="0"/>
    <n v="7"/>
    <n v="0"/>
    <n v="7"/>
    <x v="3"/>
    <n v="0"/>
  </r>
  <r>
    <n v="31"/>
    <x v="1"/>
    <x v="1"/>
    <x v="0"/>
    <n v="1398"/>
    <x v="2"/>
    <n v="8"/>
    <n v="2"/>
    <s v="Medical"/>
    <n v="1"/>
    <n v="1461"/>
    <n v="4"/>
    <x v="0"/>
    <n v="96"/>
    <n v="4"/>
    <n v="1"/>
    <x v="8"/>
    <n v="2"/>
    <s v="Single"/>
    <n v="2109"/>
    <n v="24609"/>
    <n v="9"/>
    <s v="Y"/>
    <x v="1"/>
    <n v="18"/>
    <n v="3"/>
    <n v="4"/>
    <n v="80"/>
    <n v="0"/>
    <n v="8"/>
    <n v="3"/>
    <n v="3"/>
    <n v="3"/>
    <x v="2"/>
    <n v="2"/>
    <n v="0"/>
    <n v="2"/>
    <x v="1"/>
    <n v="0"/>
  </r>
  <r>
    <n v="31"/>
    <x v="1"/>
    <x v="0"/>
    <x v="1"/>
    <n v="523"/>
    <x v="1"/>
    <n v="2"/>
    <n v="3"/>
    <s v="Life Sciences"/>
    <n v="1"/>
    <n v="1464"/>
    <n v="2"/>
    <x v="1"/>
    <n v="94"/>
    <n v="3"/>
    <n v="1"/>
    <x v="2"/>
    <n v="4"/>
    <s v="Married"/>
    <n v="3722"/>
    <n v="21081"/>
    <n v="6"/>
    <s v="Y"/>
    <x v="0"/>
    <n v="13"/>
    <n v="3"/>
    <n v="3"/>
    <n v="80"/>
    <n v="1"/>
    <n v="7"/>
    <n v="2"/>
    <n v="1"/>
    <n v="2"/>
    <x v="1"/>
    <n v="2"/>
    <n v="2"/>
    <n v="2"/>
    <x v="0"/>
    <n v="1"/>
  </r>
  <r>
    <n v="45"/>
    <x v="0"/>
    <x v="1"/>
    <x v="0"/>
    <n v="1448"/>
    <x v="1"/>
    <n v="29"/>
    <n v="3"/>
    <s v="Technical Degree"/>
    <n v="1"/>
    <n v="1465"/>
    <n v="2"/>
    <x v="1"/>
    <n v="55"/>
    <n v="3"/>
    <n v="3"/>
    <x v="3"/>
    <n v="4"/>
    <s v="Married"/>
    <n v="9380"/>
    <n v="14720"/>
    <n v="4"/>
    <s v="Y"/>
    <x v="0"/>
    <n v="18"/>
    <n v="3"/>
    <n v="4"/>
    <n v="80"/>
    <n v="2"/>
    <n v="10"/>
    <n v="4"/>
    <n v="4"/>
    <n v="3"/>
    <x v="2"/>
    <n v="1"/>
    <n v="1"/>
    <n v="2"/>
    <x v="0"/>
    <n v="0"/>
  </r>
  <r>
    <n v="48"/>
    <x v="0"/>
    <x v="1"/>
    <x v="0"/>
    <n v="1221"/>
    <x v="0"/>
    <n v="7"/>
    <n v="3"/>
    <s v="Marketing"/>
    <n v="1"/>
    <n v="1466"/>
    <n v="3"/>
    <x v="1"/>
    <n v="96"/>
    <n v="3"/>
    <n v="2"/>
    <x v="0"/>
    <n v="1"/>
    <s v="Divorced"/>
    <n v="5486"/>
    <n v="24795"/>
    <n v="4"/>
    <s v="Y"/>
    <x v="1"/>
    <n v="11"/>
    <n v="3"/>
    <n v="1"/>
    <n v="80"/>
    <n v="3"/>
    <n v="15"/>
    <n v="3"/>
    <n v="3"/>
    <n v="2"/>
    <x v="1"/>
    <n v="2"/>
    <n v="2"/>
    <n v="2"/>
    <x v="3"/>
    <n v="0"/>
  </r>
  <r>
    <n v="34"/>
    <x v="1"/>
    <x v="0"/>
    <x v="0"/>
    <n v="1107"/>
    <x v="2"/>
    <n v="9"/>
    <n v="4"/>
    <s v="Technical Degree"/>
    <n v="1"/>
    <n v="1467"/>
    <n v="1"/>
    <x v="0"/>
    <n v="52"/>
    <n v="3"/>
    <n v="1"/>
    <x v="8"/>
    <n v="3"/>
    <s v="Married"/>
    <n v="2742"/>
    <n v="3072"/>
    <n v="1"/>
    <s v="Y"/>
    <x v="1"/>
    <n v="15"/>
    <n v="3"/>
    <n v="4"/>
    <n v="80"/>
    <n v="0"/>
    <n v="2"/>
    <n v="0"/>
    <n v="3"/>
    <n v="2"/>
    <x v="1"/>
    <n v="2"/>
    <n v="2"/>
    <n v="2"/>
    <x v="2"/>
    <n v="1"/>
  </r>
  <r>
    <n v="40"/>
    <x v="1"/>
    <x v="1"/>
    <x v="2"/>
    <n v="218"/>
    <x v="1"/>
    <n v="8"/>
    <n v="1"/>
    <s v="Medical"/>
    <n v="1"/>
    <n v="1468"/>
    <n v="4"/>
    <x v="1"/>
    <n v="55"/>
    <n v="2"/>
    <n v="3"/>
    <x v="7"/>
    <n v="2"/>
    <s v="Divorced"/>
    <n v="13757"/>
    <n v="25178"/>
    <n v="2"/>
    <s v="Y"/>
    <x v="1"/>
    <n v="11"/>
    <n v="3"/>
    <n v="3"/>
    <n v="80"/>
    <n v="1"/>
    <n v="16"/>
    <n v="5"/>
    <n v="3"/>
    <n v="9"/>
    <x v="0"/>
    <n v="8"/>
    <n v="4"/>
    <n v="8"/>
    <x v="1"/>
    <n v="0"/>
  </r>
  <r>
    <n v="28"/>
    <x v="2"/>
    <x v="1"/>
    <x v="0"/>
    <n v="866"/>
    <x v="0"/>
    <n v="5"/>
    <n v="3"/>
    <s v="Medical"/>
    <n v="1"/>
    <n v="1469"/>
    <n v="4"/>
    <x v="1"/>
    <n v="84"/>
    <n v="3"/>
    <n v="2"/>
    <x v="0"/>
    <n v="1"/>
    <s v="Single"/>
    <n v="8463"/>
    <n v="23490"/>
    <n v="0"/>
    <s v="Y"/>
    <x v="1"/>
    <n v="18"/>
    <n v="3"/>
    <n v="4"/>
    <n v="80"/>
    <n v="0"/>
    <n v="6"/>
    <n v="4"/>
    <n v="3"/>
    <n v="5"/>
    <x v="2"/>
    <n v="4"/>
    <n v="1"/>
    <n v="3"/>
    <x v="3"/>
    <n v="0"/>
  </r>
  <r>
    <n v="44"/>
    <x v="0"/>
    <x v="1"/>
    <x v="2"/>
    <n v="981"/>
    <x v="1"/>
    <n v="5"/>
    <n v="3"/>
    <s v="Life Sciences"/>
    <n v="1"/>
    <n v="1471"/>
    <n v="3"/>
    <x v="1"/>
    <n v="90"/>
    <n v="2"/>
    <n v="1"/>
    <x v="2"/>
    <n v="3"/>
    <s v="Single"/>
    <n v="3162"/>
    <n v="7973"/>
    <n v="3"/>
    <s v="Y"/>
    <x v="1"/>
    <n v="14"/>
    <n v="3"/>
    <n v="4"/>
    <n v="80"/>
    <n v="0"/>
    <n v="7"/>
    <n v="5"/>
    <n v="3"/>
    <n v="5"/>
    <x v="2"/>
    <n v="2"/>
    <n v="0"/>
    <n v="3"/>
    <x v="2"/>
    <n v="0"/>
  </r>
  <r>
    <n v="53"/>
    <x v="3"/>
    <x v="1"/>
    <x v="0"/>
    <n v="447"/>
    <x v="1"/>
    <n v="2"/>
    <n v="3"/>
    <s v="Medical"/>
    <n v="1"/>
    <n v="1472"/>
    <n v="4"/>
    <x v="1"/>
    <n v="39"/>
    <n v="4"/>
    <n v="4"/>
    <x v="7"/>
    <n v="2"/>
    <s v="Single"/>
    <n v="16598"/>
    <n v="19764"/>
    <n v="4"/>
    <s v="Y"/>
    <x v="1"/>
    <n v="12"/>
    <n v="3"/>
    <n v="2"/>
    <n v="80"/>
    <n v="0"/>
    <n v="35"/>
    <n v="2"/>
    <n v="2"/>
    <n v="9"/>
    <x v="0"/>
    <n v="8"/>
    <n v="8"/>
    <n v="8"/>
    <x v="1"/>
    <n v="0"/>
  </r>
  <r>
    <n v="49"/>
    <x v="0"/>
    <x v="1"/>
    <x v="0"/>
    <n v="1495"/>
    <x v="1"/>
    <n v="5"/>
    <n v="4"/>
    <s v="Technical Degree"/>
    <n v="1"/>
    <n v="1473"/>
    <n v="1"/>
    <x v="1"/>
    <n v="96"/>
    <n v="3"/>
    <n v="2"/>
    <x v="4"/>
    <n v="3"/>
    <s v="Married"/>
    <n v="6651"/>
    <n v="21534"/>
    <n v="2"/>
    <s v="Y"/>
    <x v="1"/>
    <n v="14"/>
    <n v="3"/>
    <n v="2"/>
    <n v="80"/>
    <n v="1"/>
    <n v="20"/>
    <n v="0"/>
    <n v="2"/>
    <n v="3"/>
    <x v="2"/>
    <n v="2"/>
    <n v="1"/>
    <n v="2"/>
    <x v="2"/>
    <n v="0"/>
  </r>
  <r>
    <n v="40"/>
    <x v="1"/>
    <x v="1"/>
    <x v="0"/>
    <n v="896"/>
    <x v="1"/>
    <n v="2"/>
    <n v="3"/>
    <s v="Medical"/>
    <n v="1"/>
    <n v="1474"/>
    <n v="3"/>
    <x v="1"/>
    <n v="68"/>
    <n v="3"/>
    <n v="1"/>
    <x v="1"/>
    <n v="3"/>
    <s v="Divorced"/>
    <n v="2345"/>
    <n v="8045"/>
    <n v="2"/>
    <s v="Y"/>
    <x v="1"/>
    <n v="14"/>
    <n v="3"/>
    <n v="3"/>
    <n v="80"/>
    <n v="1"/>
    <n v="8"/>
    <n v="3"/>
    <n v="4"/>
    <n v="3"/>
    <x v="2"/>
    <n v="1"/>
    <n v="1"/>
    <n v="2"/>
    <x v="2"/>
    <n v="0"/>
  </r>
  <r>
    <n v="44"/>
    <x v="0"/>
    <x v="1"/>
    <x v="0"/>
    <n v="1467"/>
    <x v="1"/>
    <n v="20"/>
    <n v="3"/>
    <s v="Life Sciences"/>
    <n v="1"/>
    <n v="1475"/>
    <n v="4"/>
    <x v="1"/>
    <n v="49"/>
    <n v="3"/>
    <n v="1"/>
    <x v="1"/>
    <n v="2"/>
    <s v="Single"/>
    <n v="3420"/>
    <n v="21158"/>
    <n v="1"/>
    <s v="Y"/>
    <x v="1"/>
    <n v="13"/>
    <n v="3"/>
    <n v="3"/>
    <n v="80"/>
    <n v="0"/>
    <n v="6"/>
    <n v="3"/>
    <n v="2"/>
    <n v="5"/>
    <x v="2"/>
    <n v="2"/>
    <n v="1"/>
    <n v="3"/>
    <x v="1"/>
    <n v="0"/>
  </r>
  <r>
    <n v="33"/>
    <x v="1"/>
    <x v="1"/>
    <x v="1"/>
    <n v="430"/>
    <x v="0"/>
    <n v="7"/>
    <n v="3"/>
    <s v="Medical"/>
    <n v="1"/>
    <n v="1477"/>
    <n v="4"/>
    <x v="1"/>
    <n v="54"/>
    <n v="3"/>
    <n v="2"/>
    <x v="0"/>
    <n v="1"/>
    <s v="Married"/>
    <n v="4373"/>
    <n v="17456"/>
    <n v="0"/>
    <s v="Y"/>
    <x v="1"/>
    <n v="14"/>
    <n v="3"/>
    <n v="1"/>
    <n v="80"/>
    <n v="2"/>
    <n v="5"/>
    <n v="2"/>
    <n v="3"/>
    <n v="4"/>
    <x v="2"/>
    <n v="3"/>
    <n v="0"/>
    <n v="3"/>
    <x v="3"/>
    <n v="0"/>
  </r>
  <r>
    <n v="34"/>
    <x v="1"/>
    <x v="1"/>
    <x v="0"/>
    <n v="1326"/>
    <x v="0"/>
    <n v="3"/>
    <n v="3"/>
    <s v="Other"/>
    <n v="1"/>
    <n v="1478"/>
    <n v="4"/>
    <x v="1"/>
    <n v="81"/>
    <n v="1"/>
    <n v="2"/>
    <x v="0"/>
    <n v="1"/>
    <s v="Single"/>
    <n v="4759"/>
    <n v="15891"/>
    <n v="3"/>
    <s v="Y"/>
    <x v="1"/>
    <n v="18"/>
    <n v="3"/>
    <n v="4"/>
    <n v="80"/>
    <n v="0"/>
    <n v="15"/>
    <n v="2"/>
    <n v="3"/>
    <n v="13"/>
    <x v="3"/>
    <n v="9"/>
    <n v="3"/>
    <n v="12"/>
    <x v="3"/>
    <n v="0"/>
  </r>
  <r>
    <n v="30"/>
    <x v="1"/>
    <x v="1"/>
    <x v="0"/>
    <n v="1358"/>
    <x v="0"/>
    <n v="16"/>
    <n v="1"/>
    <s v="Life Sciences"/>
    <n v="1"/>
    <n v="1479"/>
    <n v="4"/>
    <x v="1"/>
    <n v="96"/>
    <n v="3"/>
    <n v="2"/>
    <x v="0"/>
    <n v="3"/>
    <s v="Married"/>
    <n v="5301"/>
    <n v="2939"/>
    <n v="8"/>
    <s v="Y"/>
    <x v="1"/>
    <n v="15"/>
    <n v="3"/>
    <n v="3"/>
    <n v="80"/>
    <n v="2"/>
    <n v="4"/>
    <n v="2"/>
    <n v="2"/>
    <n v="2"/>
    <x v="1"/>
    <n v="1"/>
    <n v="2"/>
    <n v="2"/>
    <x v="2"/>
    <n v="0"/>
  </r>
  <r>
    <n v="42"/>
    <x v="0"/>
    <x v="1"/>
    <x v="1"/>
    <n v="748"/>
    <x v="1"/>
    <n v="9"/>
    <n v="2"/>
    <s v="Medical"/>
    <n v="1"/>
    <n v="1480"/>
    <n v="1"/>
    <x v="0"/>
    <n v="74"/>
    <n v="3"/>
    <n v="1"/>
    <x v="2"/>
    <n v="4"/>
    <s v="Single"/>
    <n v="3673"/>
    <n v="16458"/>
    <n v="1"/>
    <s v="Y"/>
    <x v="1"/>
    <n v="13"/>
    <n v="3"/>
    <n v="3"/>
    <n v="80"/>
    <n v="0"/>
    <n v="12"/>
    <n v="3"/>
    <n v="3"/>
    <n v="12"/>
    <x v="3"/>
    <n v="9"/>
    <n v="5"/>
    <n v="8"/>
    <x v="0"/>
    <n v="0"/>
  </r>
  <r>
    <n v="44"/>
    <x v="0"/>
    <x v="1"/>
    <x v="1"/>
    <n v="383"/>
    <x v="0"/>
    <n v="1"/>
    <n v="5"/>
    <s v="Marketing"/>
    <n v="1"/>
    <n v="1481"/>
    <n v="1"/>
    <x v="0"/>
    <n v="79"/>
    <n v="3"/>
    <n v="2"/>
    <x v="0"/>
    <n v="3"/>
    <s v="Married"/>
    <n v="4768"/>
    <n v="9282"/>
    <n v="7"/>
    <s v="Y"/>
    <x v="1"/>
    <n v="12"/>
    <n v="3"/>
    <n v="3"/>
    <n v="80"/>
    <n v="1"/>
    <n v="11"/>
    <n v="4"/>
    <n v="2"/>
    <n v="1"/>
    <x v="1"/>
    <n v="0"/>
    <n v="0"/>
    <n v="0"/>
    <x v="2"/>
    <n v="0"/>
  </r>
  <r>
    <n v="30"/>
    <x v="1"/>
    <x v="1"/>
    <x v="2"/>
    <n v="990"/>
    <x v="1"/>
    <n v="7"/>
    <n v="3"/>
    <s v="Technical Degree"/>
    <n v="1"/>
    <n v="1482"/>
    <n v="3"/>
    <x v="1"/>
    <n v="64"/>
    <n v="3"/>
    <n v="1"/>
    <x v="1"/>
    <n v="3"/>
    <s v="Divorced"/>
    <n v="1274"/>
    <n v="7152"/>
    <n v="1"/>
    <s v="Y"/>
    <x v="1"/>
    <n v="13"/>
    <n v="3"/>
    <n v="2"/>
    <n v="80"/>
    <n v="2"/>
    <n v="1"/>
    <n v="2"/>
    <n v="2"/>
    <n v="1"/>
    <x v="1"/>
    <n v="0"/>
    <n v="0"/>
    <n v="0"/>
    <x v="2"/>
    <n v="0"/>
  </r>
  <r>
    <n v="57"/>
    <x v="3"/>
    <x v="1"/>
    <x v="0"/>
    <n v="405"/>
    <x v="1"/>
    <n v="1"/>
    <n v="2"/>
    <s v="Life Sciences"/>
    <n v="1"/>
    <n v="1483"/>
    <n v="2"/>
    <x v="1"/>
    <n v="93"/>
    <n v="4"/>
    <n v="2"/>
    <x v="1"/>
    <n v="3"/>
    <s v="Married"/>
    <n v="4900"/>
    <n v="2721"/>
    <n v="0"/>
    <s v="Y"/>
    <x v="1"/>
    <n v="24"/>
    <n v="4"/>
    <n v="1"/>
    <n v="80"/>
    <n v="1"/>
    <n v="13"/>
    <n v="2"/>
    <n v="2"/>
    <n v="12"/>
    <x v="3"/>
    <n v="9"/>
    <n v="2"/>
    <n v="8"/>
    <x v="2"/>
    <n v="0"/>
  </r>
  <r>
    <n v="49"/>
    <x v="0"/>
    <x v="1"/>
    <x v="0"/>
    <n v="1490"/>
    <x v="1"/>
    <n v="7"/>
    <n v="4"/>
    <s v="Life Sciences"/>
    <n v="1"/>
    <n v="1484"/>
    <n v="3"/>
    <x v="1"/>
    <n v="35"/>
    <n v="3"/>
    <n v="3"/>
    <x v="4"/>
    <n v="2"/>
    <s v="Divorced"/>
    <n v="10466"/>
    <n v="20948"/>
    <n v="3"/>
    <s v="Y"/>
    <x v="1"/>
    <n v="14"/>
    <n v="3"/>
    <n v="2"/>
    <n v="80"/>
    <n v="2"/>
    <n v="29"/>
    <n v="3"/>
    <n v="3"/>
    <n v="8"/>
    <x v="0"/>
    <n v="7"/>
    <n v="0"/>
    <n v="7"/>
    <x v="1"/>
    <n v="0"/>
  </r>
  <r>
    <n v="34"/>
    <x v="1"/>
    <x v="1"/>
    <x v="1"/>
    <n v="829"/>
    <x v="1"/>
    <n v="15"/>
    <n v="3"/>
    <s v="Medical"/>
    <n v="1"/>
    <n v="1485"/>
    <n v="2"/>
    <x v="1"/>
    <n v="71"/>
    <n v="3"/>
    <n v="4"/>
    <x v="7"/>
    <n v="1"/>
    <s v="Divorced"/>
    <n v="17007"/>
    <n v="11929"/>
    <n v="7"/>
    <s v="Y"/>
    <x v="1"/>
    <n v="14"/>
    <n v="3"/>
    <n v="4"/>
    <n v="80"/>
    <n v="2"/>
    <n v="16"/>
    <n v="3"/>
    <n v="2"/>
    <n v="14"/>
    <x v="3"/>
    <n v="8"/>
    <n v="6"/>
    <n v="9"/>
    <x v="3"/>
    <n v="0"/>
  </r>
  <r>
    <n v="28"/>
    <x v="2"/>
    <x v="0"/>
    <x v="1"/>
    <n v="1496"/>
    <x v="0"/>
    <n v="1"/>
    <n v="3"/>
    <s v="Technical Degree"/>
    <n v="1"/>
    <n v="1486"/>
    <n v="1"/>
    <x v="1"/>
    <n v="92"/>
    <n v="3"/>
    <n v="1"/>
    <x v="6"/>
    <n v="3"/>
    <s v="Married"/>
    <n v="2909"/>
    <n v="15747"/>
    <n v="3"/>
    <s v="Y"/>
    <x v="1"/>
    <n v="15"/>
    <n v="3"/>
    <n v="4"/>
    <n v="80"/>
    <n v="1"/>
    <n v="5"/>
    <n v="3"/>
    <n v="4"/>
    <n v="3"/>
    <x v="2"/>
    <n v="2"/>
    <n v="1"/>
    <n v="2"/>
    <x v="2"/>
    <n v="1"/>
  </r>
  <r>
    <n v="29"/>
    <x v="2"/>
    <x v="0"/>
    <x v="1"/>
    <n v="115"/>
    <x v="0"/>
    <n v="13"/>
    <n v="3"/>
    <s v="Technical Degree"/>
    <n v="1"/>
    <n v="1487"/>
    <n v="1"/>
    <x v="0"/>
    <n v="51"/>
    <n v="3"/>
    <n v="2"/>
    <x v="0"/>
    <n v="2"/>
    <s v="Single"/>
    <n v="5765"/>
    <n v="17485"/>
    <n v="5"/>
    <s v="Y"/>
    <x v="1"/>
    <n v="11"/>
    <n v="3"/>
    <n v="1"/>
    <n v="80"/>
    <n v="0"/>
    <n v="7"/>
    <n v="4"/>
    <n v="1"/>
    <n v="5"/>
    <x v="2"/>
    <n v="3"/>
    <n v="0"/>
    <n v="0"/>
    <x v="1"/>
    <n v="1"/>
  </r>
  <r>
    <n v="34"/>
    <x v="1"/>
    <x v="0"/>
    <x v="0"/>
    <n v="790"/>
    <x v="0"/>
    <n v="24"/>
    <n v="4"/>
    <s v="Medical"/>
    <n v="1"/>
    <n v="1489"/>
    <n v="1"/>
    <x v="0"/>
    <n v="40"/>
    <n v="2"/>
    <n v="2"/>
    <x v="0"/>
    <n v="2"/>
    <s v="Single"/>
    <n v="4599"/>
    <n v="7815"/>
    <n v="0"/>
    <s v="Y"/>
    <x v="0"/>
    <n v="23"/>
    <n v="4"/>
    <n v="3"/>
    <n v="80"/>
    <n v="0"/>
    <n v="16"/>
    <n v="2"/>
    <n v="4"/>
    <n v="15"/>
    <x v="3"/>
    <n v="9"/>
    <n v="10"/>
    <n v="10"/>
    <x v="1"/>
    <n v="1"/>
  </r>
  <r>
    <n v="35"/>
    <x v="1"/>
    <x v="1"/>
    <x v="0"/>
    <n v="660"/>
    <x v="0"/>
    <n v="7"/>
    <n v="1"/>
    <s v="Life Sciences"/>
    <n v="1"/>
    <n v="1492"/>
    <n v="4"/>
    <x v="1"/>
    <n v="76"/>
    <n v="3"/>
    <n v="1"/>
    <x v="6"/>
    <n v="3"/>
    <s v="Married"/>
    <n v="2404"/>
    <n v="16192"/>
    <n v="1"/>
    <s v="Y"/>
    <x v="1"/>
    <n v="13"/>
    <n v="3"/>
    <n v="1"/>
    <n v="80"/>
    <n v="1"/>
    <n v="1"/>
    <n v="3"/>
    <n v="3"/>
    <n v="1"/>
    <x v="1"/>
    <n v="0"/>
    <n v="0"/>
    <n v="0"/>
    <x v="2"/>
    <n v="0"/>
  </r>
  <r>
    <n v="24"/>
    <x v="2"/>
    <x v="0"/>
    <x v="1"/>
    <n v="381"/>
    <x v="1"/>
    <n v="9"/>
    <n v="3"/>
    <s v="Medical"/>
    <n v="1"/>
    <n v="1494"/>
    <n v="2"/>
    <x v="1"/>
    <n v="89"/>
    <n v="3"/>
    <n v="1"/>
    <x v="2"/>
    <n v="1"/>
    <s v="Single"/>
    <n v="3172"/>
    <n v="16998"/>
    <n v="2"/>
    <s v="Y"/>
    <x v="0"/>
    <n v="11"/>
    <n v="3"/>
    <n v="3"/>
    <n v="80"/>
    <n v="0"/>
    <n v="4"/>
    <n v="2"/>
    <n v="2"/>
    <n v="0"/>
    <x v="1"/>
    <n v="0"/>
    <n v="0"/>
    <n v="0"/>
    <x v="3"/>
    <n v="1"/>
  </r>
  <r>
    <n v="24"/>
    <x v="2"/>
    <x v="1"/>
    <x v="2"/>
    <n v="830"/>
    <x v="0"/>
    <n v="13"/>
    <n v="2"/>
    <s v="Life Sciences"/>
    <n v="1"/>
    <n v="1495"/>
    <n v="4"/>
    <x v="0"/>
    <n v="78"/>
    <n v="3"/>
    <n v="1"/>
    <x v="6"/>
    <n v="2"/>
    <s v="Married"/>
    <n v="2033"/>
    <n v="7103"/>
    <n v="1"/>
    <s v="Y"/>
    <x v="1"/>
    <n v="13"/>
    <n v="3"/>
    <n v="3"/>
    <n v="80"/>
    <n v="1"/>
    <n v="1"/>
    <n v="2"/>
    <n v="3"/>
    <n v="1"/>
    <x v="1"/>
    <n v="0"/>
    <n v="0"/>
    <n v="0"/>
    <x v="1"/>
    <n v="0"/>
  </r>
  <r>
    <n v="44"/>
    <x v="0"/>
    <x v="1"/>
    <x v="1"/>
    <n v="1193"/>
    <x v="1"/>
    <n v="2"/>
    <n v="1"/>
    <s v="Medical"/>
    <n v="1"/>
    <n v="1496"/>
    <n v="2"/>
    <x v="1"/>
    <n v="86"/>
    <n v="3"/>
    <n v="3"/>
    <x v="3"/>
    <n v="3"/>
    <s v="Single"/>
    <n v="10209"/>
    <n v="19719"/>
    <n v="5"/>
    <s v="Y"/>
    <x v="0"/>
    <n v="18"/>
    <n v="3"/>
    <n v="2"/>
    <n v="80"/>
    <n v="0"/>
    <n v="16"/>
    <n v="2"/>
    <n v="2"/>
    <n v="2"/>
    <x v="1"/>
    <n v="2"/>
    <n v="2"/>
    <n v="2"/>
    <x v="2"/>
    <n v="0"/>
  </r>
  <r>
    <n v="29"/>
    <x v="2"/>
    <x v="1"/>
    <x v="0"/>
    <n v="1246"/>
    <x v="0"/>
    <n v="19"/>
    <n v="3"/>
    <s v="Life Sciences"/>
    <n v="1"/>
    <n v="1497"/>
    <n v="3"/>
    <x v="1"/>
    <n v="77"/>
    <n v="2"/>
    <n v="2"/>
    <x v="0"/>
    <n v="3"/>
    <s v="Divorced"/>
    <n v="8620"/>
    <n v="23757"/>
    <n v="1"/>
    <s v="Y"/>
    <x v="1"/>
    <n v="14"/>
    <n v="3"/>
    <n v="3"/>
    <n v="80"/>
    <n v="2"/>
    <n v="10"/>
    <n v="3"/>
    <n v="3"/>
    <n v="10"/>
    <x v="0"/>
    <n v="7"/>
    <n v="0"/>
    <n v="4"/>
    <x v="2"/>
    <n v="0"/>
  </r>
  <r>
    <n v="30"/>
    <x v="1"/>
    <x v="1"/>
    <x v="0"/>
    <n v="330"/>
    <x v="2"/>
    <n v="1"/>
    <n v="3"/>
    <s v="Life Sciences"/>
    <n v="1"/>
    <n v="1499"/>
    <n v="3"/>
    <x v="1"/>
    <n v="46"/>
    <n v="3"/>
    <n v="1"/>
    <x v="8"/>
    <n v="3"/>
    <s v="Divorced"/>
    <n v="2064"/>
    <n v="15428"/>
    <n v="0"/>
    <s v="Y"/>
    <x v="1"/>
    <n v="21"/>
    <n v="4"/>
    <n v="1"/>
    <n v="80"/>
    <n v="1"/>
    <n v="6"/>
    <n v="3"/>
    <n v="4"/>
    <n v="5"/>
    <x v="2"/>
    <n v="3"/>
    <n v="1"/>
    <n v="3"/>
    <x v="2"/>
    <n v="0"/>
  </r>
  <r>
    <n v="55"/>
    <x v="3"/>
    <x v="1"/>
    <x v="0"/>
    <n v="1229"/>
    <x v="1"/>
    <n v="4"/>
    <n v="4"/>
    <s v="Life Sciences"/>
    <n v="1"/>
    <n v="1501"/>
    <n v="4"/>
    <x v="1"/>
    <n v="30"/>
    <n v="3"/>
    <n v="2"/>
    <x v="4"/>
    <n v="3"/>
    <s v="Married"/>
    <n v="4035"/>
    <n v="16143"/>
    <n v="0"/>
    <s v="Y"/>
    <x v="0"/>
    <n v="16"/>
    <n v="3"/>
    <n v="2"/>
    <n v="80"/>
    <n v="0"/>
    <n v="4"/>
    <n v="2"/>
    <n v="3"/>
    <n v="3"/>
    <x v="2"/>
    <n v="2"/>
    <n v="1"/>
    <n v="2"/>
    <x v="2"/>
    <n v="0"/>
  </r>
  <r>
    <n v="33"/>
    <x v="1"/>
    <x v="1"/>
    <x v="0"/>
    <n v="1099"/>
    <x v="1"/>
    <n v="4"/>
    <n v="4"/>
    <s v="Medical"/>
    <n v="1"/>
    <n v="1502"/>
    <n v="1"/>
    <x v="0"/>
    <n v="82"/>
    <n v="2"/>
    <n v="1"/>
    <x v="2"/>
    <n v="2"/>
    <s v="Married"/>
    <n v="3838"/>
    <n v="8192"/>
    <n v="8"/>
    <s v="Y"/>
    <x v="1"/>
    <n v="11"/>
    <n v="3"/>
    <n v="4"/>
    <n v="80"/>
    <n v="0"/>
    <n v="8"/>
    <n v="5"/>
    <n v="3"/>
    <n v="5"/>
    <x v="2"/>
    <n v="4"/>
    <n v="0"/>
    <n v="2"/>
    <x v="1"/>
    <n v="0"/>
  </r>
  <r>
    <n v="47"/>
    <x v="0"/>
    <x v="1"/>
    <x v="0"/>
    <n v="571"/>
    <x v="0"/>
    <n v="14"/>
    <n v="3"/>
    <s v="Medical"/>
    <n v="1"/>
    <n v="1503"/>
    <n v="3"/>
    <x v="0"/>
    <n v="78"/>
    <n v="3"/>
    <n v="2"/>
    <x v="0"/>
    <n v="3"/>
    <s v="Married"/>
    <n v="4591"/>
    <n v="24200"/>
    <n v="3"/>
    <s v="Y"/>
    <x v="0"/>
    <n v="17"/>
    <n v="3"/>
    <n v="3"/>
    <n v="80"/>
    <n v="1"/>
    <n v="11"/>
    <n v="4"/>
    <n v="2"/>
    <n v="5"/>
    <x v="2"/>
    <n v="4"/>
    <n v="1"/>
    <n v="2"/>
    <x v="2"/>
    <n v="0"/>
  </r>
  <r>
    <n v="28"/>
    <x v="2"/>
    <x v="0"/>
    <x v="1"/>
    <n v="289"/>
    <x v="1"/>
    <n v="2"/>
    <n v="2"/>
    <s v="Medical"/>
    <n v="1"/>
    <n v="1504"/>
    <n v="3"/>
    <x v="1"/>
    <n v="38"/>
    <n v="2"/>
    <n v="1"/>
    <x v="2"/>
    <n v="1"/>
    <s v="Single"/>
    <n v="2561"/>
    <n v="5355"/>
    <n v="7"/>
    <s v="Y"/>
    <x v="1"/>
    <n v="11"/>
    <n v="3"/>
    <n v="3"/>
    <n v="80"/>
    <n v="0"/>
    <n v="8"/>
    <n v="2"/>
    <n v="2"/>
    <n v="0"/>
    <x v="1"/>
    <n v="0"/>
    <n v="0"/>
    <n v="0"/>
    <x v="3"/>
    <n v="1"/>
  </r>
  <r>
    <n v="28"/>
    <x v="2"/>
    <x v="1"/>
    <x v="0"/>
    <n v="1423"/>
    <x v="1"/>
    <n v="1"/>
    <n v="3"/>
    <s v="Life Sciences"/>
    <n v="1"/>
    <n v="1506"/>
    <n v="1"/>
    <x v="1"/>
    <n v="72"/>
    <n v="2"/>
    <n v="1"/>
    <x v="1"/>
    <n v="3"/>
    <s v="Divorced"/>
    <n v="1563"/>
    <n v="12530"/>
    <n v="1"/>
    <s v="Y"/>
    <x v="1"/>
    <n v="14"/>
    <n v="3"/>
    <n v="4"/>
    <n v="80"/>
    <n v="1"/>
    <n v="1"/>
    <n v="2"/>
    <n v="1"/>
    <n v="1"/>
    <x v="1"/>
    <n v="0"/>
    <n v="0"/>
    <n v="0"/>
    <x v="2"/>
    <n v="0"/>
  </r>
  <r>
    <n v="28"/>
    <x v="2"/>
    <x v="1"/>
    <x v="1"/>
    <n v="467"/>
    <x v="0"/>
    <n v="7"/>
    <n v="3"/>
    <s v="Life Sciences"/>
    <n v="1"/>
    <n v="1507"/>
    <n v="3"/>
    <x v="1"/>
    <n v="55"/>
    <n v="3"/>
    <n v="2"/>
    <x v="0"/>
    <n v="1"/>
    <s v="Single"/>
    <n v="4898"/>
    <n v="11827"/>
    <n v="0"/>
    <s v="Y"/>
    <x v="1"/>
    <n v="14"/>
    <n v="3"/>
    <n v="4"/>
    <n v="80"/>
    <n v="0"/>
    <n v="5"/>
    <n v="5"/>
    <n v="3"/>
    <n v="4"/>
    <x v="2"/>
    <n v="2"/>
    <n v="1"/>
    <n v="3"/>
    <x v="3"/>
    <n v="0"/>
  </r>
  <r>
    <n v="49"/>
    <x v="0"/>
    <x v="1"/>
    <x v="0"/>
    <n v="271"/>
    <x v="1"/>
    <n v="3"/>
    <n v="2"/>
    <s v="Medical"/>
    <n v="1"/>
    <n v="1509"/>
    <n v="3"/>
    <x v="0"/>
    <n v="43"/>
    <n v="2"/>
    <n v="2"/>
    <x v="2"/>
    <n v="1"/>
    <s v="Married"/>
    <n v="4789"/>
    <n v="23070"/>
    <n v="4"/>
    <s v="Y"/>
    <x v="1"/>
    <n v="25"/>
    <n v="4"/>
    <n v="1"/>
    <n v="80"/>
    <n v="1"/>
    <n v="10"/>
    <n v="3"/>
    <n v="3"/>
    <n v="3"/>
    <x v="2"/>
    <n v="2"/>
    <n v="1"/>
    <n v="2"/>
    <x v="3"/>
    <n v="0"/>
  </r>
  <r>
    <n v="29"/>
    <x v="2"/>
    <x v="1"/>
    <x v="1"/>
    <n v="410"/>
    <x v="1"/>
    <n v="2"/>
    <n v="1"/>
    <s v="Life Sciences"/>
    <n v="1"/>
    <n v="1513"/>
    <n v="4"/>
    <x v="0"/>
    <n v="97"/>
    <n v="3"/>
    <n v="1"/>
    <x v="2"/>
    <n v="2"/>
    <s v="Married"/>
    <n v="3180"/>
    <n v="4668"/>
    <n v="0"/>
    <s v="Y"/>
    <x v="1"/>
    <n v="13"/>
    <n v="3"/>
    <n v="3"/>
    <n v="80"/>
    <n v="3"/>
    <n v="4"/>
    <n v="3"/>
    <n v="3"/>
    <n v="3"/>
    <x v="2"/>
    <n v="2"/>
    <n v="0"/>
    <n v="2"/>
    <x v="1"/>
    <n v="0"/>
  </r>
  <r>
    <n v="28"/>
    <x v="2"/>
    <x v="1"/>
    <x v="0"/>
    <n v="1083"/>
    <x v="1"/>
    <n v="29"/>
    <n v="1"/>
    <s v="Life Sciences"/>
    <n v="1"/>
    <n v="1514"/>
    <n v="3"/>
    <x v="1"/>
    <n v="96"/>
    <n v="1"/>
    <n v="2"/>
    <x v="3"/>
    <n v="2"/>
    <s v="Married"/>
    <n v="6549"/>
    <n v="3173"/>
    <n v="1"/>
    <s v="Y"/>
    <x v="1"/>
    <n v="14"/>
    <n v="3"/>
    <n v="2"/>
    <n v="80"/>
    <n v="2"/>
    <n v="8"/>
    <n v="2"/>
    <n v="2"/>
    <n v="8"/>
    <x v="0"/>
    <n v="6"/>
    <n v="1"/>
    <n v="7"/>
    <x v="1"/>
    <n v="0"/>
  </r>
  <r>
    <n v="33"/>
    <x v="1"/>
    <x v="1"/>
    <x v="0"/>
    <n v="516"/>
    <x v="1"/>
    <n v="8"/>
    <n v="5"/>
    <s v="Life Sciences"/>
    <n v="1"/>
    <n v="1515"/>
    <n v="4"/>
    <x v="1"/>
    <n v="69"/>
    <n v="3"/>
    <n v="2"/>
    <x v="4"/>
    <n v="3"/>
    <s v="Single"/>
    <n v="6388"/>
    <n v="22049"/>
    <n v="2"/>
    <s v="Y"/>
    <x v="0"/>
    <n v="17"/>
    <n v="3"/>
    <n v="1"/>
    <n v="80"/>
    <n v="0"/>
    <n v="14"/>
    <n v="6"/>
    <n v="3"/>
    <n v="0"/>
    <x v="1"/>
    <n v="0"/>
    <n v="0"/>
    <n v="0"/>
    <x v="2"/>
    <n v="0"/>
  </r>
  <r>
    <n v="32"/>
    <x v="1"/>
    <x v="1"/>
    <x v="0"/>
    <n v="495"/>
    <x v="1"/>
    <n v="10"/>
    <n v="3"/>
    <s v="Medical"/>
    <n v="1"/>
    <n v="1516"/>
    <n v="3"/>
    <x v="1"/>
    <n v="64"/>
    <n v="3"/>
    <n v="3"/>
    <x v="5"/>
    <n v="4"/>
    <s v="Single"/>
    <n v="11244"/>
    <n v="21072"/>
    <n v="2"/>
    <s v="Y"/>
    <x v="1"/>
    <n v="25"/>
    <n v="4"/>
    <n v="2"/>
    <n v="80"/>
    <n v="0"/>
    <n v="10"/>
    <n v="5"/>
    <n v="4"/>
    <n v="5"/>
    <x v="2"/>
    <n v="2"/>
    <n v="0"/>
    <n v="0"/>
    <x v="0"/>
    <n v="0"/>
  </r>
  <r>
    <n v="54"/>
    <x v="3"/>
    <x v="1"/>
    <x v="1"/>
    <n v="1050"/>
    <x v="1"/>
    <n v="11"/>
    <n v="4"/>
    <s v="Medical"/>
    <n v="1"/>
    <n v="1520"/>
    <n v="2"/>
    <x v="0"/>
    <n v="87"/>
    <n v="3"/>
    <n v="4"/>
    <x v="5"/>
    <n v="4"/>
    <s v="Divorced"/>
    <n v="16032"/>
    <n v="24456"/>
    <n v="3"/>
    <s v="Y"/>
    <x v="1"/>
    <n v="20"/>
    <n v="4"/>
    <n v="1"/>
    <n v="80"/>
    <n v="1"/>
    <n v="26"/>
    <n v="2"/>
    <n v="3"/>
    <n v="14"/>
    <x v="3"/>
    <n v="9"/>
    <n v="1"/>
    <n v="12"/>
    <x v="0"/>
    <n v="0"/>
  </r>
  <r>
    <n v="29"/>
    <x v="2"/>
    <x v="0"/>
    <x v="0"/>
    <n v="224"/>
    <x v="1"/>
    <n v="1"/>
    <n v="4"/>
    <s v="Technical Degree"/>
    <n v="1"/>
    <n v="1522"/>
    <n v="1"/>
    <x v="1"/>
    <n v="100"/>
    <n v="2"/>
    <n v="1"/>
    <x v="1"/>
    <n v="1"/>
    <s v="Single"/>
    <n v="2362"/>
    <n v="7568"/>
    <n v="6"/>
    <s v="Y"/>
    <x v="1"/>
    <n v="13"/>
    <n v="3"/>
    <n v="3"/>
    <n v="80"/>
    <n v="0"/>
    <n v="11"/>
    <n v="2"/>
    <n v="1"/>
    <n v="9"/>
    <x v="0"/>
    <n v="7"/>
    <n v="0"/>
    <n v="7"/>
    <x v="3"/>
    <n v="1"/>
  </r>
  <r>
    <n v="44"/>
    <x v="0"/>
    <x v="1"/>
    <x v="0"/>
    <n v="136"/>
    <x v="1"/>
    <n v="28"/>
    <n v="3"/>
    <s v="Life Sciences"/>
    <n v="1"/>
    <n v="1523"/>
    <n v="4"/>
    <x v="1"/>
    <n v="32"/>
    <n v="3"/>
    <n v="4"/>
    <x v="7"/>
    <n v="1"/>
    <s v="Married"/>
    <n v="16328"/>
    <n v="22074"/>
    <n v="3"/>
    <s v="Y"/>
    <x v="1"/>
    <n v="13"/>
    <n v="3"/>
    <n v="3"/>
    <n v="80"/>
    <n v="1"/>
    <n v="24"/>
    <n v="1"/>
    <n v="4"/>
    <n v="20"/>
    <x v="3"/>
    <n v="6"/>
    <n v="14"/>
    <n v="17"/>
    <x v="3"/>
    <n v="0"/>
  </r>
  <r>
    <n v="39"/>
    <x v="1"/>
    <x v="1"/>
    <x v="0"/>
    <n v="1089"/>
    <x v="1"/>
    <n v="6"/>
    <n v="3"/>
    <s v="Life Sciences"/>
    <n v="1"/>
    <n v="1525"/>
    <n v="2"/>
    <x v="0"/>
    <n v="32"/>
    <n v="3"/>
    <n v="3"/>
    <x v="3"/>
    <n v="2"/>
    <s v="Single"/>
    <n v="8376"/>
    <n v="9150"/>
    <n v="4"/>
    <s v="Y"/>
    <x v="1"/>
    <n v="18"/>
    <n v="3"/>
    <n v="4"/>
    <n v="80"/>
    <n v="0"/>
    <n v="9"/>
    <n v="3"/>
    <n v="3"/>
    <n v="2"/>
    <x v="1"/>
    <n v="0"/>
    <n v="2"/>
    <n v="2"/>
    <x v="1"/>
    <n v="0"/>
  </r>
  <r>
    <n v="46"/>
    <x v="0"/>
    <x v="1"/>
    <x v="0"/>
    <n v="228"/>
    <x v="0"/>
    <n v="3"/>
    <n v="3"/>
    <s v="Life Sciences"/>
    <n v="1"/>
    <n v="1527"/>
    <n v="3"/>
    <x v="0"/>
    <n v="51"/>
    <n v="3"/>
    <n v="4"/>
    <x v="5"/>
    <n v="2"/>
    <s v="Married"/>
    <n v="16606"/>
    <n v="11380"/>
    <n v="8"/>
    <s v="Y"/>
    <x v="1"/>
    <n v="12"/>
    <n v="3"/>
    <n v="4"/>
    <n v="80"/>
    <n v="1"/>
    <n v="23"/>
    <n v="2"/>
    <n v="4"/>
    <n v="13"/>
    <x v="3"/>
    <n v="12"/>
    <n v="5"/>
    <n v="1"/>
    <x v="1"/>
    <n v="0"/>
  </r>
  <r>
    <n v="35"/>
    <x v="1"/>
    <x v="1"/>
    <x v="0"/>
    <n v="1029"/>
    <x v="1"/>
    <n v="16"/>
    <n v="3"/>
    <s v="Life Sciences"/>
    <n v="1"/>
    <n v="1529"/>
    <n v="4"/>
    <x v="0"/>
    <n v="91"/>
    <n v="2"/>
    <n v="3"/>
    <x v="4"/>
    <n v="2"/>
    <s v="Single"/>
    <n v="8606"/>
    <n v="21195"/>
    <n v="1"/>
    <s v="Y"/>
    <x v="1"/>
    <n v="19"/>
    <n v="3"/>
    <n v="4"/>
    <n v="80"/>
    <n v="0"/>
    <n v="11"/>
    <n v="3"/>
    <n v="1"/>
    <n v="11"/>
    <x v="3"/>
    <n v="8"/>
    <n v="3"/>
    <n v="3"/>
    <x v="1"/>
    <n v="0"/>
  </r>
  <r>
    <n v="23"/>
    <x v="2"/>
    <x v="1"/>
    <x v="0"/>
    <n v="507"/>
    <x v="1"/>
    <n v="20"/>
    <n v="1"/>
    <s v="Life Sciences"/>
    <n v="1"/>
    <n v="1533"/>
    <n v="1"/>
    <x v="1"/>
    <n v="97"/>
    <n v="3"/>
    <n v="2"/>
    <x v="2"/>
    <n v="3"/>
    <s v="Single"/>
    <n v="2272"/>
    <n v="24812"/>
    <n v="0"/>
    <s v="Y"/>
    <x v="1"/>
    <n v="14"/>
    <n v="3"/>
    <n v="2"/>
    <n v="80"/>
    <n v="0"/>
    <n v="5"/>
    <n v="2"/>
    <n v="3"/>
    <n v="4"/>
    <x v="2"/>
    <n v="3"/>
    <n v="1"/>
    <n v="2"/>
    <x v="2"/>
    <n v="0"/>
  </r>
  <r>
    <n v="40"/>
    <x v="1"/>
    <x v="0"/>
    <x v="0"/>
    <n v="676"/>
    <x v="1"/>
    <n v="9"/>
    <n v="4"/>
    <s v="Life Sciences"/>
    <n v="1"/>
    <n v="1534"/>
    <n v="4"/>
    <x v="1"/>
    <n v="86"/>
    <n v="3"/>
    <n v="1"/>
    <x v="2"/>
    <n v="1"/>
    <s v="Single"/>
    <n v="2018"/>
    <n v="21831"/>
    <n v="3"/>
    <s v="Y"/>
    <x v="1"/>
    <n v="14"/>
    <n v="3"/>
    <n v="2"/>
    <n v="80"/>
    <n v="0"/>
    <n v="15"/>
    <n v="3"/>
    <n v="1"/>
    <n v="5"/>
    <x v="2"/>
    <n v="4"/>
    <n v="1"/>
    <n v="0"/>
    <x v="3"/>
    <n v="1"/>
  </r>
  <r>
    <n v="34"/>
    <x v="1"/>
    <x v="1"/>
    <x v="0"/>
    <n v="971"/>
    <x v="0"/>
    <n v="1"/>
    <n v="3"/>
    <s v="Technical Degree"/>
    <n v="1"/>
    <n v="1535"/>
    <n v="4"/>
    <x v="1"/>
    <n v="64"/>
    <n v="2"/>
    <n v="3"/>
    <x v="0"/>
    <n v="3"/>
    <s v="Married"/>
    <n v="7083"/>
    <n v="12288"/>
    <n v="1"/>
    <s v="Y"/>
    <x v="0"/>
    <n v="14"/>
    <n v="3"/>
    <n v="4"/>
    <n v="80"/>
    <n v="0"/>
    <n v="10"/>
    <n v="3"/>
    <n v="3"/>
    <n v="10"/>
    <x v="0"/>
    <n v="9"/>
    <n v="8"/>
    <n v="6"/>
    <x v="2"/>
    <n v="0"/>
  </r>
  <r>
    <n v="31"/>
    <x v="1"/>
    <x v="0"/>
    <x v="1"/>
    <n v="561"/>
    <x v="1"/>
    <n v="3"/>
    <n v="3"/>
    <s v="Life Sciences"/>
    <n v="1"/>
    <n v="1537"/>
    <n v="4"/>
    <x v="0"/>
    <n v="33"/>
    <n v="3"/>
    <n v="1"/>
    <x v="1"/>
    <n v="3"/>
    <s v="Single"/>
    <n v="4084"/>
    <n v="4156"/>
    <n v="1"/>
    <s v="Y"/>
    <x v="1"/>
    <n v="12"/>
    <n v="3"/>
    <n v="1"/>
    <n v="80"/>
    <n v="0"/>
    <n v="7"/>
    <n v="2"/>
    <n v="1"/>
    <n v="7"/>
    <x v="0"/>
    <n v="2"/>
    <n v="7"/>
    <n v="7"/>
    <x v="2"/>
    <n v="1"/>
  </r>
  <r>
    <n v="50"/>
    <x v="0"/>
    <x v="1"/>
    <x v="1"/>
    <n v="333"/>
    <x v="1"/>
    <n v="22"/>
    <n v="5"/>
    <s v="Medical"/>
    <n v="1"/>
    <n v="1539"/>
    <n v="3"/>
    <x v="1"/>
    <n v="88"/>
    <n v="1"/>
    <n v="4"/>
    <x v="7"/>
    <n v="4"/>
    <s v="Single"/>
    <n v="14411"/>
    <n v="24450"/>
    <n v="1"/>
    <s v="Y"/>
    <x v="0"/>
    <n v="13"/>
    <n v="3"/>
    <n v="4"/>
    <n v="80"/>
    <n v="0"/>
    <n v="32"/>
    <n v="2"/>
    <n v="3"/>
    <n v="32"/>
    <x v="3"/>
    <n v="6"/>
    <n v="13"/>
    <n v="9"/>
    <x v="0"/>
    <n v="0"/>
  </r>
  <r>
    <n v="34"/>
    <x v="1"/>
    <x v="1"/>
    <x v="0"/>
    <n v="1440"/>
    <x v="0"/>
    <n v="7"/>
    <n v="2"/>
    <s v="Technical Degree"/>
    <n v="1"/>
    <n v="1541"/>
    <n v="2"/>
    <x v="1"/>
    <n v="55"/>
    <n v="3"/>
    <n v="1"/>
    <x v="6"/>
    <n v="3"/>
    <s v="Married"/>
    <n v="2308"/>
    <n v="4944"/>
    <n v="0"/>
    <s v="Y"/>
    <x v="0"/>
    <n v="25"/>
    <n v="4"/>
    <n v="2"/>
    <n v="80"/>
    <n v="1"/>
    <n v="12"/>
    <n v="4"/>
    <n v="3"/>
    <n v="11"/>
    <x v="3"/>
    <n v="10"/>
    <n v="5"/>
    <n v="7"/>
    <x v="2"/>
    <n v="0"/>
  </r>
  <r>
    <n v="42"/>
    <x v="0"/>
    <x v="1"/>
    <x v="0"/>
    <n v="1210"/>
    <x v="1"/>
    <n v="2"/>
    <n v="3"/>
    <s v="Medical"/>
    <n v="1"/>
    <n v="1542"/>
    <n v="3"/>
    <x v="1"/>
    <n v="68"/>
    <n v="2"/>
    <n v="1"/>
    <x v="2"/>
    <n v="2"/>
    <s v="Married"/>
    <n v="4841"/>
    <n v="24052"/>
    <n v="4"/>
    <s v="Y"/>
    <x v="1"/>
    <n v="14"/>
    <n v="3"/>
    <n v="2"/>
    <n v="80"/>
    <n v="1"/>
    <n v="4"/>
    <n v="3"/>
    <n v="3"/>
    <n v="1"/>
    <x v="1"/>
    <n v="0"/>
    <n v="0"/>
    <n v="0"/>
    <x v="1"/>
    <n v="0"/>
  </r>
  <r>
    <n v="37"/>
    <x v="1"/>
    <x v="1"/>
    <x v="0"/>
    <n v="674"/>
    <x v="1"/>
    <n v="13"/>
    <n v="3"/>
    <s v="Medical"/>
    <n v="1"/>
    <n v="1543"/>
    <n v="1"/>
    <x v="1"/>
    <n v="47"/>
    <n v="3"/>
    <n v="2"/>
    <x v="1"/>
    <n v="4"/>
    <s v="Married"/>
    <n v="4285"/>
    <n v="3031"/>
    <n v="1"/>
    <s v="Y"/>
    <x v="1"/>
    <n v="17"/>
    <n v="3"/>
    <n v="1"/>
    <n v="80"/>
    <n v="0"/>
    <n v="10"/>
    <n v="2"/>
    <n v="3"/>
    <n v="10"/>
    <x v="0"/>
    <n v="8"/>
    <n v="3"/>
    <n v="7"/>
    <x v="0"/>
    <n v="0"/>
  </r>
  <r>
    <n v="29"/>
    <x v="2"/>
    <x v="1"/>
    <x v="0"/>
    <n v="441"/>
    <x v="1"/>
    <n v="8"/>
    <n v="1"/>
    <s v="Other"/>
    <n v="1"/>
    <n v="1544"/>
    <n v="3"/>
    <x v="0"/>
    <n v="39"/>
    <n v="1"/>
    <n v="2"/>
    <x v="4"/>
    <n v="1"/>
    <s v="Married"/>
    <n v="9715"/>
    <n v="7288"/>
    <n v="3"/>
    <s v="Y"/>
    <x v="1"/>
    <n v="13"/>
    <n v="3"/>
    <n v="3"/>
    <n v="80"/>
    <n v="1"/>
    <n v="9"/>
    <n v="3"/>
    <n v="3"/>
    <n v="7"/>
    <x v="0"/>
    <n v="7"/>
    <n v="0"/>
    <n v="7"/>
    <x v="3"/>
    <n v="0"/>
  </r>
  <r>
    <n v="33"/>
    <x v="1"/>
    <x v="1"/>
    <x v="0"/>
    <n v="575"/>
    <x v="1"/>
    <n v="25"/>
    <n v="3"/>
    <s v="Life Sciences"/>
    <n v="1"/>
    <n v="1545"/>
    <n v="4"/>
    <x v="1"/>
    <n v="44"/>
    <n v="2"/>
    <n v="2"/>
    <x v="3"/>
    <n v="2"/>
    <s v="Single"/>
    <n v="4320"/>
    <n v="24152"/>
    <n v="1"/>
    <s v="Y"/>
    <x v="1"/>
    <n v="13"/>
    <n v="3"/>
    <n v="4"/>
    <n v="80"/>
    <n v="0"/>
    <n v="5"/>
    <n v="2"/>
    <n v="3"/>
    <n v="5"/>
    <x v="2"/>
    <n v="3"/>
    <n v="0"/>
    <n v="2"/>
    <x v="1"/>
    <n v="0"/>
  </r>
  <r>
    <n v="45"/>
    <x v="0"/>
    <x v="1"/>
    <x v="0"/>
    <n v="950"/>
    <x v="1"/>
    <n v="28"/>
    <n v="3"/>
    <s v="Technical Degree"/>
    <n v="1"/>
    <n v="1546"/>
    <n v="4"/>
    <x v="1"/>
    <n v="97"/>
    <n v="3"/>
    <n v="1"/>
    <x v="1"/>
    <n v="4"/>
    <s v="Married"/>
    <n v="2132"/>
    <n v="4585"/>
    <n v="4"/>
    <s v="Y"/>
    <x v="1"/>
    <n v="20"/>
    <n v="4"/>
    <n v="4"/>
    <n v="80"/>
    <n v="1"/>
    <n v="8"/>
    <n v="3"/>
    <n v="3"/>
    <n v="5"/>
    <x v="2"/>
    <n v="4"/>
    <n v="0"/>
    <n v="3"/>
    <x v="0"/>
    <n v="0"/>
  </r>
  <r>
    <n v="42"/>
    <x v="0"/>
    <x v="1"/>
    <x v="1"/>
    <n v="288"/>
    <x v="1"/>
    <n v="2"/>
    <n v="3"/>
    <s v="Life Sciences"/>
    <n v="1"/>
    <n v="1547"/>
    <n v="4"/>
    <x v="1"/>
    <n v="40"/>
    <n v="3"/>
    <n v="3"/>
    <x v="4"/>
    <n v="4"/>
    <s v="Married"/>
    <n v="10124"/>
    <n v="18611"/>
    <n v="2"/>
    <s v="Y"/>
    <x v="0"/>
    <n v="14"/>
    <n v="3"/>
    <n v="3"/>
    <n v="80"/>
    <n v="1"/>
    <n v="24"/>
    <n v="3"/>
    <n v="1"/>
    <n v="20"/>
    <x v="3"/>
    <n v="8"/>
    <n v="13"/>
    <n v="9"/>
    <x v="0"/>
    <n v="0"/>
  </r>
  <r>
    <n v="40"/>
    <x v="1"/>
    <x v="1"/>
    <x v="0"/>
    <n v="1342"/>
    <x v="0"/>
    <n v="9"/>
    <n v="2"/>
    <s v="Medical"/>
    <n v="1"/>
    <n v="1548"/>
    <n v="1"/>
    <x v="1"/>
    <n v="47"/>
    <n v="3"/>
    <n v="2"/>
    <x v="0"/>
    <n v="1"/>
    <s v="Married"/>
    <n v="5473"/>
    <n v="19345"/>
    <n v="0"/>
    <s v="Y"/>
    <x v="1"/>
    <n v="12"/>
    <n v="3"/>
    <n v="4"/>
    <n v="80"/>
    <n v="0"/>
    <n v="9"/>
    <n v="5"/>
    <n v="4"/>
    <n v="8"/>
    <x v="0"/>
    <n v="4"/>
    <n v="7"/>
    <n v="1"/>
    <x v="3"/>
    <n v="0"/>
  </r>
  <r>
    <n v="33"/>
    <x v="1"/>
    <x v="1"/>
    <x v="0"/>
    <n v="589"/>
    <x v="1"/>
    <n v="28"/>
    <n v="4"/>
    <s v="Life Sciences"/>
    <n v="1"/>
    <n v="1549"/>
    <n v="2"/>
    <x v="1"/>
    <n v="79"/>
    <n v="3"/>
    <n v="2"/>
    <x v="2"/>
    <n v="3"/>
    <s v="Married"/>
    <n v="5207"/>
    <n v="22949"/>
    <n v="1"/>
    <s v="Y"/>
    <x v="0"/>
    <n v="12"/>
    <n v="3"/>
    <n v="2"/>
    <n v="80"/>
    <n v="1"/>
    <n v="15"/>
    <n v="3"/>
    <n v="3"/>
    <n v="15"/>
    <x v="3"/>
    <n v="14"/>
    <n v="5"/>
    <n v="7"/>
    <x v="2"/>
    <n v="0"/>
  </r>
  <r>
    <n v="40"/>
    <x v="1"/>
    <x v="1"/>
    <x v="0"/>
    <n v="898"/>
    <x v="2"/>
    <n v="6"/>
    <n v="2"/>
    <s v="Medical"/>
    <n v="1"/>
    <n v="1550"/>
    <n v="3"/>
    <x v="1"/>
    <n v="38"/>
    <n v="3"/>
    <n v="4"/>
    <x v="5"/>
    <n v="4"/>
    <s v="Single"/>
    <n v="16437"/>
    <n v="17381"/>
    <n v="1"/>
    <s v="Y"/>
    <x v="0"/>
    <n v="21"/>
    <n v="4"/>
    <n v="4"/>
    <n v="80"/>
    <n v="0"/>
    <n v="21"/>
    <n v="2"/>
    <n v="3"/>
    <n v="21"/>
    <x v="3"/>
    <n v="7"/>
    <n v="7"/>
    <n v="7"/>
    <x v="0"/>
    <n v="0"/>
  </r>
  <r>
    <n v="24"/>
    <x v="2"/>
    <x v="1"/>
    <x v="0"/>
    <n v="350"/>
    <x v="1"/>
    <n v="21"/>
    <n v="2"/>
    <s v="Technical Degree"/>
    <n v="1"/>
    <n v="1551"/>
    <n v="3"/>
    <x v="1"/>
    <n v="57"/>
    <n v="2"/>
    <n v="1"/>
    <x v="2"/>
    <n v="1"/>
    <s v="Divorced"/>
    <n v="2296"/>
    <n v="10036"/>
    <n v="0"/>
    <s v="Y"/>
    <x v="1"/>
    <n v="14"/>
    <n v="3"/>
    <n v="2"/>
    <n v="80"/>
    <n v="3"/>
    <n v="2"/>
    <n v="3"/>
    <n v="3"/>
    <n v="1"/>
    <x v="1"/>
    <n v="1"/>
    <n v="0"/>
    <n v="0"/>
    <x v="3"/>
    <n v="0"/>
  </r>
  <r>
    <n v="40"/>
    <x v="1"/>
    <x v="1"/>
    <x v="2"/>
    <n v="1142"/>
    <x v="1"/>
    <n v="8"/>
    <n v="2"/>
    <s v="Life Sciences"/>
    <n v="1"/>
    <n v="1552"/>
    <n v="4"/>
    <x v="1"/>
    <n v="72"/>
    <n v="3"/>
    <n v="2"/>
    <x v="4"/>
    <n v="4"/>
    <s v="Divorced"/>
    <n v="4069"/>
    <n v="8841"/>
    <n v="3"/>
    <s v="Y"/>
    <x v="0"/>
    <n v="18"/>
    <n v="3"/>
    <n v="3"/>
    <n v="80"/>
    <n v="0"/>
    <n v="8"/>
    <n v="2"/>
    <n v="3"/>
    <n v="2"/>
    <x v="1"/>
    <n v="2"/>
    <n v="2"/>
    <n v="2"/>
    <x v="0"/>
    <n v="0"/>
  </r>
  <r>
    <n v="45"/>
    <x v="0"/>
    <x v="1"/>
    <x v="0"/>
    <n v="538"/>
    <x v="1"/>
    <n v="1"/>
    <n v="4"/>
    <s v="Technical Degree"/>
    <n v="1"/>
    <n v="1553"/>
    <n v="1"/>
    <x v="1"/>
    <n v="66"/>
    <n v="3"/>
    <n v="3"/>
    <x v="4"/>
    <n v="2"/>
    <s v="Divorced"/>
    <n v="7441"/>
    <n v="20933"/>
    <n v="1"/>
    <s v="Y"/>
    <x v="1"/>
    <n v="12"/>
    <n v="3"/>
    <n v="1"/>
    <n v="80"/>
    <n v="3"/>
    <n v="10"/>
    <n v="4"/>
    <n v="3"/>
    <n v="10"/>
    <x v="0"/>
    <n v="8"/>
    <n v="7"/>
    <n v="7"/>
    <x v="1"/>
    <n v="0"/>
  </r>
  <r>
    <n v="35"/>
    <x v="1"/>
    <x v="1"/>
    <x v="0"/>
    <n v="1402"/>
    <x v="0"/>
    <n v="28"/>
    <n v="4"/>
    <s v="Life Sciences"/>
    <n v="1"/>
    <n v="1554"/>
    <n v="2"/>
    <x v="0"/>
    <n v="98"/>
    <n v="2"/>
    <n v="1"/>
    <x v="6"/>
    <n v="3"/>
    <s v="Married"/>
    <n v="2430"/>
    <n v="26204"/>
    <n v="0"/>
    <s v="Y"/>
    <x v="1"/>
    <n v="23"/>
    <n v="4"/>
    <n v="1"/>
    <n v="80"/>
    <n v="2"/>
    <n v="6"/>
    <n v="5"/>
    <n v="3"/>
    <n v="5"/>
    <x v="2"/>
    <n v="3"/>
    <n v="4"/>
    <n v="2"/>
    <x v="2"/>
    <n v="0"/>
  </r>
  <r>
    <n v="32"/>
    <x v="1"/>
    <x v="1"/>
    <x v="0"/>
    <n v="824"/>
    <x v="1"/>
    <n v="5"/>
    <n v="2"/>
    <s v="Life Sciences"/>
    <n v="1"/>
    <n v="1555"/>
    <n v="4"/>
    <x v="0"/>
    <n v="67"/>
    <n v="2"/>
    <n v="2"/>
    <x v="1"/>
    <n v="2"/>
    <s v="Married"/>
    <n v="5878"/>
    <n v="15624"/>
    <n v="3"/>
    <s v="Y"/>
    <x v="1"/>
    <n v="12"/>
    <n v="3"/>
    <n v="1"/>
    <n v="80"/>
    <n v="1"/>
    <n v="12"/>
    <n v="2"/>
    <n v="3"/>
    <n v="7"/>
    <x v="0"/>
    <n v="1"/>
    <n v="2"/>
    <n v="5"/>
    <x v="1"/>
    <n v="0"/>
  </r>
  <r>
    <n v="36"/>
    <x v="1"/>
    <x v="1"/>
    <x v="0"/>
    <n v="1157"/>
    <x v="0"/>
    <n v="2"/>
    <n v="4"/>
    <s v="Life Sciences"/>
    <n v="1"/>
    <n v="1556"/>
    <n v="3"/>
    <x v="1"/>
    <n v="70"/>
    <n v="3"/>
    <n v="1"/>
    <x v="6"/>
    <n v="4"/>
    <s v="Single"/>
    <n v="2644"/>
    <n v="17001"/>
    <n v="3"/>
    <s v="Y"/>
    <x v="0"/>
    <n v="21"/>
    <n v="4"/>
    <n v="4"/>
    <n v="80"/>
    <n v="0"/>
    <n v="7"/>
    <n v="3"/>
    <n v="2"/>
    <n v="3"/>
    <x v="2"/>
    <n v="2"/>
    <n v="1"/>
    <n v="2"/>
    <x v="0"/>
    <n v="0"/>
  </r>
  <r>
    <n v="48"/>
    <x v="0"/>
    <x v="1"/>
    <x v="0"/>
    <n v="492"/>
    <x v="0"/>
    <n v="16"/>
    <n v="4"/>
    <s v="Life Sciences"/>
    <n v="1"/>
    <n v="1557"/>
    <n v="3"/>
    <x v="0"/>
    <n v="96"/>
    <n v="3"/>
    <n v="2"/>
    <x v="0"/>
    <n v="3"/>
    <s v="Divorced"/>
    <n v="6439"/>
    <n v="13693"/>
    <n v="8"/>
    <s v="Y"/>
    <x v="1"/>
    <n v="14"/>
    <n v="3"/>
    <n v="3"/>
    <n v="80"/>
    <n v="1"/>
    <n v="18"/>
    <n v="2"/>
    <n v="3"/>
    <n v="8"/>
    <x v="0"/>
    <n v="7"/>
    <n v="7"/>
    <n v="7"/>
    <x v="2"/>
    <n v="0"/>
  </r>
  <r>
    <n v="29"/>
    <x v="2"/>
    <x v="1"/>
    <x v="0"/>
    <n v="598"/>
    <x v="1"/>
    <n v="9"/>
    <n v="3"/>
    <s v="Life Sciences"/>
    <n v="1"/>
    <n v="1558"/>
    <n v="3"/>
    <x v="1"/>
    <n v="91"/>
    <n v="4"/>
    <n v="1"/>
    <x v="1"/>
    <n v="3"/>
    <s v="Married"/>
    <n v="2451"/>
    <n v="22376"/>
    <n v="6"/>
    <s v="Y"/>
    <x v="1"/>
    <n v="18"/>
    <n v="3"/>
    <n v="1"/>
    <n v="80"/>
    <n v="2"/>
    <n v="5"/>
    <n v="2"/>
    <n v="2"/>
    <n v="1"/>
    <x v="1"/>
    <n v="0"/>
    <n v="0"/>
    <n v="0"/>
    <x v="2"/>
    <n v="0"/>
  </r>
  <r>
    <n v="33"/>
    <x v="1"/>
    <x v="1"/>
    <x v="0"/>
    <n v="1242"/>
    <x v="0"/>
    <n v="8"/>
    <n v="4"/>
    <s v="Life Sciences"/>
    <n v="1"/>
    <n v="1560"/>
    <n v="1"/>
    <x v="1"/>
    <n v="46"/>
    <n v="3"/>
    <n v="2"/>
    <x v="0"/>
    <n v="1"/>
    <s v="Married"/>
    <n v="6392"/>
    <n v="10589"/>
    <n v="2"/>
    <s v="Y"/>
    <x v="1"/>
    <n v="13"/>
    <n v="3"/>
    <n v="4"/>
    <n v="80"/>
    <n v="1"/>
    <n v="8"/>
    <n v="6"/>
    <n v="1"/>
    <n v="2"/>
    <x v="1"/>
    <n v="2"/>
    <n v="2"/>
    <n v="2"/>
    <x v="3"/>
    <n v="0"/>
  </r>
  <r>
    <n v="30"/>
    <x v="1"/>
    <x v="0"/>
    <x v="0"/>
    <n v="740"/>
    <x v="0"/>
    <n v="1"/>
    <n v="3"/>
    <s v="Life Sciences"/>
    <n v="1"/>
    <n v="1562"/>
    <n v="2"/>
    <x v="1"/>
    <n v="64"/>
    <n v="2"/>
    <n v="2"/>
    <x v="0"/>
    <n v="1"/>
    <s v="Married"/>
    <n v="9714"/>
    <n v="5323"/>
    <n v="1"/>
    <s v="Y"/>
    <x v="1"/>
    <n v="11"/>
    <n v="3"/>
    <n v="4"/>
    <n v="80"/>
    <n v="1"/>
    <n v="10"/>
    <n v="4"/>
    <n v="3"/>
    <n v="10"/>
    <x v="0"/>
    <n v="8"/>
    <n v="6"/>
    <n v="7"/>
    <x v="3"/>
    <n v="1"/>
  </r>
  <r>
    <n v="38"/>
    <x v="1"/>
    <x v="1"/>
    <x v="1"/>
    <n v="888"/>
    <x v="2"/>
    <n v="10"/>
    <n v="4"/>
    <s v="Human Resources"/>
    <n v="1"/>
    <n v="1563"/>
    <n v="3"/>
    <x v="1"/>
    <n v="71"/>
    <n v="3"/>
    <n v="2"/>
    <x v="8"/>
    <n v="3"/>
    <s v="Married"/>
    <n v="6077"/>
    <n v="14814"/>
    <n v="3"/>
    <s v="Y"/>
    <x v="1"/>
    <n v="11"/>
    <n v="3"/>
    <n v="3"/>
    <n v="80"/>
    <n v="0"/>
    <n v="10"/>
    <n v="2"/>
    <n v="3"/>
    <n v="6"/>
    <x v="0"/>
    <n v="3"/>
    <n v="1"/>
    <n v="2"/>
    <x v="2"/>
    <n v="0"/>
  </r>
  <r>
    <n v="35"/>
    <x v="1"/>
    <x v="1"/>
    <x v="0"/>
    <n v="992"/>
    <x v="1"/>
    <n v="1"/>
    <n v="3"/>
    <s v="Medical"/>
    <n v="1"/>
    <n v="1564"/>
    <n v="4"/>
    <x v="1"/>
    <n v="68"/>
    <n v="2"/>
    <n v="1"/>
    <x v="2"/>
    <n v="1"/>
    <s v="Single"/>
    <n v="2450"/>
    <n v="21731"/>
    <n v="1"/>
    <s v="Y"/>
    <x v="1"/>
    <n v="19"/>
    <n v="3"/>
    <n v="2"/>
    <n v="80"/>
    <n v="0"/>
    <n v="3"/>
    <n v="3"/>
    <n v="3"/>
    <n v="3"/>
    <x v="2"/>
    <n v="0"/>
    <n v="1"/>
    <n v="2"/>
    <x v="3"/>
    <n v="0"/>
  </r>
  <r>
    <n v="30"/>
    <x v="1"/>
    <x v="1"/>
    <x v="0"/>
    <n v="1288"/>
    <x v="0"/>
    <n v="29"/>
    <n v="4"/>
    <s v="Technical Degree"/>
    <n v="1"/>
    <n v="1568"/>
    <n v="3"/>
    <x v="1"/>
    <n v="33"/>
    <n v="3"/>
    <n v="3"/>
    <x v="0"/>
    <n v="2"/>
    <s v="Married"/>
    <n v="9250"/>
    <n v="17799"/>
    <n v="3"/>
    <s v="Y"/>
    <x v="1"/>
    <n v="12"/>
    <n v="3"/>
    <n v="2"/>
    <n v="80"/>
    <n v="1"/>
    <n v="9"/>
    <n v="3"/>
    <n v="3"/>
    <n v="4"/>
    <x v="2"/>
    <n v="2"/>
    <n v="1"/>
    <n v="3"/>
    <x v="1"/>
    <n v="0"/>
  </r>
  <r>
    <n v="35"/>
    <x v="1"/>
    <x v="0"/>
    <x v="0"/>
    <n v="104"/>
    <x v="1"/>
    <n v="2"/>
    <n v="3"/>
    <s v="Life Sciences"/>
    <n v="1"/>
    <n v="1569"/>
    <n v="1"/>
    <x v="0"/>
    <n v="69"/>
    <n v="3"/>
    <n v="1"/>
    <x v="2"/>
    <n v="1"/>
    <s v="Divorced"/>
    <n v="2074"/>
    <n v="26619"/>
    <n v="1"/>
    <s v="Y"/>
    <x v="0"/>
    <n v="12"/>
    <n v="3"/>
    <n v="4"/>
    <n v="80"/>
    <n v="1"/>
    <n v="1"/>
    <n v="2"/>
    <n v="3"/>
    <n v="1"/>
    <x v="1"/>
    <n v="0"/>
    <n v="0"/>
    <n v="0"/>
    <x v="3"/>
    <n v="1"/>
  </r>
  <r>
    <n v="53"/>
    <x v="3"/>
    <x v="0"/>
    <x v="0"/>
    <n v="607"/>
    <x v="1"/>
    <n v="2"/>
    <n v="5"/>
    <s v="Technical Degree"/>
    <n v="1"/>
    <n v="1572"/>
    <n v="3"/>
    <x v="0"/>
    <n v="78"/>
    <n v="2"/>
    <n v="3"/>
    <x v="3"/>
    <n v="4"/>
    <s v="Married"/>
    <n v="10169"/>
    <n v="14618"/>
    <n v="0"/>
    <s v="Y"/>
    <x v="1"/>
    <n v="16"/>
    <n v="3"/>
    <n v="2"/>
    <n v="80"/>
    <n v="1"/>
    <n v="34"/>
    <n v="4"/>
    <n v="3"/>
    <n v="33"/>
    <x v="3"/>
    <n v="7"/>
    <n v="1"/>
    <n v="9"/>
    <x v="0"/>
    <n v="1"/>
  </r>
  <r>
    <n v="38"/>
    <x v="1"/>
    <x v="0"/>
    <x v="0"/>
    <n v="903"/>
    <x v="1"/>
    <n v="2"/>
    <n v="3"/>
    <s v="Medical"/>
    <n v="1"/>
    <n v="1573"/>
    <n v="3"/>
    <x v="1"/>
    <n v="81"/>
    <n v="3"/>
    <n v="2"/>
    <x v="3"/>
    <n v="2"/>
    <s v="Married"/>
    <n v="4855"/>
    <n v="7653"/>
    <n v="4"/>
    <s v="Y"/>
    <x v="1"/>
    <n v="11"/>
    <n v="3"/>
    <n v="1"/>
    <n v="80"/>
    <n v="2"/>
    <n v="7"/>
    <n v="2"/>
    <n v="3"/>
    <n v="5"/>
    <x v="2"/>
    <n v="2"/>
    <n v="1"/>
    <n v="4"/>
    <x v="1"/>
    <n v="1"/>
  </r>
  <r>
    <n v="32"/>
    <x v="1"/>
    <x v="1"/>
    <x v="2"/>
    <n v="1200"/>
    <x v="1"/>
    <n v="1"/>
    <n v="4"/>
    <s v="Technical Degree"/>
    <n v="1"/>
    <n v="1574"/>
    <n v="4"/>
    <x v="1"/>
    <n v="62"/>
    <n v="3"/>
    <n v="2"/>
    <x v="1"/>
    <n v="1"/>
    <s v="Married"/>
    <n v="4087"/>
    <n v="25174"/>
    <n v="4"/>
    <s v="Y"/>
    <x v="1"/>
    <n v="14"/>
    <n v="3"/>
    <n v="2"/>
    <n v="80"/>
    <n v="1"/>
    <n v="9"/>
    <n v="3"/>
    <n v="2"/>
    <n v="6"/>
    <x v="0"/>
    <n v="5"/>
    <n v="1"/>
    <n v="2"/>
    <x v="3"/>
    <n v="0"/>
  </r>
  <r>
    <n v="48"/>
    <x v="0"/>
    <x v="1"/>
    <x v="0"/>
    <n v="1108"/>
    <x v="1"/>
    <n v="15"/>
    <n v="4"/>
    <s v="Other"/>
    <n v="1"/>
    <n v="1576"/>
    <n v="3"/>
    <x v="0"/>
    <n v="65"/>
    <n v="3"/>
    <n v="1"/>
    <x v="1"/>
    <n v="1"/>
    <s v="Married"/>
    <n v="2367"/>
    <n v="16530"/>
    <n v="8"/>
    <s v="Y"/>
    <x v="1"/>
    <n v="12"/>
    <n v="3"/>
    <n v="4"/>
    <n v="80"/>
    <n v="1"/>
    <n v="10"/>
    <n v="3"/>
    <n v="2"/>
    <n v="8"/>
    <x v="0"/>
    <n v="2"/>
    <n v="7"/>
    <n v="6"/>
    <x v="3"/>
    <n v="0"/>
  </r>
  <r>
    <n v="34"/>
    <x v="1"/>
    <x v="1"/>
    <x v="0"/>
    <n v="479"/>
    <x v="1"/>
    <n v="7"/>
    <n v="4"/>
    <s v="Medical"/>
    <n v="1"/>
    <n v="1577"/>
    <n v="1"/>
    <x v="1"/>
    <n v="35"/>
    <n v="3"/>
    <n v="1"/>
    <x v="1"/>
    <n v="4"/>
    <s v="Single"/>
    <n v="2972"/>
    <n v="22061"/>
    <n v="1"/>
    <s v="Y"/>
    <x v="1"/>
    <n v="13"/>
    <n v="3"/>
    <n v="3"/>
    <n v="80"/>
    <n v="0"/>
    <n v="1"/>
    <n v="4"/>
    <n v="1"/>
    <n v="1"/>
    <x v="1"/>
    <n v="0"/>
    <n v="0"/>
    <n v="0"/>
    <x v="0"/>
    <n v="0"/>
  </r>
  <r>
    <n v="55"/>
    <x v="3"/>
    <x v="1"/>
    <x v="0"/>
    <n v="685"/>
    <x v="0"/>
    <n v="26"/>
    <n v="5"/>
    <s v="Marketing"/>
    <n v="1"/>
    <n v="1578"/>
    <n v="3"/>
    <x v="1"/>
    <n v="60"/>
    <n v="2"/>
    <n v="5"/>
    <x v="5"/>
    <n v="4"/>
    <s v="Married"/>
    <n v="19586"/>
    <n v="23037"/>
    <n v="1"/>
    <s v="Y"/>
    <x v="1"/>
    <n v="21"/>
    <n v="4"/>
    <n v="3"/>
    <n v="80"/>
    <n v="1"/>
    <n v="36"/>
    <n v="3"/>
    <n v="3"/>
    <n v="36"/>
    <x v="3"/>
    <n v="6"/>
    <n v="2"/>
    <n v="13"/>
    <x v="0"/>
    <n v="0"/>
  </r>
  <r>
    <n v="34"/>
    <x v="1"/>
    <x v="1"/>
    <x v="0"/>
    <n v="1351"/>
    <x v="1"/>
    <n v="1"/>
    <n v="4"/>
    <s v="Life Sciences"/>
    <n v="1"/>
    <n v="1580"/>
    <n v="2"/>
    <x v="1"/>
    <n v="45"/>
    <n v="3"/>
    <n v="2"/>
    <x v="1"/>
    <n v="4"/>
    <s v="Married"/>
    <n v="5484"/>
    <n v="13008"/>
    <n v="9"/>
    <s v="Y"/>
    <x v="1"/>
    <n v="17"/>
    <n v="3"/>
    <n v="2"/>
    <n v="80"/>
    <n v="1"/>
    <n v="9"/>
    <n v="3"/>
    <n v="2"/>
    <n v="2"/>
    <x v="1"/>
    <n v="2"/>
    <n v="2"/>
    <n v="1"/>
    <x v="0"/>
    <n v="0"/>
  </r>
  <r>
    <n v="26"/>
    <x v="2"/>
    <x v="1"/>
    <x v="0"/>
    <n v="474"/>
    <x v="1"/>
    <n v="3"/>
    <n v="3"/>
    <s v="Life Sciences"/>
    <n v="1"/>
    <n v="1581"/>
    <n v="1"/>
    <x v="0"/>
    <n v="89"/>
    <n v="3"/>
    <n v="1"/>
    <x v="1"/>
    <n v="4"/>
    <s v="Married"/>
    <n v="2061"/>
    <n v="11133"/>
    <n v="1"/>
    <s v="Y"/>
    <x v="1"/>
    <n v="21"/>
    <n v="4"/>
    <n v="1"/>
    <n v="80"/>
    <n v="0"/>
    <n v="1"/>
    <n v="5"/>
    <n v="3"/>
    <n v="1"/>
    <x v="1"/>
    <n v="0"/>
    <n v="0"/>
    <n v="0"/>
    <x v="0"/>
    <n v="0"/>
  </r>
  <r>
    <n v="38"/>
    <x v="1"/>
    <x v="1"/>
    <x v="0"/>
    <n v="1245"/>
    <x v="0"/>
    <n v="14"/>
    <n v="3"/>
    <s v="Life Sciences"/>
    <n v="1"/>
    <n v="1582"/>
    <n v="3"/>
    <x v="1"/>
    <n v="80"/>
    <n v="3"/>
    <n v="2"/>
    <x v="0"/>
    <n v="2"/>
    <s v="Married"/>
    <n v="9924"/>
    <n v="12355"/>
    <n v="0"/>
    <s v="Y"/>
    <x v="1"/>
    <n v="11"/>
    <n v="3"/>
    <n v="4"/>
    <n v="80"/>
    <n v="1"/>
    <n v="10"/>
    <n v="3"/>
    <n v="3"/>
    <n v="9"/>
    <x v="0"/>
    <n v="8"/>
    <n v="7"/>
    <n v="7"/>
    <x v="1"/>
    <n v="0"/>
  </r>
  <r>
    <n v="38"/>
    <x v="1"/>
    <x v="1"/>
    <x v="0"/>
    <n v="437"/>
    <x v="0"/>
    <n v="16"/>
    <n v="3"/>
    <s v="Life Sciences"/>
    <n v="1"/>
    <n v="1583"/>
    <n v="2"/>
    <x v="0"/>
    <n v="90"/>
    <n v="3"/>
    <n v="2"/>
    <x v="0"/>
    <n v="2"/>
    <s v="Single"/>
    <n v="4198"/>
    <n v="16379"/>
    <n v="2"/>
    <s v="Y"/>
    <x v="1"/>
    <n v="12"/>
    <n v="3"/>
    <n v="2"/>
    <n v="80"/>
    <n v="0"/>
    <n v="8"/>
    <n v="5"/>
    <n v="4"/>
    <n v="3"/>
    <x v="2"/>
    <n v="2"/>
    <n v="1"/>
    <n v="2"/>
    <x v="1"/>
    <n v="0"/>
  </r>
  <r>
    <n v="36"/>
    <x v="1"/>
    <x v="1"/>
    <x v="0"/>
    <n v="884"/>
    <x v="0"/>
    <n v="1"/>
    <n v="4"/>
    <s v="Life Sciences"/>
    <n v="1"/>
    <n v="1585"/>
    <n v="2"/>
    <x v="0"/>
    <n v="73"/>
    <n v="3"/>
    <n v="2"/>
    <x v="0"/>
    <n v="3"/>
    <s v="Single"/>
    <n v="6815"/>
    <n v="21447"/>
    <n v="6"/>
    <s v="Y"/>
    <x v="1"/>
    <n v="13"/>
    <n v="3"/>
    <n v="1"/>
    <n v="80"/>
    <n v="0"/>
    <n v="15"/>
    <n v="5"/>
    <n v="3"/>
    <n v="1"/>
    <x v="1"/>
    <n v="0"/>
    <n v="0"/>
    <n v="0"/>
    <x v="2"/>
    <n v="0"/>
  </r>
  <r>
    <n v="29"/>
    <x v="2"/>
    <x v="1"/>
    <x v="0"/>
    <n v="1370"/>
    <x v="1"/>
    <n v="3"/>
    <n v="1"/>
    <s v="Medical"/>
    <n v="1"/>
    <n v="1586"/>
    <n v="2"/>
    <x v="1"/>
    <n v="87"/>
    <n v="3"/>
    <n v="1"/>
    <x v="2"/>
    <n v="1"/>
    <s v="Single"/>
    <n v="4723"/>
    <n v="16213"/>
    <n v="1"/>
    <s v="Y"/>
    <x v="0"/>
    <n v="18"/>
    <n v="3"/>
    <n v="4"/>
    <n v="80"/>
    <n v="0"/>
    <n v="10"/>
    <n v="3"/>
    <n v="3"/>
    <n v="10"/>
    <x v="0"/>
    <n v="9"/>
    <n v="1"/>
    <n v="5"/>
    <x v="3"/>
    <n v="0"/>
  </r>
  <r>
    <n v="35"/>
    <x v="1"/>
    <x v="1"/>
    <x v="0"/>
    <n v="670"/>
    <x v="1"/>
    <n v="10"/>
    <n v="4"/>
    <s v="Medical"/>
    <n v="1"/>
    <n v="1587"/>
    <n v="1"/>
    <x v="0"/>
    <n v="51"/>
    <n v="3"/>
    <n v="2"/>
    <x v="4"/>
    <n v="3"/>
    <s v="Single"/>
    <n v="6142"/>
    <n v="4223"/>
    <n v="3"/>
    <s v="Y"/>
    <x v="0"/>
    <n v="16"/>
    <n v="3"/>
    <n v="3"/>
    <n v="80"/>
    <n v="0"/>
    <n v="10"/>
    <n v="4"/>
    <n v="3"/>
    <n v="5"/>
    <x v="2"/>
    <n v="2"/>
    <n v="0"/>
    <n v="4"/>
    <x v="2"/>
    <n v="0"/>
  </r>
  <r>
    <n v="39"/>
    <x v="1"/>
    <x v="1"/>
    <x v="0"/>
    <n v="1462"/>
    <x v="0"/>
    <n v="6"/>
    <n v="3"/>
    <s v="Medical"/>
    <n v="1"/>
    <n v="1588"/>
    <n v="4"/>
    <x v="1"/>
    <n v="38"/>
    <n v="4"/>
    <n v="3"/>
    <x v="0"/>
    <n v="3"/>
    <s v="Married"/>
    <n v="8237"/>
    <n v="4658"/>
    <n v="2"/>
    <s v="Y"/>
    <x v="1"/>
    <n v="11"/>
    <n v="3"/>
    <n v="1"/>
    <n v="80"/>
    <n v="1"/>
    <n v="11"/>
    <n v="3"/>
    <n v="3"/>
    <n v="7"/>
    <x v="0"/>
    <n v="6"/>
    <n v="7"/>
    <n v="6"/>
    <x v="2"/>
    <n v="0"/>
  </r>
  <r>
    <n v="29"/>
    <x v="2"/>
    <x v="1"/>
    <x v="1"/>
    <n v="995"/>
    <x v="1"/>
    <n v="2"/>
    <n v="1"/>
    <s v="Life Sciences"/>
    <n v="1"/>
    <n v="1590"/>
    <n v="1"/>
    <x v="1"/>
    <n v="87"/>
    <n v="3"/>
    <n v="2"/>
    <x v="4"/>
    <n v="4"/>
    <s v="Divorced"/>
    <n v="8853"/>
    <n v="24483"/>
    <n v="1"/>
    <s v="Y"/>
    <x v="1"/>
    <n v="19"/>
    <n v="3"/>
    <n v="4"/>
    <n v="80"/>
    <n v="1"/>
    <n v="6"/>
    <n v="0"/>
    <n v="4"/>
    <n v="6"/>
    <x v="0"/>
    <n v="4"/>
    <n v="1"/>
    <n v="3"/>
    <x v="0"/>
    <n v="0"/>
  </r>
  <r>
    <n v="50"/>
    <x v="0"/>
    <x v="1"/>
    <x v="0"/>
    <n v="264"/>
    <x v="0"/>
    <n v="9"/>
    <n v="3"/>
    <s v="Marketing"/>
    <n v="1"/>
    <n v="1591"/>
    <n v="3"/>
    <x v="1"/>
    <n v="59"/>
    <n v="3"/>
    <n v="5"/>
    <x v="5"/>
    <n v="3"/>
    <s v="Married"/>
    <n v="19331"/>
    <n v="19519"/>
    <n v="4"/>
    <s v="Y"/>
    <x v="0"/>
    <n v="16"/>
    <n v="3"/>
    <n v="3"/>
    <n v="80"/>
    <n v="1"/>
    <n v="27"/>
    <n v="2"/>
    <n v="3"/>
    <n v="1"/>
    <x v="1"/>
    <n v="0"/>
    <n v="0"/>
    <n v="0"/>
    <x v="2"/>
    <n v="0"/>
  </r>
  <r>
    <n v="23"/>
    <x v="2"/>
    <x v="1"/>
    <x v="0"/>
    <n v="977"/>
    <x v="1"/>
    <n v="10"/>
    <n v="3"/>
    <s v="Technical Degree"/>
    <n v="1"/>
    <n v="1592"/>
    <n v="4"/>
    <x v="1"/>
    <n v="45"/>
    <n v="4"/>
    <n v="1"/>
    <x v="1"/>
    <n v="3"/>
    <s v="Married"/>
    <n v="2073"/>
    <n v="12826"/>
    <n v="2"/>
    <s v="Y"/>
    <x v="1"/>
    <n v="16"/>
    <n v="3"/>
    <n v="4"/>
    <n v="80"/>
    <n v="1"/>
    <n v="4"/>
    <n v="2"/>
    <n v="3"/>
    <n v="2"/>
    <x v="1"/>
    <n v="2"/>
    <n v="2"/>
    <n v="2"/>
    <x v="2"/>
    <n v="0"/>
  </r>
  <r>
    <n v="36"/>
    <x v="1"/>
    <x v="1"/>
    <x v="1"/>
    <n v="1302"/>
    <x v="1"/>
    <n v="6"/>
    <n v="4"/>
    <s v="Life Sciences"/>
    <n v="1"/>
    <n v="1594"/>
    <n v="1"/>
    <x v="1"/>
    <n v="80"/>
    <n v="4"/>
    <n v="2"/>
    <x v="2"/>
    <n v="1"/>
    <s v="Married"/>
    <n v="5562"/>
    <n v="19711"/>
    <n v="3"/>
    <s v="Y"/>
    <x v="0"/>
    <n v="13"/>
    <n v="3"/>
    <n v="4"/>
    <n v="80"/>
    <n v="1"/>
    <n v="9"/>
    <n v="3"/>
    <n v="3"/>
    <n v="3"/>
    <x v="2"/>
    <n v="2"/>
    <n v="0"/>
    <n v="2"/>
    <x v="3"/>
    <n v="0"/>
  </r>
  <r>
    <n v="42"/>
    <x v="0"/>
    <x v="1"/>
    <x v="0"/>
    <n v="1059"/>
    <x v="1"/>
    <n v="9"/>
    <n v="2"/>
    <s v="Other"/>
    <n v="1"/>
    <n v="1595"/>
    <n v="4"/>
    <x v="1"/>
    <n v="93"/>
    <n v="2"/>
    <n v="5"/>
    <x v="5"/>
    <n v="4"/>
    <s v="Single"/>
    <n v="19613"/>
    <n v="26362"/>
    <n v="8"/>
    <s v="Y"/>
    <x v="1"/>
    <n v="22"/>
    <n v="4"/>
    <n v="4"/>
    <n v="80"/>
    <n v="0"/>
    <n v="24"/>
    <n v="2"/>
    <n v="3"/>
    <n v="1"/>
    <x v="1"/>
    <n v="0"/>
    <n v="0"/>
    <n v="1"/>
    <x v="0"/>
    <n v="0"/>
  </r>
  <r>
    <n v="35"/>
    <x v="1"/>
    <x v="1"/>
    <x v="0"/>
    <n v="750"/>
    <x v="1"/>
    <n v="28"/>
    <n v="3"/>
    <s v="Life Sciences"/>
    <n v="1"/>
    <n v="1596"/>
    <n v="2"/>
    <x v="1"/>
    <n v="46"/>
    <n v="4"/>
    <n v="2"/>
    <x v="2"/>
    <n v="3"/>
    <s v="Married"/>
    <n v="3407"/>
    <n v="25348"/>
    <n v="1"/>
    <s v="Y"/>
    <x v="1"/>
    <n v="17"/>
    <n v="3"/>
    <n v="4"/>
    <n v="80"/>
    <n v="2"/>
    <n v="10"/>
    <n v="3"/>
    <n v="2"/>
    <n v="10"/>
    <x v="0"/>
    <n v="9"/>
    <n v="6"/>
    <n v="8"/>
    <x v="2"/>
    <n v="0"/>
  </r>
  <r>
    <n v="34"/>
    <x v="1"/>
    <x v="1"/>
    <x v="1"/>
    <n v="653"/>
    <x v="1"/>
    <n v="10"/>
    <n v="4"/>
    <s v="Technical Degree"/>
    <n v="1"/>
    <n v="1597"/>
    <n v="4"/>
    <x v="1"/>
    <n v="92"/>
    <n v="2"/>
    <n v="2"/>
    <x v="4"/>
    <n v="3"/>
    <s v="Married"/>
    <n v="5063"/>
    <n v="15332"/>
    <n v="1"/>
    <s v="Y"/>
    <x v="1"/>
    <n v="14"/>
    <n v="3"/>
    <n v="2"/>
    <n v="80"/>
    <n v="1"/>
    <n v="8"/>
    <n v="3"/>
    <n v="2"/>
    <n v="8"/>
    <x v="0"/>
    <n v="2"/>
    <n v="7"/>
    <n v="7"/>
    <x v="2"/>
    <n v="0"/>
  </r>
  <r>
    <n v="40"/>
    <x v="1"/>
    <x v="1"/>
    <x v="0"/>
    <n v="118"/>
    <x v="0"/>
    <n v="14"/>
    <n v="2"/>
    <s v="Life Sciences"/>
    <n v="1"/>
    <n v="1598"/>
    <n v="4"/>
    <x v="0"/>
    <n v="84"/>
    <n v="3"/>
    <n v="2"/>
    <x v="0"/>
    <n v="1"/>
    <s v="Married"/>
    <n v="4639"/>
    <n v="11262"/>
    <n v="1"/>
    <s v="Y"/>
    <x v="1"/>
    <n v="15"/>
    <n v="3"/>
    <n v="3"/>
    <n v="80"/>
    <n v="1"/>
    <n v="5"/>
    <n v="2"/>
    <n v="3"/>
    <n v="5"/>
    <x v="2"/>
    <n v="4"/>
    <n v="1"/>
    <n v="2"/>
    <x v="3"/>
    <n v="0"/>
  </r>
  <r>
    <n v="43"/>
    <x v="0"/>
    <x v="1"/>
    <x v="0"/>
    <n v="990"/>
    <x v="1"/>
    <n v="27"/>
    <n v="3"/>
    <s v="Technical Degree"/>
    <n v="1"/>
    <n v="1599"/>
    <n v="4"/>
    <x v="1"/>
    <n v="87"/>
    <n v="4"/>
    <n v="1"/>
    <x v="2"/>
    <n v="2"/>
    <s v="Divorced"/>
    <n v="4876"/>
    <n v="5855"/>
    <n v="5"/>
    <s v="Y"/>
    <x v="1"/>
    <n v="12"/>
    <n v="3"/>
    <n v="3"/>
    <n v="80"/>
    <n v="1"/>
    <n v="8"/>
    <n v="0"/>
    <n v="3"/>
    <n v="6"/>
    <x v="0"/>
    <n v="4"/>
    <n v="0"/>
    <n v="2"/>
    <x v="1"/>
    <n v="0"/>
  </r>
  <r>
    <n v="35"/>
    <x v="1"/>
    <x v="1"/>
    <x v="0"/>
    <n v="1349"/>
    <x v="1"/>
    <n v="7"/>
    <n v="2"/>
    <s v="Life Sciences"/>
    <n v="1"/>
    <n v="1601"/>
    <n v="3"/>
    <x v="1"/>
    <n v="63"/>
    <n v="2"/>
    <n v="1"/>
    <x v="2"/>
    <n v="4"/>
    <s v="Married"/>
    <n v="2690"/>
    <n v="7713"/>
    <n v="1"/>
    <s v="Y"/>
    <x v="1"/>
    <n v="18"/>
    <n v="3"/>
    <n v="4"/>
    <n v="80"/>
    <n v="1"/>
    <n v="1"/>
    <n v="5"/>
    <n v="2"/>
    <n v="1"/>
    <x v="1"/>
    <n v="0"/>
    <n v="0"/>
    <n v="1"/>
    <x v="0"/>
    <n v="0"/>
  </r>
  <r>
    <n v="46"/>
    <x v="0"/>
    <x v="1"/>
    <x v="0"/>
    <n v="563"/>
    <x v="0"/>
    <n v="1"/>
    <n v="4"/>
    <s v="Life Sciences"/>
    <n v="1"/>
    <n v="1602"/>
    <n v="4"/>
    <x v="1"/>
    <n v="56"/>
    <n v="4"/>
    <n v="4"/>
    <x v="5"/>
    <n v="1"/>
    <s v="Single"/>
    <n v="17567"/>
    <n v="3156"/>
    <n v="1"/>
    <s v="Y"/>
    <x v="1"/>
    <n v="15"/>
    <n v="3"/>
    <n v="2"/>
    <n v="80"/>
    <n v="0"/>
    <n v="27"/>
    <n v="5"/>
    <n v="1"/>
    <n v="26"/>
    <x v="3"/>
    <n v="0"/>
    <n v="0"/>
    <n v="12"/>
    <x v="3"/>
    <n v="0"/>
  </r>
  <r>
    <n v="28"/>
    <x v="2"/>
    <x v="0"/>
    <x v="0"/>
    <n v="329"/>
    <x v="1"/>
    <n v="24"/>
    <n v="3"/>
    <s v="Medical"/>
    <n v="1"/>
    <n v="1604"/>
    <n v="3"/>
    <x v="1"/>
    <n v="51"/>
    <n v="3"/>
    <n v="1"/>
    <x v="2"/>
    <n v="2"/>
    <s v="Married"/>
    <n v="2408"/>
    <n v="7324"/>
    <n v="1"/>
    <s v="Y"/>
    <x v="0"/>
    <n v="17"/>
    <n v="3"/>
    <n v="3"/>
    <n v="80"/>
    <n v="3"/>
    <n v="1"/>
    <n v="3"/>
    <n v="3"/>
    <n v="1"/>
    <x v="1"/>
    <n v="1"/>
    <n v="0"/>
    <n v="0"/>
    <x v="1"/>
    <n v="1"/>
  </r>
  <r>
    <n v="22"/>
    <x v="2"/>
    <x v="1"/>
    <x v="2"/>
    <n v="457"/>
    <x v="1"/>
    <n v="26"/>
    <n v="2"/>
    <s v="Other"/>
    <n v="1"/>
    <n v="1605"/>
    <n v="2"/>
    <x v="0"/>
    <n v="85"/>
    <n v="2"/>
    <n v="1"/>
    <x v="1"/>
    <n v="3"/>
    <s v="Married"/>
    <n v="2814"/>
    <n v="10293"/>
    <n v="1"/>
    <s v="Y"/>
    <x v="0"/>
    <n v="14"/>
    <n v="3"/>
    <n v="2"/>
    <n v="80"/>
    <n v="0"/>
    <n v="4"/>
    <n v="2"/>
    <n v="2"/>
    <n v="4"/>
    <x v="2"/>
    <n v="2"/>
    <n v="1"/>
    <n v="3"/>
    <x v="2"/>
    <n v="0"/>
  </r>
  <r>
    <n v="50"/>
    <x v="0"/>
    <x v="1"/>
    <x v="1"/>
    <n v="1234"/>
    <x v="1"/>
    <n v="20"/>
    <n v="5"/>
    <s v="Medical"/>
    <n v="1"/>
    <n v="1606"/>
    <n v="2"/>
    <x v="1"/>
    <n v="41"/>
    <n v="3"/>
    <n v="4"/>
    <x v="4"/>
    <n v="3"/>
    <s v="Married"/>
    <n v="11245"/>
    <n v="20689"/>
    <n v="2"/>
    <s v="Y"/>
    <x v="0"/>
    <n v="15"/>
    <n v="3"/>
    <n v="3"/>
    <n v="80"/>
    <n v="1"/>
    <n v="32"/>
    <n v="3"/>
    <n v="3"/>
    <n v="30"/>
    <x v="3"/>
    <n v="8"/>
    <n v="12"/>
    <n v="13"/>
    <x v="2"/>
    <n v="0"/>
  </r>
  <r>
    <n v="32"/>
    <x v="1"/>
    <x v="1"/>
    <x v="0"/>
    <n v="634"/>
    <x v="1"/>
    <n v="5"/>
    <n v="4"/>
    <s v="Other"/>
    <n v="1"/>
    <n v="1607"/>
    <n v="2"/>
    <x v="0"/>
    <n v="35"/>
    <n v="4"/>
    <n v="1"/>
    <x v="1"/>
    <n v="4"/>
    <s v="Married"/>
    <n v="3312"/>
    <n v="18783"/>
    <n v="3"/>
    <s v="Y"/>
    <x v="1"/>
    <n v="17"/>
    <n v="3"/>
    <n v="4"/>
    <n v="80"/>
    <n v="2"/>
    <n v="6"/>
    <n v="3"/>
    <n v="3"/>
    <n v="3"/>
    <x v="2"/>
    <n v="2"/>
    <n v="0"/>
    <n v="2"/>
    <x v="0"/>
    <n v="0"/>
  </r>
  <r>
    <n v="44"/>
    <x v="0"/>
    <x v="1"/>
    <x v="0"/>
    <n v="1313"/>
    <x v="1"/>
    <n v="7"/>
    <n v="3"/>
    <s v="Medical"/>
    <n v="1"/>
    <n v="1608"/>
    <n v="2"/>
    <x v="0"/>
    <n v="31"/>
    <n v="3"/>
    <n v="5"/>
    <x v="7"/>
    <n v="4"/>
    <s v="Divorced"/>
    <n v="19049"/>
    <n v="3549"/>
    <n v="0"/>
    <s v="Y"/>
    <x v="0"/>
    <n v="14"/>
    <n v="3"/>
    <n v="4"/>
    <n v="80"/>
    <n v="1"/>
    <n v="23"/>
    <n v="4"/>
    <n v="2"/>
    <n v="22"/>
    <x v="3"/>
    <n v="7"/>
    <n v="1"/>
    <n v="10"/>
    <x v="0"/>
    <n v="0"/>
  </r>
  <r>
    <n v="30"/>
    <x v="1"/>
    <x v="1"/>
    <x v="0"/>
    <n v="241"/>
    <x v="1"/>
    <n v="7"/>
    <n v="3"/>
    <s v="Medical"/>
    <n v="1"/>
    <n v="1609"/>
    <n v="2"/>
    <x v="1"/>
    <n v="48"/>
    <n v="2"/>
    <n v="1"/>
    <x v="1"/>
    <n v="2"/>
    <s v="Married"/>
    <n v="2141"/>
    <n v="5348"/>
    <n v="1"/>
    <s v="Y"/>
    <x v="1"/>
    <n v="12"/>
    <n v="3"/>
    <n v="2"/>
    <n v="80"/>
    <n v="1"/>
    <n v="6"/>
    <n v="3"/>
    <n v="2"/>
    <n v="6"/>
    <x v="0"/>
    <n v="4"/>
    <n v="1"/>
    <n v="1"/>
    <x v="1"/>
    <n v="0"/>
  </r>
  <r>
    <n v="45"/>
    <x v="0"/>
    <x v="1"/>
    <x v="0"/>
    <n v="1015"/>
    <x v="1"/>
    <n v="5"/>
    <n v="5"/>
    <s v="Medical"/>
    <n v="1"/>
    <n v="1611"/>
    <n v="3"/>
    <x v="0"/>
    <n v="50"/>
    <n v="1"/>
    <n v="2"/>
    <x v="2"/>
    <n v="1"/>
    <s v="Single"/>
    <n v="5769"/>
    <n v="23447"/>
    <n v="1"/>
    <s v="Y"/>
    <x v="0"/>
    <n v="14"/>
    <n v="3"/>
    <n v="1"/>
    <n v="80"/>
    <n v="0"/>
    <n v="10"/>
    <n v="3"/>
    <n v="3"/>
    <n v="10"/>
    <x v="0"/>
    <n v="7"/>
    <n v="1"/>
    <n v="4"/>
    <x v="3"/>
    <n v="0"/>
  </r>
  <r>
    <n v="45"/>
    <x v="0"/>
    <x v="1"/>
    <x v="2"/>
    <n v="336"/>
    <x v="0"/>
    <n v="26"/>
    <n v="3"/>
    <s v="Marketing"/>
    <n v="1"/>
    <n v="1612"/>
    <n v="1"/>
    <x v="1"/>
    <n v="52"/>
    <n v="2"/>
    <n v="2"/>
    <x v="0"/>
    <n v="1"/>
    <s v="Married"/>
    <n v="4385"/>
    <n v="24162"/>
    <n v="1"/>
    <s v="Y"/>
    <x v="1"/>
    <n v="15"/>
    <n v="3"/>
    <n v="1"/>
    <n v="80"/>
    <n v="1"/>
    <n v="10"/>
    <n v="2"/>
    <n v="3"/>
    <n v="10"/>
    <x v="0"/>
    <n v="7"/>
    <n v="4"/>
    <n v="5"/>
    <x v="3"/>
    <n v="0"/>
  </r>
  <r>
    <n v="31"/>
    <x v="1"/>
    <x v="1"/>
    <x v="1"/>
    <n v="715"/>
    <x v="0"/>
    <n v="2"/>
    <n v="4"/>
    <s v="Other"/>
    <n v="1"/>
    <n v="1613"/>
    <n v="4"/>
    <x v="1"/>
    <n v="54"/>
    <n v="3"/>
    <n v="2"/>
    <x v="0"/>
    <n v="1"/>
    <s v="Single"/>
    <n v="5332"/>
    <n v="21602"/>
    <n v="7"/>
    <s v="Y"/>
    <x v="1"/>
    <n v="13"/>
    <n v="3"/>
    <n v="4"/>
    <n v="80"/>
    <n v="0"/>
    <n v="10"/>
    <n v="3"/>
    <n v="3"/>
    <n v="5"/>
    <x v="2"/>
    <n v="2"/>
    <n v="0"/>
    <n v="3"/>
    <x v="3"/>
    <n v="0"/>
  </r>
  <r>
    <n v="36"/>
    <x v="1"/>
    <x v="1"/>
    <x v="0"/>
    <n v="559"/>
    <x v="1"/>
    <n v="12"/>
    <n v="4"/>
    <s v="Life Sciences"/>
    <n v="1"/>
    <n v="1614"/>
    <n v="3"/>
    <x v="0"/>
    <n v="76"/>
    <n v="3"/>
    <n v="2"/>
    <x v="3"/>
    <n v="3"/>
    <s v="Married"/>
    <n v="4663"/>
    <n v="12421"/>
    <n v="9"/>
    <s v="Y"/>
    <x v="0"/>
    <n v="12"/>
    <n v="3"/>
    <n v="2"/>
    <n v="80"/>
    <n v="2"/>
    <n v="7"/>
    <n v="2"/>
    <n v="3"/>
    <n v="3"/>
    <x v="2"/>
    <n v="2"/>
    <n v="1"/>
    <n v="1"/>
    <x v="2"/>
    <n v="0"/>
  </r>
  <r>
    <n v="34"/>
    <x v="1"/>
    <x v="1"/>
    <x v="1"/>
    <n v="426"/>
    <x v="1"/>
    <n v="10"/>
    <n v="4"/>
    <s v="Life Sciences"/>
    <n v="1"/>
    <n v="1615"/>
    <n v="3"/>
    <x v="1"/>
    <n v="42"/>
    <n v="4"/>
    <n v="2"/>
    <x v="3"/>
    <n v="4"/>
    <s v="Divorced"/>
    <n v="4724"/>
    <n v="17000"/>
    <n v="1"/>
    <s v="Y"/>
    <x v="1"/>
    <n v="13"/>
    <n v="3"/>
    <n v="1"/>
    <n v="80"/>
    <n v="1"/>
    <n v="9"/>
    <n v="3"/>
    <n v="3"/>
    <n v="9"/>
    <x v="0"/>
    <n v="7"/>
    <n v="7"/>
    <n v="2"/>
    <x v="0"/>
    <n v="0"/>
  </r>
  <r>
    <n v="49"/>
    <x v="0"/>
    <x v="1"/>
    <x v="0"/>
    <n v="722"/>
    <x v="1"/>
    <n v="25"/>
    <n v="4"/>
    <s v="Life Sciences"/>
    <n v="1"/>
    <n v="1617"/>
    <n v="3"/>
    <x v="0"/>
    <n v="84"/>
    <n v="3"/>
    <n v="1"/>
    <x v="2"/>
    <n v="1"/>
    <s v="Married"/>
    <n v="3211"/>
    <n v="22102"/>
    <n v="1"/>
    <s v="Y"/>
    <x v="1"/>
    <n v="14"/>
    <n v="3"/>
    <n v="4"/>
    <n v="80"/>
    <n v="1"/>
    <n v="10"/>
    <n v="3"/>
    <n v="2"/>
    <n v="9"/>
    <x v="0"/>
    <n v="6"/>
    <n v="1"/>
    <n v="4"/>
    <x v="3"/>
    <n v="0"/>
  </r>
  <r>
    <n v="39"/>
    <x v="1"/>
    <x v="1"/>
    <x v="0"/>
    <n v="1387"/>
    <x v="1"/>
    <n v="10"/>
    <n v="5"/>
    <s v="Medical"/>
    <n v="1"/>
    <n v="1618"/>
    <n v="2"/>
    <x v="1"/>
    <n v="76"/>
    <n v="3"/>
    <n v="2"/>
    <x v="3"/>
    <n v="1"/>
    <s v="Married"/>
    <n v="5377"/>
    <n v="3835"/>
    <n v="2"/>
    <s v="Y"/>
    <x v="1"/>
    <n v="13"/>
    <n v="3"/>
    <n v="4"/>
    <n v="80"/>
    <n v="3"/>
    <n v="10"/>
    <n v="3"/>
    <n v="3"/>
    <n v="7"/>
    <x v="0"/>
    <n v="7"/>
    <n v="7"/>
    <n v="7"/>
    <x v="3"/>
    <n v="0"/>
  </r>
  <r>
    <n v="27"/>
    <x v="2"/>
    <x v="1"/>
    <x v="0"/>
    <n v="1302"/>
    <x v="1"/>
    <n v="19"/>
    <n v="3"/>
    <s v="Other"/>
    <n v="1"/>
    <n v="1619"/>
    <n v="4"/>
    <x v="1"/>
    <n v="67"/>
    <n v="2"/>
    <n v="1"/>
    <x v="2"/>
    <n v="1"/>
    <s v="Divorced"/>
    <n v="4066"/>
    <n v="16290"/>
    <n v="1"/>
    <s v="Y"/>
    <x v="1"/>
    <n v="11"/>
    <n v="3"/>
    <n v="1"/>
    <n v="80"/>
    <n v="2"/>
    <n v="7"/>
    <n v="3"/>
    <n v="3"/>
    <n v="7"/>
    <x v="0"/>
    <n v="7"/>
    <n v="0"/>
    <n v="7"/>
    <x v="3"/>
    <n v="0"/>
  </r>
  <r>
    <n v="35"/>
    <x v="1"/>
    <x v="1"/>
    <x v="0"/>
    <n v="819"/>
    <x v="1"/>
    <n v="18"/>
    <n v="5"/>
    <s v="Life Sciences"/>
    <n v="1"/>
    <n v="1621"/>
    <n v="2"/>
    <x v="1"/>
    <n v="48"/>
    <n v="4"/>
    <n v="2"/>
    <x v="1"/>
    <n v="1"/>
    <s v="Married"/>
    <n v="5208"/>
    <n v="26312"/>
    <n v="1"/>
    <s v="Y"/>
    <x v="1"/>
    <n v="11"/>
    <n v="3"/>
    <n v="4"/>
    <n v="80"/>
    <n v="0"/>
    <n v="16"/>
    <n v="2"/>
    <n v="3"/>
    <n v="16"/>
    <x v="3"/>
    <n v="15"/>
    <n v="1"/>
    <n v="10"/>
    <x v="3"/>
    <n v="0"/>
  </r>
  <r>
    <n v="28"/>
    <x v="2"/>
    <x v="1"/>
    <x v="0"/>
    <n v="580"/>
    <x v="1"/>
    <n v="27"/>
    <n v="3"/>
    <s v="Medical"/>
    <n v="1"/>
    <n v="1622"/>
    <n v="2"/>
    <x v="0"/>
    <n v="39"/>
    <n v="1"/>
    <n v="2"/>
    <x v="3"/>
    <n v="1"/>
    <s v="Divorced"/>
    <n v="4877"/>
    <n v="20460"/>
    <n v="0"/>
    <s v="Y"/>
    <x v="1"/>
    <n v="21"/>
    <n v="4"/>
    <n v="2"/>
    <n v="80"/>
    <n v="1"/>
    <n v="6"/>
    <n v="5"/>
    <n v="2"/>
    <n v="5"/>
    <x v="2"/>
    <n v="3"/>
    <n v="0"/>
    <n v="0"/>
    <x v="3"/>
    <n v="0"/>
  </r>
  <r>
    <n v="21"/>
    <x v="2"/>
    <x v="1"/>
    <x v="0"/>
    <n v="546"/>
    <x v="1"/>
    <n v="5"/>
    <n v="1"/>
    <s v="Medical"/>
    <n v="1"/>
    <n v="1623"/>
    <n v="3"/>
    <x v="1"/>
    <n v="97"/>
    <n v="3"/>
    <n v="1"/>
    <x v="1"/>
    <n v="4"/>
    <s v="Single"/>
    <n v="3117"/>
    <n v="26009"/>
    <n v="1"/>
    <s v="Y"/>
    <x v="1"/>
    <n v="18"/>
    <n v="3"/>
    <n v="3"/>
    <n v="80"/>
    <n v="0"/>
    <n v="3"/>
    <n v="2"/>
    <n v="3"/>
    <n v="2"/>
    <x v="1"/>
    <n v="2"/>
    <n v="2"/>
    <n v="2"/>
    <x v="0"/>
    <n v="0"/>
  </r>
  <r>
    <n v="18"/>
    <x v="2"/>
    <x v="0"/>
    <x v="1"/>
    <n v="544"/>
    <x v="0"/>
    <n v="3"/>
    <n v="2"/>
    <s v="Medical"/>
    <n v="1"/>
    <n v="1624"/>
    <n v="2"/>
    <x v="0"/>
    <n v="70"/>
    <n v="3"/>
    <n v="1"/>
    <x v="6"/>
    <n v="4"/>
    <s v="Single"/>
    <n v="1569"/>
    <n v="18420"/>
    <n v="1"/>
    <s v="Y"/>
    <x v="0"/>
    <n v="12"/>
    <n v="3"/>
    <n v="3"/>
    <n v="80"/>
    <n v="0"/>
    <n v="0"/>
    <n v="2"/>
    <n v="4"/>
    <n v="0"/>
    <x v="1"/>
    <n v="0"/>
    <n v="0"/>
    <n v="0"/>
    <x v="0"/>
    <n v="1"/>
  </r>
  <r>
    <n v="47"/>
    <x v="0"/>
    <x v="1"/>
    <x v="0"/>
    <n v="1176"/>
    <x v="2"/>
    <n v="26"/>
    <n v="4"/>
    <s v="Life Sciences"/>
    <n v="1"/>
    <n v="1625"/>
    <n v="4"/>
    <x v="0"/>
    <n v="98"/>
    <n v="3"/>
    <n v="5"/>
    <x v="5"/>
    <n v="3"/>
    <s v="Married"/>
    <n v="19658"/>
    <n v="5220"/>
    <n v="3"/>
    <s v="Y"/>
    <x v="1"/>
    <n v="11"/>
    <n v="3"/>
    <n v="3"/>
    <n v="80"/>
    <n v="1"/>
    <n v="27"/>
    <n v="2"/>
    <n v="3"/>
    <n v="5"/>
    <x v="2"/>
    <n v="2"/>
    <n v="1"/>
    <n v="0"/>
    <x v="2"/>
    <n v="0"/>
  </r>
  <r>
    <n v="39"/>
    <x v="1"/>
    <x v="1"/>
    <x v="0"/>
    <n v="170"/>
    <x v="1"/>
    <n v="3"/>
    <n v="2"/>
    <s v="Medical"/>
    <n v="1"/>
    <n v="1627"/>
    <n v="3"/>
    <x v="1"/>
    <n v="76"/>
    <n v="2"/>
    <n v="2"/>
    <x v="2"/>
    <n v="3"/>
    <s v="Divorced"/>
    <n v="3069"/>
    <n v="10302"/>
    <n v="0"/>
    <s v="Y"/>
    <x v="1"/>
    <n v="15"/>
    <n v="3"/>
    <n v="4"/>
    <n v="80"/>
    <n v="1"/>
    <n v="11"/>
    <n v="3"/>
    <n v="3"/>
    <n v="10"/>
    <x v="0"/>
    <n v="8"/>
    <n v="0"/>
    <n v="7"/>
    <x v="2"/>
    <n v="0"/>
  </r>
  <r>
    <n v="40"/>
    <x v="1"/>
    <x v="1"/>
    <x v="0"/>
    <n v="884"/>
    <x v="1"/>
    <n v="15"/>
    <n v="3"/>
    <s v="Life Sciences"/>
    <n v="1"/>
    <n v="1628"/>
    <n v="1"/>
    <x v="0"/>
    <n v="80"/>
    <n v="2"/>
    <n v="3"/>
    <x v="3"/>
    <n v="3"/>
    <s v="Married"/>
    <n v="10435"/>
    <n v="25800"/>
    <n v="1"/>
    <s v="Y"/>
    <x v="1"/>
    <n v="13"/>
    <n v="3"/>
    <n v="4"/>
    <n v="80"/>
    <n v="2"/>
    <n v="18"/>
    <n v="2"/>
    <n v="3"/>
    <n v="18"/>
    <x v="3"/>
    <n v="15"/>
    <n v="14"/>
    <n v="12"/>
    <x v="2"/>
    <n v="0"/>
  </r>
  <r>
    <n v="35"/>
    <x v="1"/>
    <x v="1"/>
    <x v="2"/>
    <n v="208"/>
    <x v="1"/>
    <n v="8"/>
    <n v="4"/>
    <s v="Life Sciences"/>
    <n v="1"/>
    <n v="1630"/>
    <n v="3"/>
    <x v="0"/>
    <n v="52"/>
    <n v="3"/>
    <n v="2"/>
    <x v="4"/>
    <n v="3"/>
    <s v="Married"/>
    <n v="4148"/>
    <n v="12250"/>
    <n v="1"/>
    <s v="Y"/>
    <x v="1"/>
    <n v="12"/>
    <n v="3"/>
    <n v="4"/>
    <n v="80"/>
    <n v="1"/>
    <n v="15"/>
    <n v="5"/>
    <n v="3"/>
    <n v="14"/>
    <x v="3"/>
    <n v="11"/>
    <n v="2"/>
    <n v="9"/>
    <x v="2"/>
    <n v="0"/>
  </r>
  <r>
    <n v="37"/>
    <x v="1"/>
    <x v="1"/>
    <x v="0"/>
    <n v="671"/>
    <x v="1"/>
    <n v="19"/>
    <n v="3"/>
    <s v="Life Sciences"/>
    <n v="1"/>
    <n v="1631"/>
    <n v="3"/>
    <x v="1"/>
    <n v="85"/>
    <n v="3"/>
    <n v="2"/>
    <x v="3"/>
    <n v="3"/>
    <s v="Married"/>
    <n v="5768"/>
    <n v="26493"/>
    <n v="3"/>
    <s v="Y"/>
    <x v="1"/>
    <n v="17"/>
    <n v="3"/>
    <n v="1"/>
    <n v="80"/>
    <n v="3"/>
    <n v="9"/>
    <n v="2"/>
    <n v="2"/>
    <n v="4"/>
    <x v="2"/>
    <n v="3"/>
    <n v="0"/>
    <n v="2"/>
    <x v="2"/>
    <n v="0"/>
  </r>
  <r>
    <n v="39"/>
    <x v="1"/>
    <x v="1"/>
    <x v="1"/>
    <n v="711"/>
    <x v="1"/>
    <n v="4"/>
    <n v="3"/>
    <s v="Medical"/>
    <n v="1"/>
    <n v="1633"/>
    <n v="1"/>
    <x v="0"/>
    <n v="81"/>
    <n v="3"/>
    <n v="2"/>
    <x v="3"/>
    <n v="3"/>
    <s v="Single"/>
    <n v="5042"/>
    <n v="3140"/>
    <n v="0"/>
    <s v="Y"/>
    <x v="1"/>
    <n v="13"/>
    <n v="3"/>
    <n v="4"/>
    <n v="80"/>
    <n v="0"/>
    <n v="10"/>
    <n v="2"/>
    <n v="1"/>
    <n v="9"/>
    <x v="0"/>
    <n v="2"/>
    <n v="3"/>
    <n v="8"/>
    <x v="2"/>
    <n v="0"/>
  </r>
  <r>
    <n v="45"/>
    <x v="0"/>
    <x v="1"/>
    <x v="0"/>
    <n v="1329"/>
    <x v="1"/>
    <n v="2"/>
    <n v="2"/>
    <s v="Other"/>
    <n v="1"/>
    <n v="1635"/>
    <n v="4"/>
    <x v="0"/>
    <n v="59"/>
    <n v="2"/>
    <n v="2"/>
    <x v="3"/>
    <n v="4"/>
    <s v="Divorced"/>
    <n v="5770"/>
    <n v="5388"/>
    <n v="1"/>
    <s v="Y"/>
    <x v="1"/>
    <n v="19"/>
    <n v="3"/>
    <n v="1"/>
    <n v="80"/>
    <n v="2"/>
    <n v="10"/>
    <n v="3"/>
    <n v="3"/>
    <n v="10"/>
    <x v="0"/>
    <n v="7"/>
    <n v="3"/>
    <n v="9"/>
    <x v="0"/>
    <n v="0"/>
  </r>
  <r>
    <n v="38"/>
    <x v="1"/>
    <x v="1"/>
    <x v="0"/>
    <n v="397"/>
    <x v="1"/>
    <n v="2"/>
    <n v="2"/>
    <s v="Medical"/>
    <n v="1"/>
    <n v="1638"/>
    <n v="4"/>
    <x v="0"/>
    <n v="54"/>
    <n v="2"/>
    <n v="3"/>
    <x v="3"/>
    <n v="3"/>
    <s v="Married"/>
    <n v="7756"/>
    <n v="14199"/>
    <n v="3"/>
    <s v="Y"/>
    <x v="0"/>
    <n v="19"/>
    <n v="3"/>
    <n v="4"/>
    <n v="80"/>
    <n v="1"/>
    <n v="10"/>
    <n v="6"/>
    <n v="4"/>
    <n v="5"/>
    <x v="2"/>
    <n v="4"/>
    <n v="0"/>
    <n v="2"/>
    <x v="2"/>
    <n v="0"/>
  </r>
  <r>
    <n v="35"/>
    <x v="1"/>
    <x v="0"/>
    <x v="0"/>
    <n v="737"/>
    <x v="0"/>
    <n v="10"/>
    <n v="3"/>
    <s v="Medical"/>
    <n v="1"/>
    <n v="1639"/>
    <n v="4"/>
    <x v="1"/>
    <n v="55"/>
    <n v="2"/>
    <n v="3"/>
    <x v="0"/>
    <n v="1"/>
    <s v="Married"/>
    <n v="10306"/>
    <n v="21530"/>
    <n v="9"/>
    <s v="Y"/>
    <x v="1"/>
    <n v="17"/>
    <n v="3"/>
    <n v="3"/>
    <n v="80"/>
    <n v="0"/>
    <n v="15"/>
    <n v="3"/>
    <n v="3"/>
    <n v="13"/>
    <x v="3"/>
    <n v="12"/>
    <n v="6"/>
    <n v="0"/>
    <x v="3"/>
    <n v="1"/>
  </r>
  <r>
    <n v="37"/>
    <x v="1"/>
    <x v="1"/>
    <x v="0"/>
    <n v="1470"/>
    <x v="1"/>
    <n v="10"/>
    <n v="3"/>
    <s v="Medical"/>
    <n v="1"/>
    <n v="1640"/>
    <n v="2"/>
    <x v="0"/>
    <n v="71"/>
    <n v="3"/>
    <n v="1"/>
    <x v="1"/>
    <n v="2"/>
    <s v="Married"/>
    <n v="3936"/>
    <n v="9953"/>
    <n v="1"/>
    <s v="Y"/>
    <x v="1"/>
    <n v="11"/>
    <n v="3"/>
    <n v="1"/>
    <n v="80"/>
    <n v="1"/>
    <n v="8"/>
    <n v="2"/>
    <n v="1"/>
    <n v="8"/>
    <x v="0"/>
    <n v="4"/>
    <n v="7"/>
    <n v="7"/>
    <x v="1"/>
    <n v="0"/>
  </r>
  <r>
    <n v="40"/>
    <x v="1"/>
    <x v="1"/>
    <x v="0"/>
    <n v="448"/>
    <x v="1"/>
    <n v="16"/>
    <n v="3"/>
    <s v="Life Sciences"/>
    <n v="1"/>
    <n v="1641"/>
    <n v="3"/>
    <x v="0"/>
    <n v="84"/>
    <n v="3"/>
    <n v="3"/>
    <x v="3"/>
    <n v="4"/>
    <s v="Single"/>
    <n v="7945"/>
    <n v="19948"/>
    <n v="6"/>
    <s v="Y"/>
    <x v="0"/>
    <n v="15"/>
    <n v="3"/>
    <n v="4"/>
    <n v="80"/>
    <n v="0"/>
    <n v="18"/>
    <n v="2"/>
    <n v="2"/>
    <n v="4"/>
    <x v="2"/>
    <n v="2"/>
    <n v="3"/>
    <n v="3"/>
    <x v="0"/>
    <n v="0"/>
  </r>
  <r>
    <n v="44"/>
    <x v="0"/>
    <x v="1"/>
    <x v="1"/>
    <n v="602"/>
    <x v="2"/>
    <n v="1"/>
    <n v="5"/>
    <s v="Human Resources"/>
    <n v="1"/>
    <n v="1642"/>
    <n v="1"/>
    <x v="1"/>
    <n v="37"/>
    <n v="3"/>
    <n v="2"/>
    <x v="8"/>
    <n v="4"/>
    <s v="Married"/>
    <n v="5743"/>
    <n v="10503"/>
    <n v="4"/>
    <s v="Y"/>
    <x v="0"/>
    <n v="11"/>
    <n v="3"/>
    <n v="3"/>
    <n v="80"/>
    <n v="0"/>
    <n v="14"/>
    <n v="3"/>
    <n v="3"/>
    <n v="10"/>
    <x v="0"/>
    <n v="7"/>
    <n v="0"/>
    <n v="2"/>
    <x v="0"/>
    <n v="0"/>
  </r>
  <r>
    <n v="48"/>
    <x v="0"/>
    <x v="1"/>
    <x v="1"/>
    <n v="365"/>
    <x v="1"/>
    <n v="4"/>
    <n v="5"/>
    <s v="Medical"/>
    <n v="1"/>
    <n v="1644"/>
    <n v="3"/>
    <x v="1"/>
    <n v="89"/>
    <n v="2"/>
    <n v="4"/>
    <x v="5"/>
    <n v="4"/>
    <s v="Married"/>
    <n v="15202"/>
    <n v="5602"/>
    <n v="2"/>
    <s v="Y"/>
    <x v="1"/>
    <n v="25"/>
    <n v="4"/>
    <n v="2"/>
    <n v="80"/>
    <n v="1"/>
    <n v="23"/>
    <n v="3"/>
    <n v="3"/>
    <n v="2"/>
    <x v="1"/>
    <n v="2"/>
    <n v="2"/>
    <n v="2"/>
    <x v="0"/>
    <n v="0"/>
  </r>
  <r>
    <n v="35"/>
    <x v="1"/>
    <x v="0"/>
    <x v="0"/>
    <n v="763"/>
    <x v="0"/>
    <n v="15"/>
    <n v="2"/>
    <s v="Medical"/>
    <n v="1"/>
    <n v="1645"/>
    <n v="1"/>
    <x v="1"/>
    <n v="59"/>
    <n v="1"/>
    <n v="2"/>
    <x v="0"/>
    <n v="4"/>
    <s v="Divorced"/>
    <n v="5440"/>
    <n v="22098"/>
    <n v="6"/>
    <s v="Y"/>
    <x v="0"/>
    <n v="14"/>
    <n v="3"/>
    <n v="4"/>
    <n v="80"/>
    <n v="2"/>
    <n v="7"/>
    <n v="2"/>
    <n v="2"/>
    <n v="2"/>
    <x v="1"/>
    <n v="2"/>
    <n v="2"/>
    <n v="2"/>
    <x v="0"/>
    <n v="1"/>
  </r>
  <r>
    <n v="24"/>
    <x v="2"/>
    <x v="1"/>
    <x v="1"/>
    <n v="567"/>
    <x v="1"/>
    <n v="2"/>
    <n v="1"/>
    <s v="Technical Degree"/>
    <n v="1"/>
    <n v="1646"/>
    <n v="1"/>
    <x v="0"/>
    <n v="32"/>
    <n v="3"/>
    <n v="1"/>
    <x v="1"/>
    <n v="4"/>
    <s v="Single"/>
    <n v="3760"/>
    <n v="17218"/>
    <n v="1"/>
    <s v="Y"/>
    <x v="0"/>
    <n v="13"/>
    <n v="3"/>
    <n v="3"/>
    <n v="80"/>
    <n v="0"/>
    <n v="6"/>
    <n v="2"/>
    <n v="3"/>
    <n v="6"/>
    <x v="0"/>
    <n v="3"/>
    <n v="1"/>
    <n v="3"/>
    <x v="0"/>
    <n v="0"/>
  </r>
  <r>
    <n v="27"/>
    <x v="2"/>
    <x v="1"/>
    <x v="0"/>
    <n v="486"/>
    <x v="1"/>
    <n v="8"/>
    <n v="3"/>
    <s v="Medical"/>
    <n v="1"/>
    <n v="1647"/>
    <n v="2"/>
    <x v="0"/>
    <n v="86"/>
    <n v="4"/>
    <n v="1"/>
    <x v="1"/>
    <n v="3"/>
    <s v="Married"/>
    <n v="3517"/>
    <n v="22490"/>
    <n v="7"/>
    <s v="Y"/>
    <x v="1"/>
    <n v="17"/>
    <n v="3"/>
    <n v="1"/>
    <n v="80"/>
    <n v="0"/>
    <n v="5"/>
    <n v="0"/>
    <n v="3"/>
    <n v="3"/>
    <x v="2"/>
    <n v="2"/>
    <n v="0"/>
    <n v="2"/>
    <x v="2"/>
    <n v="0"/>
  </r>
  <r>
    <n v="27"/>
    <x v="2"/>
    <x v="1"/>
    <x v="1"/>
    <n v="591"/>
    <x v="1"/>
    <n v="2"/>
    <n v="3"/>
    <s v="Medical"/>
    <n v="1"/>
    <n v="1648"/>
    <n v="4"/>
    <x v="1"/>
    <n v="87"/>
    <n v="3"/>
    <n v="1"/>
    <x v="1"/>
    <n v="4"/>
    <s v="Single"/>
    <n v="2580"/>
    <n v="6297"/>
    <n v="2"/>
    <s v="Y"/>
    <x v="1"/>
    <n v="13"/>
    <n v="3"/>
    <n v="3"/>
    <n v="80"/>
    <n v="0"/>
    <n v="6"/>
    <n v="0"/>
    <n v="2"/>
    <n v="4"/>
    <x v="2"/>
    <n v="2"/>
    <n v="1"/>
    <n v="2"/>
    <x v="0"/>
    <n v="0"/>
  </r>
  <r>
    <n v="40"/>
    <x v="1"/>
    <x v="0"/>
    <x v="0"/>
    <n v="1329"/>
    <x v="1"/>
    <n v="7"/>
    <n v="3"/>
    <s v="Life Sciences"/>
    <n v="1"/>
    <n v="1649"/>
    <n v="1"/>
    <x v="1"/>
    <n v="73"/>
    <n v="3"/>
    <n v="1"/>
    <x v="2"/>
    <n v="1"/>
    <s v="Single"/>
    <n v="2166"/>
    <n v="3339"/>
    <n v="3"/>
    <s v="Y"/>
    <x v="0"/>
    <n v="14"/>
    <n v="3"/>
    <n v="2"/>
    <n v="80"/>
    <n v="0"/>
    <n v="10"/>
    <n v="3"/>
    <n v="1"/>
    <n v="4"/>
    <x v="2"/>
    <n v="2"/>
    <n v="0"/>
    <n v="3"/>
    <x v="3"/>
    <n v="1"/>
  </r>
  <r>
    <n v="29"/>
    <x v="2"/>
    <x v="1"/>
    <x v="0"/>
    <n v="469"/>
    <x v="0"/>
    <n v="10"/>
    <n v="3"/>
    <s v="Medical"/>
    <n v="1"/>
    <n v="1650"/>
    <n v="3"/>
    <x v="1"/>
    <n v="42"/>
    <n v="2"/>
    <n v="2"/>
    <x v="0"/>
    <n v="3"/>
    <s v="Single"/>
    <n v="5869"/>
    <n v="23413"/>
    <n v="9"/>
    <s v="Y"/>
    <x v="1"/>
    <n v="11"/>
    <n v="3"/>
    <n v="3"/>
    <n v="80"/>
    <n v="0"/>
    <n v="8"/>
    <n v="2"/>
    <n v="3"/>
    <n v="5"/>
    <x v="2"/>
    <n v="2"/>
    <n v="1"/>
    <n v="4"/>
    <x v="2"/>
    <n v="0"/>
  </r>
  <r>
    <n v="36"/>
    <x v="1"/>
    <x v="1"/>
    <x v="0"/>
    <n v="711"/>
    <x v="1"/>
    <n v="5"/>
    <n v="4"/>
    <s v="Life Sciences"/>
    <n v="1"/>
    <n v="1651"/>
    <n v="2"/>
    <x v="0"/>
    <n v="42"/>
    <n v="3"/>
    <n v="3"/>
    <x v="4"/>
    <n v="1"/>
    <s v="Married"/>
    <n v="8008"/>
    <n v="22792"/>
    <n v="4"/>
    <s v="Y"/>
    <x v="1"/>
    <n v="12"/>
    <n v="3"/>
    <n v="3"/>
    <n v="80"/>
    <n v="2"/>
    <n v="9"/>
    <n v="6"/>
    <n v="3"/>
    <n v="3"/>
    <x v="2"/>
    <n v="2"/>
    <n v="0"/>
    <n v="2"/>
    <x v="3"/>
    <n v="0"/>
  </r>
  <r>
    <n v="25"/>
    <x v="2"/>
    <x v="1"/>
    <x v="1"/>
    <n v="772"/>
    <x v="1"/>
    <n v="2"/>
    <n v="1"/>
    <s v="Life Sciences"/>
    <n v="1"/>
    <n v="1653"/>
    <n v="4"/>
    <x v="1"/>
    <n v="77"/>
    <n v="4"/>
    <n v="2"/>
    <x v="3"/>
    <n v="3"/>
    <s v="Divorced"/>
    <n v="5206"/>
    <n v="4973"/>
    <n v="1"/>
    <s v="Y"/>
    <x v="1"/>
    <n v="17"/>
    <n v="3"/>
    <n v="3"/>
    <n v="80"/>
    <n v="2"/>
    <n v="7"/>
    <n v="6"/>
    <n v="3"/>
    <n v="7"/>
    <x v="0"/>
    <n v="7"/>
    <n v="0"/>
    <n v="7"/>
    <x v="2"/>
    <n v="0"/>
  </r>
  <r>
    <n v="39"/>
    <x v="1"/>
    <x v="1"/>
    <x v="0"/>
    <n v="492"/>
    <x v="1"/>
    <n v="12"/>
    <n v="3"/>
    <s v="Medical"/>
    <n v="1"/>
    <n v="1654"/>
    <n v="4"/>
    <x v="1"/>
    <n v="66"/>
    <n v="3"/>
    <n v="2"/>
    <x v="3"/>
    <n v="2"/>
    <s v="Married"/>
    <n v="5295"/>
    <n v="7693"/>
    <n v="4"/>
    <s v="Y"/>
    <x v="1"/>
    <n v="21"/>
    <n v="4"/>
    <n v="3"/>
    <n v="80"/>
    <n v="0"/>
    <n v="7"/>
    <n v="3"/>
    <n v="3"/>
    <n v="5"/>
    <x v="2"/>
    <n v="4"/>
    <n v="1"/>
    <n v="0"/>
    <x v="1"/>
    <n v="0"/>
  </r>
  <r>
    <n v="49"/>
    <x v="0"/>
    <x v="1"/>
    <x v="0"/>
    <n v="301"/>
    <x v="1"/>
    <n v="22"/>
    <n v="4"/>
    <s v="Other"/>
    <n v="1"/>
    <n v="1655"/>
    <n v="1"/>
    <x v="0"/>
    <n v="72"/>
    <n v="3"/>
    <n v="4"/>
    <x v="7"/>
    <n v="2"/>
    <s v="Married"/>
    <n v="16413"/>
    <n v="3498"/>
    <n v="3"/>
    <s v="Y"/>
    <x v="1"/>
    <n v="16"/>
    <n v="3"/>
    <n v="2"/>
    <n v="80"/>
    <n v="2"/>
    <n v="27"/>
    <n v="2"/>
    <n v="3"/>
    <n v="4"/>
    <x v="2"/>
    <n v="2"/>
    <n v="1"/>
    <n v="2"/>
    <x v="1"/>
    <n v="0"/>
  </r>
  <r>
    <n v="50"/>
    <x v="0"/>
    <x v="1"/>
    <x v="0"/>
    <n v="813"/>
    <x v="1"/>
    <n v="17"/>
    <n v="5"/>
    <s v="Life Sciences"/>
    <n v="1"/>
    <n v="1656"/>
    <n v="4"/>
    <x v="0"/>
    <n v="50"/>
    <n v="2"/>
    <n v="3"/>
    <x v="7"/>
    <n v="1"/>
    <s v="Divorced"/>
    <n v="13269"/>
    <n v="21981"/>
    <n v="5"/>
    <s v="Y"/>
    <x v="1"/>
    <n v="15"/>
    <n v="3"/>
    <n v="3"/>
    <n v="80"/>
    <n v="3"/>
    <n v="19"/>
    <n v="3"/>
    <n v="3"/>
    <n v="14"/>
    <x v="3"/>
    <n v="11"/>
    <n v="1"/>
    <n v="11"/>
    <x v="3"/>
    <n v="0"/>
  </r>
  <r>
    <n v="20"/>
    <x v="2"/>
    <x v="1"/>
    <x v="0"/>
    <n v="1141"/>
    <x v="0"/>
    <n v="2"/>
    <n v="3"/>
    <s v="Medical"/>
    <n v="1"/>
    <n v="1657"/>
    <n v="3"/>
    <x v="0"/>
    <n v="31"/>
    <n v="3"/>
    <n v="1"/>
    <x v="6"/>
    <n v="3"/>
    <s v="Single"/>
    <n v="2783"/>
    <n v="13251"/>
    <n v="1"/>
    <s v="Y"/>
    <x v="1"/>
    <n v="19"/>
    <n v="3"/>
    <n v="1"/>
    <n v="80"/>
    <n v="0"/>
    <n v="2"/>
    <n v="3"/>
    <n v="3"/>
    <n v="2"/>
    <x v="1"/>
    <n v="2"/>
    <n v="2"/>
    <n v="2"/>
    <x v="2"/>
    <n v="0"/>
  </r>
  <r>
    <n v="34"/>
    <x v="1"/>
    <x v="1"/>
    <x v="0"/>
    <n v="1130"/>
    <x v="1"/>
    <n v="3"/>
    <n v="3"/>
    <s v="Life Sciences"/>
    <n v="1"/>
    <n v="1658"/>
    <n v="4"/>
    <x v="0"/>
    <n v="66"/>
    <n v="3"/>
    <n v="2"/>
    <x v="1"/>
    <n v="2"/>
    <s v="Divorced"/>
    <n v="5433"/>
    <n v="19332"/>
    <n v="1"/>
    <s v="Y"/>
    <x v="1"/>
    <n v="12"/>
    <n v="3"/>
    <n v="3"/>
    <n v="80"/>
    <n v="1"/>
    <n v="11"/>
    <n v="2"/>
    <n v="3"/>
    <n v="11"/>
    <x v="3"/>
    <n v="8"/>
    <n v="7"/>
    <n v="9"/>
    <x v="1"/>
    <n v="0"/>
  </r>
  <r>
    <n v="36"/>
    <x v="1"/>
    <x v="1"/>
    <x v="0"/>
    <n v="311"/>
    <x v="1"/>
    <n v="7"/>
    <n v="3"/>
    <s v="Life Sciences"/>
    <n v="1"/>
    <n v="1659"/>
    <n v="1"/>
    <x v="1"/>
    <n v="77"/>
    <n v="3"/>
    <n v="1"/>
    <x v="2"/>
    <n v="2"/>
    <s v="Single"/>
    <n v="2013"/>
    <n v="10950"/>
    <n v="2"/>
    <s v="Y"/>
    <x v="1"/>
    <n v="11"/>
    <n v="3"/>
    <n v="3"/>
    <n v="80"/>
    <n v="0"/>
    <n v="15"/>
    <n v="4"/>
    <n v="3"/>
    <n v="4"/>
    <x v="2"/>
    <n v="3"/>
    <n v="1"/>
    <n v="3"/>
    <x v="1"/>
    <n v="0"/>
  </r>
  <r>
    <n v="49"/>
    <x v="0"/>
    <x v="1"/>
    <x v="0"/>
    <n v="465"/>
    <x v="1"/>
    <n v="6"/>
    <n v="1"/>
    <s v="Life Sciences"/>
    <n v="1"/>
    <n v="1661"/>
    <n v="3"/>
    <x v="0"/>
    <n v="41"/>
    <n v="2"/>
    <n v="4"/>
    <x v="4"/>
    <n v="3"/>
    <s v="Married"/>
    <n v="13966"/>
    <n v="11652"/>
    <n v="2"/>
    <s v="Y"/>
    <x v="0"/>
    <n v="19"/>
    <n v="3"/>
    <n v="2"/>
    <n v="80"/>
    <n v="1"/>
    <n v="30"/>
    <n v="3"/>
    <n v="3"/>
    <n v="15"/>
    <x v="3"/>
    <n v="11"/>
    <n v="2"/>
    <n v="12"/>
    <x v="2"/>
    <n v="0"/>
  </r>
  <r>
    <n v="36"/>
    <x v="1"/>
    <x v="1"/>
    <x v="2"/>
    <n v="894"/>
    <x v="1"/>
    <n v="1"/>
    <n v="4"/>
    <s v="Medical"/>
    <n v="1"/>
    <n v="1662"/>
    <n v="4"/>
    <x v="0"/>
    <n v="33"/>
    <n v="2"/>
    <n v="2"/>
    <x v="3"/>
    <n v="3"/>
    <s v="Married"/>
    <n v="4374"/>
    <n v="15411"/>
    <n v="0"/>
    <s v="Y"/>
    <x v="1"/>
    <n v="15"/>
    <n v="3"/>
    <n v="3"/>
    <n v="80"/>
    <n v="0"/>
    <n v="4"/>
    <n v="6"/>
    <n v="3"/>
    <n v="3"/>
    <x v="2"/>
    <n v="2"/>
    <n v="1"/>
    <n v="2"/>
    <x v="2"/>
    <n v="0"/>
  </r>
  <r>
    <n v="36"/>
    <x v="1"/>
    <x v="1"/>
    <x v="0"/>
    <n v="1040"/>
    <x v="1"/>
    <n v="3"/>
    <n v="2"/>
    <s v="Life Sciences"/>
    <n v="1"/>
    <n v="1664"/>
    <n v="4"/>
    <x v="1"/>
    <n v="79"/>
    <n v="4"/>
    <n v="2"/>
    <x v="4"/>
    <n v="1"/>
    <s v="Divorced"/>
    <n v="6842"/>
    <n v="26308"/>
    <n v="6"/>
    <s v="Y"/>
    <x v="1"/>
    <n v="20"/>
    <n v="4"/>
    <n v="1"/>
    <n v="80"/>
    <n v="1"/>
    <n v="13"/>
    <n v="3"/>
    <n v="3"/>
    <n v="5"/>
    <x v="2"/>
    <n v="4"/>
    <n v="0"/>
    <n v="4"/>
    <x v="3"/>
    <n v="0"/>
  </r>
  <r>
    <n v="54"/>
    <x v="3"/>
    <x v="1"/>
    <x v="0"/>
    <n v="584"/>
    <x v="1"/>
    <n v="22"/>
    <n v="5"/>
    <s v="Medical"/>
    <n v="1"/>
    <n v="1665"/>
    <n v="2"/>
    <x v="0"/>
    <n v="91"/>
    <n v="3"/>
    <n v="4"/>
    <x v="5"/>
    <n v="3"/>
    <s v="Married"/>
    <n v="17426"/>
    <n v="18685"/>
    <n v="3"/>
    <s v="Y"/>
    <x v="1"/>
    <n v="25"/>
    <n v="4"/>
    <n v="3"/>
    <n v="80"/>
    <n v="1"/>
    <n v="36"/>
    <n v="6"/>
    <n v="3"/>
    <n v="10"/>
    <x v="0"/>
    <n v="8"/>
    <n v="4"/>
    <n v="7"/>
    <x v="2"/>
    <n v="0"/>
  </r>
  <r>
    <n v="43"/>
    <x v="0"/>
    <x v="1"/>
    <x v="0"/>
    <n v="1291"/>
    <x v="1"/>
    <n v="15"/>
    <n v="2"/>
    <s v="Life Sciences"/>
    <n v="1"/>
    <n v="1666"/>
    <n v="3"/>
    <x v="1"/>
    <n v="65"/>
    <n v="2"/>
    <n v="4"/>
    <x v="7"/>
    <n v="3"/>
    <s v="Married"/>
    <n v="17603"/>
    <n v="3525"/>
    <n v="1"/>
    <s v="Y"/>
    <x v="1"/>
    <n v="24"/>
    <n v="4"/>
    <n v="1"/>
    <n v="80"/>
    <n v="1"/>
    <n v="14"/>
    <n v="3"/>
    <n v="3"/>
    <n v="14"/>
    <x v="3"/>
    <n v="10"/>
    <n v="6"/>
    <n v="11"/>
    <x v="2"/>
    <n v="0"/>
  </r>
  <r>
    <n v="35"/>
    <x v="1"/>
    <x v="0"/>
    <x v="1"/>
    <n v="880"/>
    <x v="0"/>
    <n v="12"/>
    <n v="4"/>
    <s v="Other"/>
    <n v="1"/>
    <n v="1667"/>
    <n v="4"/>
    <x v="1"/>
    <n v="36"/>
    <n v="3"/>
    <n v="2"/>
    <x v="0"/>
    <n v="4"/>
    <s v="Single"/>
    <n v="4581"/>
    <n v="10414"/>
    <n v="3"/>
    <s v="Y"/>
    <x v="0"/>
    <n v="24"/>
    <n v="4"/>
    <n v="1"/>
    <n v="80"/>
    <n v="0"/>
    <n v="13"/>
    <n v="2"/>
    <n v="4"/>
    <n v="11"/>
    <x v="3"/>
    <n v="9"/>
    <n v="6"/>
    <n v="7"/>
    <x v="0"/>
    <n v="1"/>
  </r>
  <r>
    <n v="38"/>
    <x v="1"/>
    <x v="1"/>
    <x v="1"/>
    <n v="1189"/>
    <x v="1"/>
    <n v="1"/>
    <n v="3"/>
    <s v="Life Sciences"/>
    <n v="1"/>
    <n v="1668"/>
    <n v="4"/>
    <x v="1"/>
    <n v="90"/>
    <n v="3"/>
    <n v="2"/>
    <x v="1"/>
    <n v="4"/>
    <s v="Married"/>
    <n v="4735"/>
    <n v="9867"/>
    <n v="7"/>
    <s v="Y"/>
    <x v="1"/>
    <n v="15"/>
    <n v="3"/>
    <n v="4"/>
    <n v="80"/>
    <n v="2"/>
    <n v="19"/>
    <n v="4"/>
    <n v="4"/>
    <n v="13"/>
    <x v="3"/>
    <n v="11"/>
    <n v="2"/>
    <n v="9"/>
    <x v="0"/>
    <n v="0"/>
  </r>
  <r>
    <n v="29"/>
    <x v="2"/>
    <x v="1"/>
    <x v="0"/>
    <n v="991"/>
    <x v="0"/>
    <n v="5"/>
    <n v="3"/>
    <s v="Medical"/>
    <n v="1"/>
    <n v="1669"/>
    <n v="1"/>
    <x v="1"/>
    <n v="43"/>
    <n v="2"/>
    <n v="2"/>
    <x v="0"/>
    <n v="2"/>
    <s v="Divorced"/>
    <n v="4187"/>
    <n v="3356"/>
    <n v="1"/>
    <s v="Y"/>
    <x v="0"/>
    <n v="13"/>
    <n v="3"/>
    <n v="2"/>
    <n v="80"/>
    <n v="1"/>
    <n v="10"/>
    <n v="3"/>
    <n v="2"/>
    <n v="10"/>
    <x v="0"/>
    <n v="0"/>
    <n v="0"/>
    <n v="9"/>
    <x v="1"/>
    <n v="0"/>
  </r>
  <r>
    <n v="33"/>
    <x v="1"/>
    <x v="1"/>
    <x v="0"/>
    <n v="392"/>
    <x v="0"/>
    <n v="2"/>
    <n v="4"/>
    <s v="Medical"/>
    <n v="1"/>
    <n v="1670"/>
    <n v="4"/>
    <x v="1"/>
    <n v="93"/>
    <n v="3"/>
    <n v="2"/>
    <x v="0"/>
    <n v="4"/>
    <s v="Divorced"/>
    <n v="5505"/>
    <n v="3921"/>
    <n v="1"/>
    <s v="Y"/>
    <x v="1"/>
    <n v="14"/>
    <n v="3"/>
    <n v="3"/>
    <n v="80"/>
    <n v="2"/>
    <n v="6"/>
    <n v="5"/>
    <n v="3"/>
    <n v="6"/>
    <x v="0"/>
    <n v="2"/>
    <n v="0"/>
    <n v="4"/>
    <x v="0"/>
    <n v="0"/>
  </r>
  <r>
    <n v="32"/>
    <x v="1"/>
    <x v="1"/>
    <x v="0"/>
    <n v="977"/>
    <x v="1"/>
    <n v="2"/>
    <n v="3"/>
    <s v="Medical"/>
    <n v="1"/>
    <n v="1671"/>
    <n v="4"/>
    <x v="1"/>
    <n v="45"/>
    <n v="3"/>
    <n v="2"/>
    <x v="1"/>
    <n v="2"/>
    <s v="Divorced"/>
    <n v="5470"/>
    <n v="25518"/>
    <n v="0"/>
    <s v="Y"/>
    <x v="1"/>
    <n v="13"/>
    <n v="3"/>
    <n v="3"/>
    <n v="80"/>
    <n v="2"/>
    <n v="10"/>
    <n v="4"/>
    <n v="2"/>
    <n v="9"/>
    <x v="0"/>
    <n v="5"/>
    <n v="1"/>
    <n v="6"/>
    <x v="1"/>
    <n v="0"/>
  </r>
  <r>
    <n v="31"/>
    <x v="1"/>
    <x v="1"/>
    <x v="0"/>
    <n v="1112"/>
    <x v="0"/>
    <n v="5"/>
    <n v="4"/>
    <s v="Life Sciences"/>
    <n v="1"/>
    <n v="1673"/>
    <n v="1"/>
    <x v="0"/>
    <n v="67"/>
    <n v="3"/>
    <n v="2"/>
    <x v="0"/>
    <n v="4"/>
    <s v="Married"/>
    <n v="5476"/>
    <n v="22589"/>
    <n v="1"/>
    <s v="Y"/>
    <x v="1"/>
    <n v="11"/>
    <n v="3"/>
    <n v="1"/>
    <n v="80"/>
    <n v="2"/>
    <n v="10"/>
    <n v="2"/>
    <n v="3"/>
    <n v="10"/>
    <x v="0"/>
    <n v="0"/>
    <n v="0"/>
    <n v="2"/>
    <x v="0"/>
    <n v="0"/>
  </r>
  <r>
    <n v="49"/>
    <x v="0"/>
    <x v="1"/>
    <x v="0"/>
    <n v="464"/>
    <x v="1"/>
    <n v="16"/>
    <n v="3"/>
    <s v="Medical"/>
    <n v="1"/>
    <n v="1674"/>
    <n v="4"/>
    <x v="0"/>
    <n v="74"/>
    <n v="3"/>
    <n v="1"/>
    <x v="2"/>
    <n v="1"/>
    <s v="Divorced"/>
    <n v="2587"/>
    <n v="24941"/>
    <n v="4"/>
    <s v="Y"/>
    <x v="0"/>
    <n v="16"/>
    <n v="3"/>
    <n v="2"/>
    <n v="80"/>
    <n v="1"/>
    <n v="17"/>
    <n v="2"/>
    <n v="2"/>
    <n v="2"/>
    <x v="1"/>
    <n v="2"/>
    <n v="2"/>
    <n v="2"/>
    <x v="3"/>
    <n v="0"/>
  </r>
  <r>
    <n v="38"/>
    <x v="1"/>
    <x v="1"/>
    <x v="1"/>
    <n v="148"/>
    <x v="1"/>
    <n v="2"/>
    <n v="3"/>
    <s v="Medical"/>
    <n v="1"/>
    <n v="1675"/>
    <n v="4"/>
    <x v="0"/>
    <n v="42"/>
    <n v="2"/>
    <n v="1"/>
    <x v="2"/>
    <n v="2"/>
    <s v="Single"/>
    <n v="2440"/>
    <n v="23826"/>
    <n v="1"/>
    <s v="Y"/>
    <x v="1"/>
    <n v="22"/>
    <n v="4"/>
    <n v="2"/>
    <n v="80"/>
    <n v="0"/>
    <n v="4"/>
    <n v="3"/>
    <n v="3"/>
    <n v="4"/>
    <x v="2"/>
    <n v="3"/>
    <n v="3"/>
    <n v="3"/>
    <x v="1"/>
    <n v="0"/>
  </r>
  <r>
    <n v="47"/>
    <x v="0"/>
    <x v="1"/>
    <x v="0"/>
    <n v="1225"/>
    <x v="0"/>
    <n v="2"/>
    <n v="4"/>
    <s v="Life Sciences"/>
    <n v="1"/>
    <n v="1676"/>
    <n v="2"/>
    <x v="0"/>
    <n v="47"/>
    <n v="4"/>
    <n v="4"/>
    <x v="5"/>
    <n v="2"/>
    <s v="Divorced"/>
    <n v="15972"/>
    <n v="21086"/>
    <n v="6"/>
    <s v="Y"/>
    <x v="1"/>
    <n v="14"/>
    <n v="3"/>
    <n v="3"/>
    <n v="80"/>
    <n v="3"/>
    <n v="29"/>
    <n v="2"/>
    <n v="3"/>
    <n v="3"/>
    <x v="2"/>
    <n v="2"/>
    <n v="1"/>
    <n v="2"/>
    <x v="1"/>
    <n v="0"/>
  </r>
  <r>
    <n v="49"/>
    <x v="0"/>
    <x v="1"/>
    <x v="0"/>
    <n v="809"/>
    <x v="1"/>
    <n v="1"/>
    <n v="3"/>
    <s v="Life Sciences"/>
    <n v="1"/>
    <n v="1677"/>
    <n v="3"/>
    <x v="1"/>
    <n v="36"/>
    <n v="3"/>
    <n v="4"/>
    <x v="5"/>
    <n v="3"/>
    <s v="Single"/>
    <n v="15379"/>
    <n v="22384"/>
    <n v="4"/>
    <s v="Y"/>
    <x v="1"/>
    <n v="14"/>
    <n v="3"/>
    <n v="1"/>
    <n v="80"/>
    <n v="0"/>
    <n v="23"/>
    <n v="2"/>
    <n v="3"/>
    <n v="8"/>
    <x v="0"/>
    <n v="7"/>
    <n v="0"/>
    <n v="0"/>
    <x v="2"/>
    <n v="0"/>
  </r>
  <r>
    <n v="41"/>
    <x v="0"/>
    <x v="1"/>
    <x v="0"/>
    <n v="1206"/>
    <x v="0"/>
    <n v="23"/>
    <n v="2"/>
    <s v="Life Sciences"/>
    <n v="1"/>
    <n v="1678"/>
    <n v="4"/>
    <x v="1"/>
    <n v="80"/>
    <n v="3"/>
    <n v="3"/>
    <x v="0"/>
    <n v="3"/>
    <s v="Single"/>
    <n v="7082"/>
    <n v="11591"/>
    <n v="3"/>
    <s v="Y"/>
    <x v="0"/>
    <n v="16"/>
    <n v="3"/>
    <n v="4"/>
    <n v="80"/>
    <n v="0"/>
    <n v="21"/>
    <n v="2"/>
    <n v="3"/>
    <n v="2"/>
    <x v="1"/>
    <n v="0"/>
    <n v="0"/>
    <n v="2"/>
    <x v="2"/>
    <n v="0"/>
  </r>
  <r>
    <n v="20"/>
    <x v="2"/>
    <x v="1"/>
    <x v="0"/>
    <n v="727"/>
    <x v="0"/>
    <n v="9"/>
    <n v="1"/>
    <s v="Life Sciences"/>
    <n v="1"/>
    <n v="1680"/>
    <n v="4"/>
    <x v="1"/>
    <n v="54"/>
    <n v="3"/>
    <n v="1"/>
    <x v="6"/>
    <n v="1"/>
    <s v="Single"/>
    <n v="2728"/>
    <n v="21082"/>
    <n v="1"/>
    <s v="Y"/>
    <x v="1"/>
    <n v="11"/>
    <n v="3"/>
    <n v="1"/>
    <n v="80"/>
    <n v="0"/>
    <n v="2"/>
    <n v="3"/>
    <n v="3"/>
    <n v="2"/>
    <x v="1"/>
    <n v="2"/>
    <n v="0"/>
    <n v="2"/>
    <x v="3"/>
    <n v="0"/>
  </r>
  <r>
    <n v="33"/>
    <x v="1"/>
    <x v="1"/>
    <x v="2"/>
    <n v="530"/>
    <x v="0"/>
    <n v="16"/>
    <n v="3"/>
    <s v="Life Sciences"/>
    <n v="1"/>
    <n v="1681"/>
    <n v="3"/>
    <x v="0"/>
    <n v="36"/>
    <n v="3"/>
    <n v="2"/>
    <x v="0"/>
    <n v="4"/>
    <s v="Divorced"/>
    <n v="5368"/>
    <n v="16130"/>
    <n v="1"/>
    <s v="Y"/>
    <x v="0"/>
    <n v="25"/>
    <n v="4"/>
    <n v="3"/>
    <n v="80"/>
    <n v="1"/>
    <n v="7"/>
    <n v="2"/>
    <n v="3"/>
    <n v="6"/>
    <x v="0"/>
    <n v="5"/>
    <n v="1"/>
    <n v="2"/>
    <x v="0"/>
    <n v="0"/>
  </r>
  <r>
    <n v="36"/>
    <x v="1"/>
    <x v="1"/>
    <x v="0"/>
    <n v="1351"/>
    <x v="1"/>
    <n v="26"/>
    <n v="4"/>
    <s v="Life Sciences"/>
    <n v="1"/>
    <n v="1682"/>
    <n v="1"/>
    <x v="1"/>
    <n v="80"/>
    <n v="3"/>
    <n v="2"/>
    <x v="4"/>
    <n v="3"/>
    <s v="Married"/>
    <n v="5347"/>
    <n v="7419"/>
    <n v="6"/>
    <s v="Y"/>
    <x v="1"/>
    <n v="14"/>
    <n v="3"/>
    <n v="2"/>
    <n v="80"/>
    <n v="2"/>
    <n v="10"/>
    <n v="2"/>
    <n v="2"/>
    <n v="3"/>
    <x v="2"/>
    <n v="2"/>
    <n v="0"/>
    <n v="2"/>
    <x v="2"/>
    <n v="0"/>
  </r>
  <r>
    <n v="44"/>
    <x v="0"/>
    <x v="1"/>
    <x v="0"/>
    <n v="528"/>
    <x v="2"/>
    <n v="1"/>
    <n v="3"/>
    <s v="Life Sciences"/>
    <n v="1"/>
    <n v="1683"/>
    <n v="3"/>
    <x v="0"/>
    <n v="44"/>
    <n v="3"/>
    <n v="1"/>
    <x v="8"/>
    <n v="4"/>
    <s v="Divorced"/>
    <n v="3195"/>
    <n v="4167"/>
    <n v="4"/>
    <s v="Y"/>
    <x v="0"/>
    <n v="18"/>
    <n v="3"/>
    <n v="1"/>
    <n v="80"/>
    <n v="3"/>
    <n v="8"/>
    <n v="2"/>
    <n v="3"/>
    <n v="2"/>
    <x v="1"/>
    <n v="2"/>
    <n v="2"/>
    <n v="2"/>
    <x v="0"/>
    <n v="0"/>
  </r>
  <r>
    <n v="23"/>
    <x v="2"/>
    <x v="0"/>
    <x v="0"/>
    <n v="1320"/>
    <x v="1"/>
    <n v="8"/>
    <n v="1"/>
    <s v="Medical"/>
    <n v="1"/>
    <n v="1684"/>
    <n v="4"/>
    <x v="1"/>
    <n v="93"/>
    <n v="2"/>
    <n v="1"/>
    <x v="2"/>
    <n v="3"/>
    <s v="Single"/>
    <n v="3989"/>
    <n v="20586"/>
    <n v="1"/>
    <s v="Y"/>
    <x v="0"/>
    <n v="11"/>
    <n v="3"/>
    <n v="1"/>
    <n v="80"/>
    <n v="0"/>
    <n v="5"/>
    <n v="2"/>
    <n v="3"/>
    <n v="5"/>
    <x v="2"/>
    <n v="4"/>
    <n v="1"/>
    <n v="2"/>
    <x v="2"/>
    <n v="1"/>
  </r>
  <r>
    <n v="38"/>
    <x v="1"/>
    <x v="1"/>
    <x v="0"/>
    <n v="1495"/>
    <x v="1"/>
    <n v="4"/>
    <n v="2"/>
    <s v="Medical"/>
    <n v="1"/>
    <n v="1687"/>
    <n v="4"/>
    <x v="0"/>
    <n v="87"/>
    <n v="3"/>
    <n v="1"/>
    <x v="2"/>
    <n v="3"/>
    <s v="Married"/>
    <n v="3306"/>
    <n v="26176"/>
    <n v="7"/>
    <s v="Y"/>
    <x v="1"/>
    <n v="19"/>
    <n v="3"/>
    <n v="4"/>
    <n v="80"/>
    <n v="1"/>
    <n v="7"/>
    <n v="5"/>
    <n v="2"/>
    <n v="0"/>
    <x v="1"/>
    <n v="0"/>
    <n v="0"/>
    <n v="0"/>
    <x v="2"/>
    <n v="0"/>
  </r>
  <r>
    <n v="53"/>
    <x v="3"/>
    <x v="1"/>
    <x v="0"/>
    <n v="1395"/>
    <x v="1"/>
    <n v="24"/>
    <n v="4"/>
    <s v="Medical"/>
    <n v="1"/>
    <n v="1689"/>
    <n v="2"/>
    <x v="1"/>
    <n v="48"/>
    <n v="4"/>
    <n v="3"/>
    <x v="4"/>
    <n v="4"/>
    <s v="Married"/>
    <n v="7005"/>
    <n v="3458"/>
    <n v="3"/>
    <s v="Y"/>
    <x v="1"/>
    <n v="15"/>
    <n v="3"/>
    <n v="3"/>
    <n v="80"/>
    <n v="0"/>
    <n v="11"/>
    <n v="2"/>
    <n v="3"/>
    <n v="4"/>
    <x v="2"/>
    <n v="3"/>
    <n v="1"/>
    <n v="2"/>
    <x v="0"/>
    <n v="0"/>
  </r>
  <r>
    <n v="48"/>
    <x v="0"/>
    <x v="0"/>
    <x v="1"/>
    <n v="708"/>
    <x v="0"/>
    <n v="7"/>
    <n v="2"/>
    <s v="Medical"/>
    <n v="1"/>
    <n v="1691"/>
    <n v="4"/>
    <x v="0"/>
    <n v="95"/>
    <n v="3"/>
    <n v="1"/>
    <x v="6"/>
    <n v="3"/>
    <s v="Married"/>
    <n v="2655"/>
    <n v="11740"/>
    <n v="2"/>
    <s v="Y"/>
    <x v="0"/>
    <n v="11"/>
    <n v="3"/>
    <n v="3"/>
    <n v="80"/>
    <n v="2"/>
    <n v="19"/>
    <n v="3"/>
    <n v="3"/>
    <n v="9"/>
    <x v="0"/>
    <n v="7"/>
    <n v="7"/>
    <n v="7"/>
    <x v="2"/>
    <n v="1"/>
  </r>
  <r>
    <n v="32"/>
    <x v="1"/>
    <x v="0"/>
    <x v="0"/>
    <n v="1259"/>
    <x v="1"/>
    <n v="2"/>
    <n v="4"/>
    <s v="Life Sciences"/>
    <n v="1"/>
    <n v="1692"/>
    <n v="4"/>
    <x v="1"/>
    <n v="95"/>
    <n v="3"/>
    <n v="1"/>
    <x v="2"/>
    <n v="2"/>
    <s v="Single"/>
    <n v="1393"/>
    <n v="24852"/>
    <n v="1"/>
    <s v="Y"/>
    <x v="1"/>
    <n v="12"/>
    <n v="3"/>
    <n v="1"/>
    <n v="80"/>
    <n v="0"/>
    <n v="1"/>
    <n v="2"/>
    <n v="3"/>
    <n v="1"/>
    <x v="1"/>
    <n v="0"/>
    <n v="0"/>
    <n v="0"/>
    <x v="1"/>
    <n v="1"/>
  </r>
  <r>
    <n v="26"/>
    <x v="2"/>
    <x v="1"/>
    <x v="2"/>
    <n v="786"/>
    <x v="1"/>
    <n v="7"/>
    <n v="3"/>
    <s v="Medical"/>
    <n v="1"/>
    <n v="1693"/>
    <n v="4"/>
    <x v="1"/>
    <n v="76"/>
    <n v="3"/>
    <n v="1"/>
    <x v="2"/>
    <n v="4"/>
    <s v="Single"/>
    <n v="2570"/>
    <n v="11925"/>
    <n v="1"/>
    <s v="Y"/>
    <x v="1"/>
    <n v="20"/>
    <n v="4"/>
    <n v="3"/>
    <n v="80"/>
    <n v="0"/>
    <n v="7"/>
    <n v="5"/>
    <n v="3"/>
    <n v="7"/>
    <x v="0"/>
    <n v="7"/>
    <n v="5"/>
    <n v="7"/>
    <x v="0"/>
    <n v="0"/>
  </r>
  <r>
    <n v="55"/>
    <x v="3"/>
    <x v="1"/>
    <x v="0"/>
    <n v="1441"/>
    <x v="1"/>
    <n v="22"/>
    <n v="3"/>
    <s v="Technical Degree"/>
    <n v="1"/>
    <n v="1694"/>
    <n v="1"/>
    <x v="1"/>
    <n v="94"/>
    <n v="2"/>
    <n v="1"/>
    <x v="1"/>
    <n v="2"/>
    <s v="Divorced"/>
    <n v="3537"/>
    <n v="23737"/>
    <n v="5"/>
    <s v="Y"/>
    <x v="1"/>
    <n v="12"/>
    <n v="3"/>
    <n v="4"/>
    <n v="80"/>
    <n v="1"/>
    <n v="8"/>
    <n v="1"/>
    <n v="3"/>
    <n v="4"/>
    <x v="2"/>
    <n v="2"/>
    <n v="1"/>
    <n v="2"/>
    <x v="1"/>
    <n v="0"/>
  </r>
  <r>
    <n v="34"/>
    <x v="1"/>
    <x v="1"/>
    <x v="0"/>
    <n v="1157"/>
    <x v="1"/>
    <n v="5"/>
    <n v="2"/>
    <s v="Medical"/>
    <n v="1"/>
    <n v="1696"/>
    <n v="2"/>
    <x v="1"/>
    <n v="57"/>
    <n v="2"/>
    <n v="2"/>
    <x v="2"/>
    <n v="4"/>
    <s v="Married"/>
    <n v="3986"/>
    <n v="11912"/>
    <n v="1"/>
    <s v="Y"/>
    <x v="1"/>
    <n v="14"/>
    <n v="3"/>
    <n v="3"/>
    <n v="80"/>
    <n v="1"/>
    <n v="15"/>
    <n v="3"/>
    <n v="4"/>
    <n v="15"/>
    <x v="3"/>
    <n v="10"/>
    <n v="4"/>
    <n v="13"/>
    <x v="0"/>
    <n v="0"/>
  </r>
  <r>
    <n v="60"/>
    <x v="3"/>
    <x v="1"/>
    <x v="0"/>
    <n v="370"/>
    <x v="1"/>
    <n v="1"/>
    <n v="4"/>
    <s v="Medical"/>
    <n v="1"/>
    <n v="1697"/>
    <n v="3"/>
    <x v="1"/>
    <n v="92"/>
    <n v="1"/>
    <n v="3"/>
    <x v="4"/>
    <n v="4"/>
    <s v="Divorced"/>
    <n v="10883"/>
    <n v="20467"/>
    <n v="3"/>
    <s v="Y"/>
    <x v="1"/>
    <n v="20"/>
    <n v="4"/>
    <n v="3"/>
    <n v="80"/>
    <n v="1"/>
    <n v="19"/>
    <n v="2"/>
    <n v="4"/>
    <n v="1"/>
    <x v="1"/>
    <n v="0"/>
    <n v="0"/>
    <n v="0"/>
    <x v="0"/>
    <n v="0"/>
  </r>
  <r>
    <n v="33"/>
    <x v="1"/>
    <x v="1"/>
    <x v="0"/>
    <n v="267"/>
    <x v="1"/>
    <n v="21"/>
    <n v="3"/>
    <s v="Medical"/>
    <n v="1"/>
    <n v="1698"/>
    <n v="2"/>
    <x v="1"/>
    <n v="79"/>
    <n v="4"/>
    <n v="1"/>
    <x v="2"/>
    <n v="2"/>
    <s v="Married"/>
    <n v="2028"/>
    <n v="13637"/>
    <n v="1"/>
    <s v="Y"/>
    <x v="1"/>
    <n v="18"/>
    <n v="3"/>
    <n v="4"/>
    <n v="80"/>
    <n v="3"/>
    <n v="14"/>
    <n v="6"/>
    <n v="3"/>
    <n v="14"/>
    <x v="3"/>
    <n v="11"/>
    <n v="2"/>
    <n v="13"/>
    <x v="1"/>
    <n v="0"/>
  </r>
  <r>
    <n v="37"/>
    <x v="1"/>
    <x v="1"/>
    <x v="1"/>
    <n v="1278"/>
    <x v="0"/>
    <n v="1"/>
    <n v="4"/>
    <s v="Medical"/>
    <n v="1"/>
    <n v="1700"/>
    <n v="3"/>
    <x v="1"/>
    <n v="31"/>
    <n v="1"/>
    <n v="2"/>
    <x v="0"/>
    <n v="4"/>
    <s v="Divorced"/>
    <n v="9525"/>
    <n v="7677"/>
    <n v="1"/>
    <s v="Y"/>
    <x v="1"/>
    <n v="14"/>
    <n v="3"/>
    <n v="3"/>
    <n v="80"/>
    <n v="2"/>
    <n v="6"/>
    <n v="2"/>
    <n v="2"/>
    <n v="6"/>
    <x v="0"/>
    <n v="3"/>
    <n v="1"/>
    <n v="3"/>
    <x v="0"/>
    <n v="0"/>
  </r>
  <r>
    <n v="34"/>
    <x v="1"/>
    <x v="1"/>
    <x v="0"/>
    <n v="678"/>
    <x v="1"/>
    <n v="19"/>
    <n v="3"/>
    <s v="Life Sciences"/>
    <n v="1"/>
    <n v="1701"/>
    <n v="2"/>
    <x v="0"/>
    <n v="35"/>
    <n v="2"/>
    <n v="1"/>
    <x v="1"/>
    <n v="4"/>
    <s v="Married"/>
    <n v="2929"/>
    <n v="20338"/>
    <n v="1"/>
    <s v="Y"/>
    <x v="1"/>
    <n v="12"/>
    <n v="3"/>
    <n v="2"/>
    <n v="80"/>
    <n v="0"/>
    <n v="10"/>
    <n v="3"/>
    <n v="3"/>
    <n v="10"/>
    <x v="0"/>
    <n v="9"/>
    <n v="8"/>
    <n v="7"/>
    <x v="0"/>
    <n v="0"/>
  </r>
  <r>
    <n v="23"/>
    <x v="2"/>
    <x v="0"/>
    <x v="0"/>
    <n v="427"/>
    <x v="0"/>
    <n v="7"/>
    <n v="3"/>
    <s v="Life Sciences"/>
    <n v="1"/>
    <n v="1702"/>
    <n v="3"/>
    <x v="1"/>
    <n v="99"/>
    <n v="3"/>
    <n v="1"/>
    <x v="6"/>
    <n v="4"/>
    <s v="Divorced"/>
    <n v="2275"/>
    <n v="25103"/>
    <n v="1"/>
    <s v="Y"/>
    <x v="0"/>
    <n v="21"/>
    <n v="4"/>
    <n v="2"/>
    <n v="80"/>
    <n v="1"/>
    <n v="3"/>
    <n v="2"/>
    <n v="3"/>
    <n v="3"/>
    <x v="2"/>
    <n v="2"/>
    <n v="0"/>
    <n v="2"/>
    <x v="0"/>
    <n v="1"/>
  </r>
  <r>
    <n v="44"/>
    <x v="0"/>
    <x v="1"/>
    <x v="0"/>
    <n v="921"/>
    <x v="1"/>
    <n v="2"/>
    <n v="3"/>
    <s v="Life Sciences"/>
    <n v="1"/>
    <n v="1703"/>
    <n v="3"/>
    <x v="0"/>
    <n v="96"/>
    <n v="4"/>
    <n v="3"/>
    <x v="4"/>
    <n v="4"/>
    <s v="Married"/>
    <n v="7879"/>
    <n v="14810"/>
    <n v="1"/>
    <s v="Y"/>
    <x v="0"/>
    <n v="19"/>
    <n v="3"/>
    <n v="2"/>
    <n v="80"/>
    <n v="1"/>
    <n v="9"/>
    <n v="2"/>
    <n v="3"/>
    <n v="8"/>
    <x v="0"/>
    <n v="7"/>
    <n v="6"/>
    <n v="7"/>
    <x v="0"/>
    <n v="0"/>
  </r>
  <r>
    <n v="35"/>
    <x v="1"/>
    <x v="1"/>
    <x v="1"/>
    <n v="146"/>
    <x v="1"/>
    <n v="2"/>
    <n v="4"/>
    <s v="Medical"/>
    <n v="1"/>
    <n v="1704"/>
    <n v="1"/>
    <x v="1"/>
    <n v="79"/>
    <n v="2"/>
    <n v="1"/>
    <x v="1"/>
    <n v="4"/>
    <s v="Single"/>
    <n v="4930"/>
    <n v="13970"/>
    <n v="0"/>
    <s v="Y"/>
    <x v="0"/>
    <n v="14"/>
    <n v="3"/>
    <n v="3"/>
    <n v="80"/>
    <n v="0"/>
    <n v="6"/>
    <n v="2"/>
    <n v="4"/>
    <n v="5"/>
    <x v="2"/>
    <n v="4"/>
    <n v="1"/>
    <n v="4"/>
    <x v="0"/>
    <n v="0"/>
  </r>
  <r>
    <n v="43"/>
    <x v="0"/>
    <x v="1"/>
    <x v="0"/>
    <n v="1179"/>
    <x v="0"/>
    <n v="2"/>
    <n v="3"/>
    <s v="Medical"/>
    <n v="1"/>
    <n v="1706"/>
    <n v="4"/>
    <x v="1"/>
    <n v="73"/>
    <n v="3"/>
    <n v="2"/>
    <x v="0"/>
    <n v="4"/>
    <s v="Married"/>
    <n v="7847"/>
    <n v="6069"/>
    <n v="1"/>
    <s v="Y"/>
    <x v="0"/>
    <n v="17"/>
    <n v="3"/>
    <n v="1"/>
    <n v="80"/>
    <n v="1"/>
    <n v="10"/>
    <n v="3"/>
    <n v="3"/>
    <n v="10"/>
    <x v="0"/>
    <n v="9"/>
    <n v="8"/>
    <n v="8"/>
    <x v="0"/>
    <n v="0"/>
  </r>
  <r>
    <n v="24"/>
    <x v="2"/>
    <x v="1"/>
    <x v="0"/>
    <n v="581"/>
    <x v="1"/>
    <n v="9"/>
    <n v="3"/>
    <s v="Medical"/>
    <n v="1"/>
    <n v="1707"/>
    <n v="3"/>
    <x v="1"/>
    <n v="62"/>
    <n v="4"/>
    <n v="1"/>
    <x v="1"/>
    <n v="3"/>
    <s v="Married"/>
    <n v="4401"/>
    <n v="17616"/>
    <n v="1"/>
    <s v="Y"/>
    <x v="1"/>
    <n v="16"/>
    <n v="3"/>
    <n v="4"/>
    <n v="80"/>
    <n v="1"/>
    <n v="5"/>
    <n v="1"/>
    <n v="3"/>
    <n v="5"/>
    <x v="2"/>
    <n v="3"/>
    <n v="0"/>
    <n v="4"/>
    <x v="2"/>
    <n v="0"/>
  </r>
  <r>
    <n v="41"/>
    <x v="0"/>
    <x v="1"/>
    <x v="0"/>
    <n v="918"/>
    <x v="0"/>
    <n v="6"/>
    <n v="3"/>
    <s v="Marketing"/>
    <n v="1"/>
    <n v="1708"/>
    <n v="4"/>
    <x v="1"/>
    <n v="35"/>
    <n v="3"/>
    <n v="3"/>
    <x v="0"/>
    <n v="3"/>
    <s v="Single"/>
    <n v="9241"/>
    <n v="15869"/>
    <n v="1"/>
    <s v="Y"/>
    <x v="1"/>
    <n v="12"/>
    <n v="3"/>
    <n v="2"/>
    <n v="80"/>
    <n v="0"/>
    <n v="10"/>
    <n v="3"/>
    <n v="3"/>
    <n v="10"/>
    <x v="0"/>
    <n v="8"/>
    <n v="8"/>
    <n v="7"/>
    <x v="2"/>
    <n v="0"/>
  </r>
  <r>
    <n v="29"/>
    <x v="2"/>
    <x v="1"/>
    <x v="0"/>
    <n v="1082"/>
    <x v="1"/>
    <n v="9"/>
    <n v="4"/>
    <s v="Medical"/>
    <n v="1"/>
    <n v="1709"/>
    <n v="4"/>
    <x v="0"/>
    <n v="43"/>
    <n v="3"/>
    <n v="1"/>
    <x v="2"/>
    <n v="3"/>
    <s v="Married"/>
    <n v="2974"/>
    <n v="25412"/>
    <n v="9"/>
    <s v="Y"/>
    <x v="1"/>
    <n v="17"/>
    <n v="3"/>
    <n v="3"/>
    <n v="80"/>
    <n v="1"/>
    <n v="9"/>
    <n v="2"/>
    <n v="3"/>
    <n v="5"/>
    <x v="2"/>
    <n v="3"/>
    <n v="1"/>
    <n v="2"/>
    <x v="2"/>
    <n v="0"/>
  </r>
  <r>
    <n v="36"/>
    <x v="1"/>
    <x v="1"/>
    <x v="0"/>
    <n v="530"/>
    <x v="0"/>
    <n v="2"/>
    <n v="4"/>
    <s v="Life Sciences"/>
    <n v="1"/>
    <n v="1710"/>
    <n v="3"/>
    <x v="0"/>
    <n v="51"/>
    <n v="3"/>
    <n v="2"/>
    <x v="6"/>
    <n v="4"/>
    <s v="Single"/>
    <n v="4502"/>
    <n v="7439"/>
    <n v="3"/>
    <s v="Y"/>
    <x v="1"/>
    <n v="15"/>
    <n v="3"/>
    <n v="3"/>
    <n v="80"/>
    <n v="0"/>
    <n v="17"/>
    <n v="2"/>
    <n v="2"/>
    <n v="13"/>
    <x v="3"/>
    <n v="7"/>
    <n v="6"/>
    <n v="7"/>
    <x v="0"/>
    <n v="0"/>
  </r>
  <r>
    <n v="45"/>
    <x v="0"/>
    <x v="1"/>
    <x v="2"/>
    <n v="1238"/>
    <x v="1"/>
    <n v="1"/>
    <n v="1"/>
    <s v="Life Sciences"/>
    <n v="1"/>
    <n v="1712"/>
    <n v="3"/>
    <x v="1"/>
    <n v="74"/>
    <n v="2"/>
    <n v="3"/>
    <x v="4"/>
    <n v="3"/>
    <s v="Married"/>
    <n v="10748"/>
    <n v="3395"/>
    <n v="3"/>
    <s v="Y"/>
    <x v="1"/>
    <n v="23"/>
    <n v="4"/>
    <n v="4"/>
    <n v="80"/>
    <n v="1"/>
    <n v="25"/>
    <n v="3"/>
    <n v="2"/>
    <n v="23"/>
    <x v="3"/>
    <n v="15"/>
    <n v="14"/>
    <n v="4"/>
    <x v="2"/>
    <n v="0"/>
  </r>
  <r>
    <n v="24"/>
    <x v="2"/>
    <x v="0"/>
    <x v="0"/>
    <n v="240"/>
    <x v="2"/>
    <n v="22"/>
    <n v="1"/>
    <s v="Human Resources"/>
    <n v="1"/>
    <n v="1714"/>
    <n v="4"/>
    <x v="1"/>
    <n v="58"/>
    <n v="1"/>
    <n v="1"/>
    <x v="8"/>
    <n v="3"/>
    <s v="Married"/>
    <n v="1555"/>
    <n v="11585"/>
    <n v="1"/>
    <s v="Y"/>
    <x v="1"/>
    <n v="11"/>
    <n v="3"/>
    <n v="3"/>
    <n v="80"/>
    <n v="1"/>
    <n v="1"/>
    <n v="2"/>
    <n v="3"/>
    <n v="1"/>
    <x v="1"/>
    <n v="0"/>
    <n v="0"/>
    <n v="0"/>
    <x v="2"/>
    <n v="1"/>
  </r>
  <r>
    <n v="47"/>
    <x v="0"/>
    <x v="0"/>
    <x v="1"/>
    <n v="1093"/>
    <x v="0"/>
    <n v="9"/>
    <n v="3"/>
    <s v="Life Sciences"/>
    <n v="1"/>
    <n v="1716"/>
    <n v="3"/>
    <x v="1"/>
    <n v="82"/>
    <n v="1"/>
    <n v="4"/>
    <x v="0"/>
    <n v="3"/>
    <s v="Married"/>
    <n v="12936"/>
    <n v="24164"/>
    <n v="7"/>
    <s v="Y"/>
    <x v="1"/>
    <n v="11"/>
    <n v="3"/>
    <n v="3"/>
    <n v="80"/>
    <n v="0"/>
    <n v="25"/>
    <n v="3"/>
    <n v="1"/>
    <n v="23"/>
    <x v="3"/>
    <n v="5"/>
    <n v="14"/>
    <n v="10"/>
    <x v="2"/>
    <n v="1"/>
  </r>
  <r>
    <n v="26"/>
    <x v="2"/>
    <x v="1"/>
    <x v="0"/>
    <n v="390"/>
    <x v="1"/>
    <n v="17"/>
    <n v="4"/>
    <s v="Medical"/>
    <n v="1"/>
    <n v="1718"/>
    <n v="4"/>
    <x v="1"/>
    <n v="62"/>
    <n v="1"/>
    <n v="1"/>
    <x v="2"/>
    <n v="3"/>
    <s v="Married"/>
    <n v="2305"/>
    <n v="6217"/>
    <n v="1"/>
    <s v="Y"/>
    <x v="1"/>
    <n v="15"/>
    <n v="3"/>
    <n v="3"/>
    <n v="80"/>
    <n v="3"/>
    <n v="3"/>
    <n v="3"/>
    <n v="4"/>
    <n v="3"/>
    <x v="2"/>
    <n v="2"/>
    <n v="0"/>
    <n v="2"/>
    <x v="2"/>
    <n v="0"/>
  </r>
  <r>
    <n v="45"/>
    <x v="0"/>
    <x v="1"/>
    <x v="0"/>
    <n v="1005"/>
    <x v="1"/>
    <n v="28"/>
    <n v="2"/>
    <s v="Technical Degree"/>
    <n v="1"/>
    <n v="1719"/>
    <n v="4"/>
    <x v="0"/>
    <n v="48"/>
    <n v="2"/>
    <n v="4"/>
    <x v="7"/>
    <n v="2"/>
    <s v="Single"/>
    <n v="16704"/>
    <n v="17119"/>
    <n v="1"/>
    <s v="Y"/>
    <x v="1"/>
    <n v="11"/>
    <n v="3"/>
    <n v="3"/>
    <n v="80"/>
    <n v="0"/>
    <n v="21"/>
    <n v="2"/>
    <n v="3"/>
    <n v="21"/>
    <x v="3"/>
    <n v="6"/>
    <n v="8"/>
    <n v="6"/>
    <x v="1"/>
    <n v="0"/>
  </r>
  <r>
    <n v="32"/>
    <x v="1"/>
    <x v="1"/>
    <x v="1"/>
    <n v="585"/>
    <x v="1"/>
    <n v="10"/>
    <n v="3"/>
    <s v="Life Sciences"/>
    <n v="1"/>
    <n v="1720"/>
    <n v="1"/>
    <x v="1"/>
    <n v="56"/>
    <n v="3"/>
    <n v="1"/>
    <x v="1"/>
    <n v="3"/>
    <s v="Married"/>
    <n v="3433"/>
    <n v="17360"/>
    <n v="6"/>
    <s v="Y"/>
    <x v="1"/>
    <n v="13"/>
    <n v="3"/>
    <n v="1"/>
    <n v="80"/>
    <n v="1"/>
    <n v="10"/>
    <n v="3"/>
    <n v="2"/>
    <n v="5"/>
    <x v="2"/>
    <n v="2"/>
    <n v="1"/>
    <n v="3"/>
    <x v="2"/>
    <n v="0"/>
  </r>
  <r>
    <n v="31"/>
    <x v="1"/>
    <x v="1"/>
    <x v="0"/>
    <n v="741"/>
    <x v="1"/>
    <n v="2"/>
    <n v="4"/>
    <s v="Life Sciences"/>
    <n v="1"/>
    <n v="1721"/>
    <n v="2"/>
    <x v="1"/>
    <n v="69"/>
    <n v="3"/>
    <n v="1"/>
    <x v="2"/>
    <n v="3"/>
    <s v="Married"/>
    <n v="3477"/>
    <n v="18103"/>
    <n v="1"/>
    <s v="Y"/>
    <x v="1"/>
    <n v="14"/>
    <n v="3"/>
    <n v="4"/>
    <n v="80"/>
    <n v="1"/>
    <n v="6"/>
    <n v="2"/>
    <n v="4"/>
    <n v="5"/>
    <x v="2"/>
    <n v="2"/>
    <n v="0"/>
    <n v="3"/>
    <x v="2"/>
    <n v="0"/>
  </r>
  <r>
    <n v="41"/>
    <x v="0"/>
    <x v="1"/>
    <x v="2"/>
    <n v="552"/>
    <x v="2"/>
    <n v="4"/>
    <n v="3"/>
    <s v="Human Resources"/>
    <n v="1"/>
    <n v="1722"/>
    <n v="3"/>
    <x v="1"/>
    <n v="60"/>
    <n v="1"/>
    <n v="2"/>
    <x v="8"/>
    <n v="2"/>
    <s v="Married"/>
    <n v="6430"/>
    <n v="20794"/>
    <n v="6"/>
    <s v="Y"/>
    <x v="1"/>
    <n v="19"/>
    <n v="3"/>
    <n v="2"/>
    <n v="80"/>
    <n v="1"/>
    <n v="10"/>
    <n v="4"/>
    <n v="3"/>
    <n v="3"/>
    <x v="2"/>
    <n v="2"/>
    <n v="1"/>
    <n v="2"/>
    <x v="1"/>
    <n v="0"/>
  </r>
  <r>
    <n v="40"/>
    <x v="1"/>
    <x v="1"/>
    <x v="0"/>
    <n v="369"/>
    <x v="1"/>
    <n v="8"/>
    <n v="2"/>
    <s v="Life Sciences"/>
    <n v="1"/>
    <n v="1724"/>
    <n v="2"/>
    <x v="0"/>
    <n v="92"/>
    <n v="3"/>
    <n v="2"/>
    <x v="3"/>
    <n v="1"/>
    <s v="Married"/>
    <n v="6516"/>
    <n v="5041"/>
    <n v="2"/>
    <s v="Y"/>
    <x v="0"/>
    <n v="16"/>
    <n v="3"/>
    <n v="2"/>
    <n v="80"/>
    <n v="1"/>
    <n v="18"/>
    <n v="3"/>
    <n v="3"/>
    <n v="1"/>
    <x v="1"/>
    <n v="0"/>
    <n v="0"/>
    <n v="0"/>
    <x v="3"/>
    <n v="0"/>
  </r>
  <r>
    <n v="24"/>
    <x v="2"/>
    <x v="1"/>
    <x v="0"/>
    <n v="506"/>
    <x v="1"/>
    <n v="29"/>
    <n v="1"/>
    <s v="Medical"/>
    <n v="1"/>
    <n v="1725"/>
    <n v="2"/>
    <x v="1"/>
    <n v="91"/>
    <n v="3"/>
    <n v="1"/>
    <x v="2"/>
    <n v="1"/>
    <s v="Divorced"/>
    <n v="3907"/>
    <n v="3622"/>
    <n v="1"/>
    <s v="Y"/>
    <x v="1"/>
    <n v="13"/>
    <n v="3"/>
    <n v="2"/>
    <n v="80"/>
    <n v="3"/>
    <n v="6"/>
    <n v="2"/>
    <n v="4"/>
    <n v="6"/>
    <x v="0"/>
    <n v="2"/>
    <n v="1"/>
    <n v="2"/>
    <x v="3"/>
    <n v="0"/>
  </r>
  <r>
    <n v="46"/>
    <x v="0"/>
    <x v="1"/>
    <x v="0"/>
    <n v="717"/>
    <x v="1"/>
    <n v="13"/>
    <n v="4"/>
    <s v="Life Sciences"/>
    <n v="1"/>
    <n v="1727"/>
    <n v="3"/>
    <x v="1"/>
    <n v="34"/>
    <n v="3"/>
    <n v="2"/>
    <x v="4"/>
    <n v="2"/>
    <s v="Single"/>
    <n v="5562"/>
    <n v="9697"/>
    <n v="6"/>
    <s v="Y"/>
    <x v="1"/>
    <n v="14"/>
    <n v="3"/>
    <n v="4"/>
    <n v="80"/>
    <n v="0"/>
    <n v="19"/>
    <n v="3"/>
    <n v="3"/>
    <n v="10"/>
    <x v="0"/>
    <n v="7"/>
    <n v="0"/>
    <n v="9"/>
    <x v="1"/>
    <n v="0"/>
  </r>
  <r>
    <n v="35"/>
    <x v="1"/>
    <x v="1"/>
    <x v="0"/>
    <n v="1370"/>
    <x v="1"/>
    <n v="27"/>
    <n v="4"/>
    <s v="Life Sciences"/>
    <n v="1"/>
    <n v="1728"/>
    <n v="4"/>
    <x v="1"/>
    <n v="49"/>
    <n v="3"/>
    <n v="2"/>
    <x v="3"/>
    <n v="3"/>
    <s v="Married"/>
    <n v="6883"/>
    <n v="5151"/>
    <n v="2"/>
    <s v="Y"/>
    <x v="1"/>
    <n v="16"/>
    <n v="3"/>
    <n v="2"/>
    <n v="80"/>
    <n v="1"/>
    <n v="17"/>
    <n v="3"/>
    <n v="3"/>
    <n v="7"/>
    <x v="0"/>
    <n v="7"/>
    <n v="0"/>
    <n v="7"/>
    <x v="2"/>
    <n v="0"/>
  </r>
  <r>
    <n v="30"/>
    <x v="1"/>
    <x v="1"/>
    <x v="0"/>
    <n v="793"/>
    <x v="1"/>
    <n v="16"/>
    <n v="1"/>
    <s v="Life Sciences"/>
    <n v="1"/>
    <n v="1729"/>
    <n v="2"/>
    <x v="1"/>
    <n v="33"/>
    <n v="3"/>
    <n v="1"/>
    <x v="1"/>
    <n v="4"/>
    <s v="Married"/>
    <n v="2862"/>
    <n v="3811"/>
    <n v="1"/>
    <s v="Y"/>
    <x v="1"/>
    <n v="12"/>
    <n v="3"/>
    <n v="2"/>
    <n v="80"/>
    <n v="1"/>
    <n v="10"/>
    <n v="2"/>
    <n v="2"/>
    <n v="10"/>
    <x v="0"/>
    <n v="0"/>
    <n v="0"/>
    <n v="8"/>
    <x v="0"/>
    <n v="0"/>
  </r>
  <r>
    <n v="47"/>
    <x v="0"/>
    <x v="1"/>
    <x v="2"/>
    <n v="543"/>
    <x v="0"/>
    <n v="2"/>
    <n v="4"/>
    <s v="Marketing"/>
    <n v="1"/>
    <n v="1731"/>
    <n v="3"/>
    <x v="1"/>
    <n v="87"/>
    <n v="3"/>
    <n v="2"/>
    <x v="0"/>
    <n v="2"/>
    <s v="Married"/>
    <n v="4978"/>
    <n v="3536"/>
    <n v="7"/>
    <s v="Y"/>
    <x v="1"/>
    <n v="11"/>
    <n v="3"/>
    <n v="4"/>
    <n v="80"/>
    <n v="1"/>
    <n v="4"/>
    <n v="3"/>
    <n v="1"/>
    <n v="1"/>
    <x v="1"/>
    <n v="0"/>
    <n v="0"/>
    <n v="0"/>
    <x v="1"/>
    <n v="0"/>
  </r>
  <r>
    <n v="46"/>
    <x v="0"/>
    <x v="1"/>
    <x v="0"/>
    <n v="1277"/>
    <x v="0"/>
    <n v="2"/>
    <n v="3"/>
    <s v="Life Sciences"/>
    <n v="1"/>
    <n v="1732"/>
    <n v="3"/>
    <x v="1"/>
    <n v="74"/>
    <n v="3"/>
    <n v="3"/>
    <x v="0"/>
    <n v="4"/>
    <s v="Divorced"/>
    <n v="10368"/>
    <n v="5596"/>
    <n v="4"/>
    <s v="Y"/>
    <x v="0"/>
    <n v="12"/>
    <n v="3"/>
    <n v="2"/>
    <n v="80"/>
    <n v="1"/>
    <n v="13"/>
    <n v="5"/>
    <n v="2"/>
    <n v="10"/>
    <x v="0"/>
    <n v="6"/>
    <n v="0"/>
    <n v="3"/>
    <x v="0"/>
    <n v="0"/>
  </r>
  <r>
    <n v="36"/>
    <x v="1"/>
    <x v="0"/>
    <x v="0"/>
    <n v="1456"/>
    <x v="0"/>
    <n v="13"/>
    <n v="5"/>
    <s v="Marketing"/>
    <n v="1"/>
    <n v="1733"/>
    <n v="2"/>
    <x v="1"/>
    <n v="96"/>
    <n v="2"/>
    <n v="2"/>
    <x v="0"/>
    <n v="1"/>
    <s v="Divorced"/>
    <n v="6134"/>
    <n v="8658"/>
    <n v="5"/>
    <s v="Y"/>
    <x v="0"/>
    <n v="13"/>
    <n v="3"/>
    <n v="2"/>
    <n v="80"/>
    <n v="3"/>
    <n v="16"/>
    <n v="3"/>
    <n v="3"/>
    <n v="2"/>
    <x v="1"/>
    <n v="2"/>
    <n v="2"/>
    <n v="2"/>
    <x v="3"/>
    <n v="1"/>
  </r>
  <r>
    <n v="32"/>
    <x v="1"/>
    <x v="0"/>
    <x v="0"/>
    <n v="964"/>
    <x v="0"/>
    <n v="1"/>
    <n v="2"/>
    <s v="Life Sciences"/>
    <n v="1"/>
    <n v="1734"/>
    <n v="1"/>
    <x v="1"/>
    <n v="34"/>
    <n v="1"/>
    <n v="2"/>
    <x v="0"/>
    <n v="2"/>
    <s v="Single"/>
    <n v="6735"/>
    <n v="12147"/>
    <n v="6"/>
    <s v="Y"/>
    <x v="1"/>
    <n v="15"/>
    <n v="3"/>
    <n v="2"/>
    <n v="80"/>
    <n v="0"/>
    <n v="10"/>
    <n v="2"/>
    <n v="3"/>
    <n v="0"/>
    <x v="1"/>
    <n v="0"/>
    <n v="0"/>
    <n v="0"/>
    <x v="1"/>
    <n v="1"/>
  </r>
  <r>
    <n v="23"/>
    <x v="2"/>
    <x v="1"/>
    <x v="0"/>
    <n v="160"/>
    <x v="1"/>
    <n v="4"/>
    <n v="1"/>
    <s v="Medical"/>
    <n v="1"/>
    <n v="1735"/>
    <n v="3"/>
    <x v="0"/>
    <n v="51"/>
    <n v="3"/>
    <n v="1"/>
    <x v="2"/>
    <n v="2"/>
    <s v="Single"/>
    <n v="3295"/>
    <n v="12862"/>
    <n v="1"/>
    <s v="Y"/>
    <x v="1"/>
    <n v="13"/>
    <n v="3"/>
    <n v="3"/>
    <n v="80"/>
    <n v="0"/>
    <n v="3"/>
    <n v="3"/>
    <n v="1"/>
    <n v="3"/>
    <x v="2"/>
    <n v="2"/>
    <n v="1"/>
    <n v="2"/>
    <x v="1"/>
    <n v="0"/>
  </r>
  <r>
    <n v="31"/>
    <x v="1"/>
    <x v="1"/>
    <x v="1"/>
    <n v="163"/>
    <x v="1"/>
    <n v="24"/>
    <n v="1"/>
    <s v="Technical Degree"/>
    <n v="1"/>
    <n v="1736"/>
    <n v="4"/>
    <x v="0"/>
    <n v="30"/>
    <n v="3"/>
    <n v="2"/>
    <x v="3"/>
    <n v="4"/>
    <s v="Single"/>
    <n v="5238"/>
    <n v="6670"/>
    <n v="2"/>
    <s v="Y"/>
    <x v="1"/>
    <n v="20"/>
    <n v="4"/>
    <n v="4"/>
    <n v="80"/>
    <n v="0"/>
    <n v="9"/>
    <n v="3"/>
    <n v="2"/>
    <n v="5"/>
    <x v="2"/>
    <n v="4"/>
    <n v="1"/>
    <n v="4"/>
    <x v="0"/>
    <n v="0"/>
  </r>
  <r>
    <n v="39"/>
    <x v="1"/>
    <x v="1"/>
    <x v="2"/>
    <n v="792"/>
    <x v="1"/>
    <n v="1"/>
    <n v="3"/>
    <s v="Life Sciences"/>
    <n v="1"/>
    <n v="1737"/>
    <n v="4"/>
    <x v="1"/>
    <n v="77"/>
    <n v="3"/>
    <n v="2"/>
    <x v="2"/>
    <n v="4"/>
    <s v="Married"/>
    <n v="6472"/>
    <n v="8989"/>
    <n v="1"/>
    <s v="Y"/>
    <x v="0"/>
    <n v="15"/>
    <n v="3"/>
    <n v="4"/>
    <n v="80"/>
    <n v="1"/>
    <n v="9"/>
    <n v="2"/>
    <n v="3"/>
    <n v="9"/>
    <x v="0"/>
    <n v="8"/>
    <n v="5"/>
    <n v="8"/>
    <x v="0"/>
    <n v="0"/>
  </r>
  <r>
    <n v="32"/>
    <x v="1"/>
    <x v="1"/>
    <x v="0"/>
    <n v="371"/>
    <x v="0"/>
    <n v="19"/>
    <n v="3"/>
    <s v="Life Sciences"/>
    <n v="1"/>
    <n v="1739"/>
    <n v="4"/>
    <x v="1"/>
    <n v="80"/>
    <n v="1"/>
    <n v="3"/>
    <x v="0"/>
    <n v="3"/>
    <s v="Married"/>
    <n v="9610"/>
    <n v="3840"/>
    <n v="3"/>
    <s v="Y"/>
    <x v="1"/>
    <n v="13"/>
    <n v="3"/>
    <n v="3"/>
    <n v="80"/>
    <n v="1"/>
    <n v="10"/>
    <n v="2"/>
    <n v="1"/>
    <n v="4"/>
    <x v="2"/>
    <n v="3"/>
    <n v="0"/>
    <n v="2"/>
    <x v="2"/>
    <n v="0"/>
  </r>
  <r>
    <n v="40"/>
    <x v="1"/>
    <x v="1"/>
    <x v="0"/>
    <n v="611"/>
    <x v="0"/>
    <n v="7"/>
    <n v="4"/>
    <s v="Medical"/>
    <n v="1"/>
    <n v="1740"/>
    <n v="2"/>
    <x v="1"/>
    <n v="88"/>
    <n v="3"/>
    <n v="5"/>
    <x v="5"/>
    <n v="2"/>
    <s v="Single"/>
    <n v="19833"/>
    <n v="4349"/>
    <n v="1"/>
    <s v="Y"/>
    <x v="1"/>
    <n v="14"/>
    <n v="3"/>
    <n v="2"/>
    <n v="80"/>
    <n v="0"/>
    <n v="21"/>
    <n v="3"/>
    <n v="2"/>
    <n v="21"/>
    <x v="3"/>
    <n v="8"/>
    <n v="12"/>
    <n v="8"/>
    <x v="1"/>
    <n v="0"/>
  </r>
  <r>
    <n v="45"/>
    <x v="0"/>
    <x v="1"/>
    <x v="0"/>
    <n v="176"/>
    <x v="2"/>
    <n v="4"/>
    <n v="3"/>
    <s v="Life Sciences"/>
    <n v="1"/>
    <n v="1744"/>
    <n v="3"/>
    <x v="0"/>
    <n v="56"/>
    <n v="1"/>
    <n v="3"/>
    <x v="8"/>
    <n v="3"/>
    <s v="Married"/>
    <n v="9756"/>
    <n v="6595"/>
    <n v="4"/>
    <s v="Y"/>
    <x v="1"/>
    <n v="21"/>
    <n v="4"/>
    <n v="3"/>
    <n v="80"/>
    <n v="2"/>
    <n v="9"/>
    <n v="2"/>
    <n v="4"/>
    <n v="5"/>
    <x v="2"/>
    <n v="0"/>
    <n v="0"/>
    <n v="3"/>
    <x v="2"/>
    <n v="0"/>
  </r>
  <r>
    <n v="30"/>
    <x v="1"/>
    <x v="1"/>
    <x v="1"/>
    <n v="1312"/>
    <x v="1"/>
    <n v="2"/>
    <n v="4"/>
    <s v="Technical Degree"/>
    <n v="1"/>
    <n v="1745"/>
    <n v="4"/>
    <x v="0"/>
    <n v="78"/>
    <n v="2"/>
    <n v="1"/>
    <x v="1"/>
    <n v="1"/>
    <s v="Single"/>
    <n v="4968"/>
    <n v="26427"/>
    <n v="0"/>
    <s v="Y"/>
    <x v="1"/>
    <n v="16"/>
    <n v="3"/>
    <n v="4"/>
    <n v="80"/>
    <n v="0"/>
    <n v="10"/>
    <n v="2"/>
    <n v="3"/>
    <n v="9"/>
    <x v="0"/>
    <n v="7"/>
    <n v="0"/>
    <n v="7"/>
    <x v="3"/>
    <n v="0"/>
  </r>
  <r>
    <n v="24"/>
    <x v="2"/>
    <x v="1"/>
    <x v="1"/>
    <n v="897"/>
    <x v="2"/>
    <n v="10"/>
    <n v="3"/>
    <s v="Medical"/>
    <n v="1"/>
    <n v="1746"/>
    <n v="1"/>
    <x v="1"/>
    <n v="59"/>
    <n v="3"/>
    <n v="1"/>
    <x v="8"/>
    <n v="4"/>
    <s v="Married"/>
    <n v="2145"/>
    <n v="2097"/>
    <n v="0"/>
    <s v="Y"/>
    <x v="1"/>
    <n v="14"/>
    <n v="3"/>
    <n v="4"/>
    <n v="80"/>
    <n v="1"/>
    <n v="3"/>
    <n v="2"/>
    <n v="3"/>
    <n v="2"/>
    <x v="1"/>
    <n v="2"/>
    <n v="2"/>
    <n v="1"/>
    <x v="0"/>
    <n v="0"/>
  </r>
  <r>
    <n v="30"/>
    <x v="1"/>
    <x v="0"/>
    <x v="1"/>
    <n v="600"/>
    <x v="2"/>
    <n v="8"/>
    <n v="3"/>
    <s v="Human Resources"/>
    <n v="1"/>
    <n v="1747"/>
    <n v="3"/>
    <x v="0"/>
    <n v="66"/>
    <n v="2"/>
    <n v="1"/>
    <x v="8"/>
    <n v="4"/>
    <s v="Divorced"/>
    <n v="2180"/>
    <n v="9732"/>
    <n v="6"/>
    <s v="Y"/>
    <x v="1"/>
    <n v="11"/>
    <n v="3"/>
    <n v="3"/>
    <n v="80"/>
    <n v="1"/>
    <n v="6"/>
    <n v="0"/>
    <n v="2"/>
    <n v="4"/>
    <x v="2"/>
    <n v="2"/>
    <n v="1"/>
    <n v="2"/>
    <x v="0"/>
    <n v="1"/>
  </r>
  <r>
    <n v="31"/>
    <x v="1"/>
    <x v="1"/>
    <x v="0"/>
    <n v="1003"/>
    <x v="0"/>
    <n v="5"/>
    <n v="3"/>
    <s v="Technical Degree"/>
    <n v="1"/>
    <n v="1749"/>
    <n v="1"/>
    <x v="1"/>
    <n v="51"/>
    <n v="3"/>
    <n v="2"/>
    <x v="0"/>
    <n v="3"/>
    <s v="Married"/>
    <n v="8346"/>
    <n v="20943"/>
    <n v="1"/>
    <s v="Y"/>
    <x v="1"/>
    <n v="19"/>
    <n v="3"/>
    <n v="3"/>
    <n v="80"/>
    <n v="1"/>
    <n v="6"/>
    <n v="3"/>
    <n v="3"/>
    <n v="5"/>
    <x v="2"/>
    <n v="2"/>
    <n v="0"/>
    <n v="2"/>
    <x v="2"/>
    <n v="0"/>
  </r>
  <r>
    <n v="27"/>
    <x v="2"/>
    <x v="1"/>
    <x v="0"/>
    <n v="1054"/>
    <x v="1"/>
    <n v="8"/>
    <n v="3"/>
    <s v="Medical"/>
    <n v="1"/>
    <n v="1751"/>
    <n v="3"/>
    <x v="0"/>
    <n v="67"/>
    <n v="3"/>
    <n v="1"/>
    <x v="1"/>
    <n v="4"/>
    <s v="Single"/>
    <n v="3445"/>
    <n v="6152"/>
    <n v="1"/>
    <s v="Y"/>
    <x v="1"/>
    <n v="11"/>
    <n v="3"/>
    <n v="3"/>
    <n v="80"/>
    <n v="0"/>
    <n v="6"/>
    <n v="5"/>
    <n v="2"/>
    <n v="6"/>
    <x v="0"/>
    <n v="2"/>
    <n v="1"/>
    <n v="4"/>
    <x v="0"/>
    <n v="0"/>
  </r>
  <r>
    <n v="29"/>
    <x v="2"/>
    <x v="0"/>
    <x v="0"/>
    <n v="428"/>
    <x v="0"/>
    <n v="9"/>
    <n v="3"/>
    <s v="Marketing"/>
    <n v="1"/>
    <n v="1752"/>
    <n v="2"/>
    <x v="0"/>
    <n v="52"/>
    <n v="1"/>
    <n v="1"/>
    <x v="6"/>
    <n v="2"/>
    <s v="Single"/>
    <n v="2760"/>
    <n v="14630"/>
    <n v="1"/>
    <s v="Y"/>
    <x v="1"/>
    <n v="13"/>
    <n v="3"/>
    <n v="3"/>
    <n v="80"/>
    <n v="0"/>
    <n v="2"/>
    <n v="3"/>
    <n v="3"/>
    <n v="2"/>
    <x v="1"/>
    <n v="2"/>
    <n v="2"/>
    <n v="2"/>
    <x v="1"/>
    <n v="1"/>
  </r>
  <r>
    <n v="29"/>
    <x v="2"/>
    <x v="1"/>
    <x v="1"/>
    <n v="461"/>
    <x v="1"/>
    <n v="1"/>
    <n v="3"/>
    <s v="Life Sciences"/>
    <n v="1"/>
    <n v="1753"/>
    <n v="4"/>
    <x v="1"/>
    <n v="70"/>
    <n v="4"/>
    <n v="2"/>
    <x v="4"/>
    <n v="3"/>
    <s v="Single"/>
    <n v="6294"/>
    <n v="23060"/>
    <n v="8"/>
    <s v="Y"/>
    <x v="0"/>
    <n v="12"/>
    <n v="3"/>
    <n v="4"/>
    <n v="80"/>
    <n v="0"/>
    <n v="10"/>
    <n v="5"/>
    <n v="4"/>
    <n v="3"/>
    <x v="2"/>
    <n v="2"/>
    <n v="0"/>
    <n v="2"/>
    <x v="2"/>
    <n v="0"/>
  </r>
  <r>
    <n v="30"/>
    <x v="1"/>
    <x v="1"/>
    <x v="0"/>
    <n v="979"/>
    <x v="0"/>
    <n v="15"/>
    <n v="2"/>
    <s v="Marketing"/>
    <n v="1"/>
    <n v="1754"/>
    <n v="3"/>
    <x v="1"/>
    <n v="94"/>
    <n v="2"/>
    <n v="3"/>
    <x v="0"/>
    <n v="1"/>
    <s v="Divorced"/>
    <n v="7140"/>
    <n v="3088"/>
    <n v="2"/>
    <s v="Y"/>
    <x v="1"/>
    <n v="11"/>
    <n v="3"/>
    <n v="1"/>
    <n v="80"/>
    <n v="1"/>
    <n v="12"/>
    <n v="2"/>
    <n v="3"/>
    <n v="7"/>
    <x v="0"/>
    <n v="7"/>
    <n v="1"/>
    <n v="7"/>
    <x v="3"/>
    <n v="0"/>
  </r>
  <r>
    <n v="34"/>
    <x v="1"/>
    <x v="1"/>
    <x v="0"/>
    <n v="181"/>
    <x v="1"/>
    <n v="2"/>
    <n v="4"/>
    <s v="Medical"/>
    <n v="1"/>
    <n v="1755"/>
    <n v="4"/>
    <x v="1"/>
    <n v="97"/>
    <n v="4"/>
    <n v="1"/>
    <x v="1"/>
    <n v="4"/>
    <s v="Married"/>
    <n v="2932"/>
    <n v="5586"/>
    <n v="0"/>
    <s v="Y"/>
    <x v="0"/>
    <n v="14"/>
    <n v="3"/>
    <n v="1"/>
    <n v="80"/>
    <n v="3"/>
    <n v="6"/>
    <n v="3"/>
    <n v="3"/>
    <n v="5"/>
    <x v="2"/>
    <n v="0"/>
    <n v="1"/>
    <n v="2"/>
    <x v="0"/>
    <n v="0"/>
  </r>
  <r>
    <n v="33"/>
    <x v="1"/>
    <x v="1"/>
    <x v="2"/>
    <n v="1283"/>
    <x v="0"/>
    <n v="2"/>
    <n v="3"/>
    <s v="Marketing"/>
    <n v="1"/>
    <n v="1756"/>
    <n v="4"/>
    <x v="0"/>
    <n v="62"/>
    <n v="3"/>
    <n v="2"/>
    <x v="0"/>
    <n v="2"/>
    <s v="Single"/>
    <n v="5147"/>
    <n v="10697"/>
    <n v="8"/>
    <s v="Y"/>
    <x v="1"/>
    <n v="15"/>
    <n v="3"/>
    <n v="4"/>
    <n v="80"/>
    <n v="0"/>
    <n v="13"/>
    <n v="2"/>
    <n v="2"/>
    <n v="11"/>
    <x v="3"/>
    <n v="7"/>
    <n v="1"/>
    <n v="7"/>
    <x v="1"/>
    <n v="0"/>
  </r>
  <r>
    <n v="49"/>
    <x v="0"/>
    <x v="1"/>
    <x v="0"/>
    <n v="1313"/>
    <x v="0"/>
    <n v="11"/>
    <n v="4"/>
    <s v="Marketing"/>
    <n v="1"/>
    <n v="1757"/>
    <n v="4"/>
    <x v="0"/>
    <n v="80"/>
    <n v="3"/>
    <n v="2"/>
    <x v="0"/>
    <n v="4"/>
    <s v="Single"/>
    <n v="4507"/>
    <n v="8191"/>
    <n v="3"/>
    <s v="Y"/>
    <x v="1"/>
    <n v="12"/>
    <n v="3"/>
    <n v="3"/>
    <n v="80"/>
    <n v="0"/>
    <n v="8"/>
    <n v="1"/>
    <n v="4"/>
    <n v="5"/>
    <x v="2"/>
    <n v="1"/>
    <n v="0"/>
    <n v="4"/>
    <x v="0"/>
    <n v="0"/>
  </r>
  <r>
    <n v="33"/>
    <x v="1"/>
    <x v="0"/>
    <x v="0"/>
    <n v="211"/>
    <x v="0"/>
    <n v="16"/>
    <n v="3"/>
    <s v="Life Sciences"/>
    <n v="1"/>
    <n v="1758"/>
    <n v="1"/>
    <x v="0"/>
    <n v="74"/>
    <n v="3"/>
    <n v="3"/>
    <x v="0"/>
    <n v="1"/>
    <s v="Single"/>
    <n v="8564"/>
    <n v="10092"/>
    <n v="2"/>
    <s v="Y"/>
    <x v="0"/>
    <n v="20"/>
    <n v="4"/>
    <n v="3"/>
    <n v="80"/>
    <n v="0"/>
    <n v="11"/>
    <n v="2"/>
    <n v="2"/>
    <n v="0"/>
    <x v="1"/>
    <n v="0"/>
    <n v="0"/>
    <n v="0"/>
    <x v="3"/>
    <n v="1"/>
  </r>
  <r>
    <n v="38"/>
    <x v="1"/>
    <x v="1"/>
    <x v="1"/>
    <n v="594"/>
    <x v="1"/>
    <n v="2"/>
    <n v="2"/>
    <s v="Medical"/>
    <n v="1"/>
    <n v="1760"/>
    <n v="3"/>
    <x v="0"/>
    <n v="75"/>
    <n v="2"/>
    <n v="1"/>
    <x v="2"/>
    <n v="2"/>
    <s v="Married"/>
    <n v="2468"/>
    <n v="15963"/>
    <n v="4"/>
    <s v="Y"/>
    <x v="1"/>
    <n v="14"/>
    <n v="3"/>
    <n v="2"/>
    <n v="80"/>
    <n v="1"/>
    <n v="9"/>
    <n v="4"/>
    <n v="2"/>
    <n v="6"/>
    <x v="0"/>
    <n v="1"/>
    <n v="0"/>
    <n v="5"/>
    <x v="1"/>
    <n v="0"/>
  </r>
  <r>
    <n v="31"/>
    <x v="1"/>
    <x v="0"/>
    <x v="0"/>
    <n v="1079"/>
    <x v="0"/>
    <n v="16"/>
    <n v="4"/>
    <s v="Marketing"/>
    <n v="1"/>
    <n v="1761"/>
    <n v="1"/>
    <x v="1"/>
    <n v="70"/>
    <n v="3"/>
    <n v="3"/>
    <x v="0"/>
    <n v="3"/>
    <s v="Married"/>
    <n v="8161"/>
    <n v="19002"/>
    <n v="2"/>
    <s v="Y"/>
    <x v="1"/>
    <n v="13"/>
    <n v="3"/>
    <n v="1"/>
    <n v="80"/>
    <n v="3"/>
    <n v="10"/>
    <n v="2"/>
    <n v="3"/>
    <n v="1"/>
    <x v="1"/>
    <n v="0"/>
    <n v="0"/>
    <n v="0"/>
    <x v="2"/>
    <n v="1"/>
  </r>
  <r>
    <n v="29"/>
    <x v="2"/>
    <x v="1"/>
    <x v="0"/>
    <n v="590"/>
    <x v="1"/>
    <n v="4"/>
    <n v="3"/>
    <s v="Technical Degree"/>
    <n v="1"/>
    <n v="1762"/>
    <n v="4"/>
    <x v="0"/>
    <n v="91"/>
    <n v="2"/>
    <n v="1"/>
    <x v="1"/>
    <n v="1"/>
    <s v="Divorced"/>
    <n v="2109"/>
    <n v="10007"/>
    <n v="1"/>
    <s v="Y"/>
    <x v="1"/>
    <n v="13"/>
    <n v="3"/>
    <n v="3"/>
    <n v="80"/>
    <n v="1"/>
    <n v="1"/>
    <n v="2"/>
    <n v="3"/>
    <n v="1"/>
    <x v="1"/>
    <n v="0"/>
    <n v="0"/>
    <n v="0"/>
    <x v="3"/>
    <n v="0"/>
  </r>
  <r>
    <n v="30"/>
    <x v="1"/>
    <x v="1"/>
    <x v="0"/>
    <n v="305"/>
    <x v="1"/>
    <n v="16"/>
    <n v="3"/>
    <s v="Life Sciences"/>
    <n v="1"/>
    <n v="1763"/>
    <n v="3"/>
    <x v="1"/>
    <n v="58"/>
    <n v="4"/>
    <n v="2"/>
    <x v="4"/>
    <n v="3"/>
    <s v="Married"/>
    <n v="5294"/>
    <n v="9128"/>
    <n v="3"/>
    <s v="Y"/>
    <x v="1"/>
    <n v="16"/>
    <n v="3"/>
    <n v="3"/>
    <n v="80"/>
    <n v="1"/>
    <n v="10"/>
    <n v="3"/>
    <n v="3"/>
    <n v="7"/>
    <x v="0"/>
    <n v="0"/>
    <n v="1"/>
    <n v="7"/>
    <x v="2"/>
    <n v="0"/>
  </r>
  <r>
    <n v="32"/>
    <x v="1"/>
    <x v="1"/>
    <x v="2"/>
    <n v="953"/>
    <x v="1"/>
    <n v="5"/>
    <n v="4"/>
    <s v="Technical Degree"/>
    <n v="1"/>
    <n v="1764"/>
    <n v="2"/>
    <x v="1"/>
    <n v="65"/>
    <n v="3"/>
    <n v="1"/>
    <x v="1"/>
    <n v="2"/>
    <s v="Single"/>
    <n v="2718"/>
    <n v="17674"/>
    <n v="2"/>
    <s v="Y"/>
    <x v="1"/>
    <n v="14"/>
    <n v="3"/>
    <n v="2"/>
    <n v="80"/>
    <n v="0"/>
    <n v="12"/>
    <n v="3"/>
    <n v="3"/>
    <n v="7"/>
    <x v="0"/>
    <n v="7"/>
    <n v="0"/>
    <n v="7"/>
    <x v="1"/>
    <n v="0"/>
  </r>
  <r>
    <n v="38"/>
    <x v="1"/>
    <x v="1"/>
    <x v="0"/>
    <n v="833"/>
    <x v="1"/>
    <n v="18"/>
    <n v="3"/>
    <s v="Medical"/>
    <n v="1"/>
    <n v="1766"/>
    <n v="2"/>
    <x v="1"/>
    <n v="60"/>
    <n v="1"/>
    <n v="2"/>
    <x v="4"/>
    <n v="4"/>
    <s v="Married"/>
    <n v="5811"/>
    <n v="24539"/>
    <n v="3"/>
    <s v="Y"/>
    <x v="0"/>
    <n v="16"/>
    <n v="3"/>
    <n v="3"/>
    <n v="80"/>
    <n v="1"/>
    <n v="15"/>
    <n v="2"/>
    <n v="3"/>
    <n v="1"/>
    <x v="1"/>
    <n v="0"/>
    <n v="1"/>
    <n v="0"/>
    <x v="0"/>
    <n v="0"/>
  </r>
  <r>
    <n v="43"/>
    <x v="0"/>
    <x v="0"/>
    <x v="1"/>
    <n v="807"/>
    <x v="1"/>
    <n v="17"/>
    <n v="3"/>
    <s v="Technical Degree"/>
    <n v="1"/>
    <n v="1767"/>
    <n v="3"/>
    <x v="1"/>
    <n v="38"/>
    <n v="2"/>
    <n v="1"/>
    <x v="1"/>
    <n v="3"/>
    <s v="Married"/>
    <n v="2437"/>
    <n v="15587"/>
    <n v="9"/>
    <s v="Y"/>
    <x v="0"/>
    <n v="16"/>
    <n v="3"/>
    <n v="4"/>
    <n v="80"/>
    <n v="1"/>
    <n v="6"/>
    <n v="4"/>
    <n v="3"/>
    <n v="1"/>
    <x v="1"/>
    <n v="0"/>
    <n v="0"/>
    <n v="0"/>
    <x v="2"/>
    <n v="1"/>
  </r>
  <r>
    <n v="42"/>
    <x v="0"/>
    <x v="1"/>
    <x v="0"/>
    <n v="855"/>
    <x v="1"/>
    <n v="12"/>
    <n v="3"/>
    <s v="Medical"/>
    <n v="1"/>
    <n v="1768"/>
    <n v="2"/>
    <x v="1"/>
    <n v="57"/>
    <n v="3"/>
    <n v="1"/>
    <x v="2"/>
    <n v="2"/>
    <s v="Divorced"/>
    <n v="2766"/>
    <n v="8952"/>
    <n v="8"/>
    <s v="Y"/>
    <x v="1"/>
    <n v="22"/>
    <n v="4"/>
    <n v="2"/>
    <n v="80"/>
    <n v="3"/>
    <n v="7"/>
    <n v="6"/>
    <n v="2"/>
    <n v="5"/>
    <x v="2"/>
    <n v="3"/>
    <n v="0"/>
    <n v="4"/>
    <x v="1"/>
    <n v="0"/>
  </r>
  <r>
    <n v="55"/>
    <x v="3"/>
    <x v="1"/>
    <x v="0"/>
    <n v="478"/>
    <x v="1"/>
    <n v="2"/>
    <n v="3"/>
    <s v="Medical"/>
    <n v="1"/>
    <n v="1770"/>
    <n v="3"/>
    <x v="1"/>
    <n v="60"/>
    <n v="2"/>
    <n v="5"/>
    <x v="7"/>
    <n v="1"/>
    <s v="Married"/>
    <n v="19038"/>
    <n v="19805"/>
    <n v="8"/>
    <s v="Y"/>
    <x v="1"/>
    <n v="12"/>
    <n v="3"/>
    <n v="2"/>
    <n v="80"/>
    <n v="3"/>
    <n v="34"/>
    <n v="2"/>
    <n v="3"/>
    <n v="1"/>
    <x v="1"/>
    <n v="0"/>
    <n v="0"/>
    <n v="0"/>
    <x v="3"/>
    <n v="0"/>
  </r>
  <r>
    <n v="33"/>
    <x v="1"/>
    <x v="1"/>
    <x v="2"/>
    <n v="775"/>
    <x v="1"/>
    <n v="4"/>
    <n v="3"/>
    <s v="Technical Degree"/>
    <n v="1"/>
    <n v="1771"/>
    <n v="4"/>
    <x v="1"/>
    <n v="90"/>
    <n v="3"/>
    <n v="2"/>
    <x v="1"/>
    <n v="2"/>
    <s v="Divorced"/>
    <n v="3055"/>
    <n v="6194"/>
    <n v="5"/>
    <s v="Y"/>
    <x v="1"/>
    <n v="15"/>
    <n v="3"/>
    <n v="4"/>
    <n v="80"/>
    <n v="2"/>
    <n v="11"/>
    <n v="2"/>
    <n v="2"/>
    <n v="9"/>
    <x v="0"/>
    <n v="8"/>
    <n v="1"/>
    <n v="7"/>
    <x v="1"/>
    <n v="0"/>
  </r>
  <r>
    <n v="41"/>
    <x v="0"/>
    <x v="1"/>
    <x v="0"/>
    <n v="548"/>
    <x v="1"/>
    <n v="9"/>
    <n v="4"/>
    <s v="Life Sciences"/>
    <n v="1"/>
    <n v="1772"/>
    <n v="3"/>
    <x v="1"/>
    <n v="94"/>
    <n v="3"/>
    <n v="1"/>
    <x v="2"/>
    <n v="1"/>
    <s v="Divorced"/>
    <n v="2289"/>
    <n v="20520"/>
    <n v="1"/>
    <s v="Y"/>
    <x v="1"/>
    <n v="20"/>
    <n v="4"/>
    <n v="2"/>
    <n v="80"/>
    <n v="2"/>
    <n v="5"/>
    <n v="2"/>
    <n v="3"/>
    <n v="5"/>
    <x v="2"/>
    <n v="3"/>
    <n v="0"/>
    <n v="4"/>
    <x v="3"/>
    <n v="0"/>
  </r>
  <r>
    <n v="34"/>
    <x v="1"/>
    <x v="1"/>
    <x v="2"/>
    <n v="1375"/>
    <x v="0"/>
    <n v="10"/>
    <n v="3"/>
    <s v="Life Sciences"/>
    <n v="1"/>
    <n v="1774"/>
    <n v="4"/>
    <x v="1"/>
    <n v="87"/>
    <n v="3"/>
    <n v="2"/>
    <x v="0"/>
    <n v="3"/>
    <s v="Divorced"/>
    <n v="4001"/>
    <n v="12313"/>
    <n v="1"/>
    <s v="Y"/>
    <x v="0"/>
    <n v="14"/>
    <n v="3"/>
    <n v="3"/>
    <n v="80"/>
    <n v="1"/>
    <n v="15"/>
    <n v="3"/>
    <n v="3"/>
    <n v="15"/>
    <x v="3"/>
    <n v="14"/>
    <n v="0"/>
    <n v="7"/>
    <x v="2"/>
    <n v="0"/>
  </r>
  <r>
    <n v="53"/>
    <x v="3"/>
    <x v="1"/>
    <x v="2"/>
    <n v="661"/>
    <x v="1"/>
    <n v="1"/>
    <n v="4"/>
    <s v="Medical"/>
    <n v="1"/>
    <n v="1775"/>
    <n v="1"/>
    <x v="0"/>
    <n v="60"/>
    <n v="2"/>
    <n v="4"/>
    <x v="3"/>
    <n v="3"/>
    <s v="Married"/>
    <n v="12965"/>
    <n v="22308"/>
    <n v="4"/>
    <s v="Y"/>
    <x v="0"/>
    <n v="20"/>
    <n v="4"/>
    <n v="4"/>
    <n v="80"/>
    <n v="3"/>
    <n v="27"/>
    <n v="2"/>
    <n v="2"/>
    <n v="3"/>
    <x v="2"/>
    <n v="2"/>
    <n v="0"/>
    <n v="2"/>
    <x v="2"/>
    <n v="0"/>
  </r>
  <r>
    <n v="43"/>
    <x v="0"/>
    <x v="1"/>
    <x v="0"/>
    <n v="244"/>
    <x v="2"/>
    <n v="2"/>
    <n v="3"/>
    <s v="Life Sciences"/>
    <n v="1"/>
    <n v="1778"/>
    <n v="2"/>
    <x v="1"/>
    <n v="97"/>
    <n v="3"/>
    <n v="1"/>
    <x v="8"/>
    <n v="4"/>
    <s v="Single"/>
    <n v="3539"/>
    <n v="5033"/>
    <n v="0"/>
    <s v="Y"/>
    <x v="1"/>
    <n v="13"/>
    <n v="3"/>
    <n v="2"/>
    <n v="80"/>
    <n v="0"/>
    <n v="10"/>
    <n v="5"/>
    <n v="3"/>
    <n v="9"/>
    <x v="0"/>
    <n v="7"/>
    <n v="1"/>
    <n v="8"/>
    <x v="0"/>
    <n v="0"/>
  </r>
  <r>
    <n v="34"/>
    <x v="1"/>
    <x v="1"/>
    <x v="0"/>
    <n v="511"/>
    <x v="0"/>
    <n v="3"/>
    <n v="2"/>
    <s v="Life Sciences"/>
    <n v="1"/>
    <n v="1779"/>
    <n v="4"/>
    <x v="0"/>
    <n v="32"/>
    <n v="1"/>
    <n v="2"/>
    <x v="0"/>
    <n v="4"/>
    <s v="Single"/>
    <n v="6029"/>
    <n v="25353"/>
    <n v="5"/>
    <s v="Y"/>
    <x v="1"/>
    <n v="12"/>
    <n v="3"/>
    <n v="1"/>
    <n v="80"/>
    <n v="0"/>
    <n v="6"/>
    <n v="3"/>
    <n v="3"/>
    <n v="2"/>
    <x v="1"/>
    <n v="2"/>
    <n v="2"/>
    <n v="2"/>
    <x v="0"/>
    <n v="0"/>
  </r>
  <r>
    <n v="21"/>
    <x v="2"/>
    <x v="0"/>
    <x v="0"/>
    <n v="337"/>
    <x v="0"/>
    <n v="7"/>
    <n v="1"/>
    <s v="Marketing"/>
    <n v="1"/>
    <n v="1780"/>
    <n v="2"/>
    <x v="1"/>
    <n v="31"/>
    <n v="3"/>
    <n v="1"/>
    <x v="6"/>
    <n v="2"/>
    <s v="Single"/>
    <n v="2679"/>
    <n v="4567"/>
    <n v="1"/>
    <s v="Y"/>
    <x v="1"/>
    <n v="13"/>
    <n v="3"/>
    <n v="2"/>
    <n v="80"/>
    <n v="0"/>
    <n v="1"/>
    <n v="3"/>
    <n v="3"/>
    <n v="1"/>
    <x v="1"/>
    <n v="0"/>
    <n v="1"/>
    <n v="0"/>
    <x v="1"/>
    <n v="1"/>
  </r>
  <r>
    <n v="38"/>
    <x v="1"/>
    <x v="1"/>
    <x v="0"/>
    <n v="1153"/>
    <x v="1"/>
    <n v="6"/>
    <n v="2"/>
    <s v="Other"/>
    <n v="1"/>
    <n v="1782"/>
    <n v="4"/>
    <x v="0"/>
    <n v="40"/>
    <n v="2"/>
    <n v="1"/>
    <x v="2"/>
    <n v="3"/>
    <s v="Married"/>
    <n v="3702"/>
    <n v="16376"/>
    <n v="1"/>
    <s v="Y"/>
    <x v="1"/>
    <n v="11"/>
    <n v="3"/>
    <n v="2"/>
    <n v="80"/>
    <n v="1"/>
    <n v="5"/>
    <n v="3"/>
    <n v="3"/>
    <n v="5"/>
    <x v="2"/>
    <n v="4"/>
    <n v="0"/>
    <n v="4"/>
    <x v="2"/>
    <n v="0"/>
  </r>
  <r>
    <n v="22"/>
    <x v="2"/>
    <x v="0"/>
    <x v="0"/>
    <n v="1294"/>
    <x v="1"/>
    <n v="8"/>
    <n v="1"/>
    <s v="Medical"/>
    <n v="1"/>
    <n v="1783"/>
    <n v="3"/>
    <x v="0"/>
    <n v="79"/>
    <n v="3"/>
    <n v="1"/>
    <x v="2"/>
    <n v="1"/>
    <s v="Married"/>
    <n v="2398"/>
    <n v="15999"/>
    <n v="1"/>
    <s v="Y"/>
    <x v="0"/>
    <n v="17"/>
    <n v="3"/>
    <n v="3"/>
    <n v="80"/>
    <n v="0"/>
    <n v="1"/>
    <n v="6"/>
    <n v="3"/>
    <n v="1"/>
    <x v="1"/>
    <n v="0"/>
    <n v="0"/>
    <n v="0"/>
    <x v="3"/>
    <n v="1"/>
  </r>
  <r>
    <n v="31"/>
    <x v="1"/>
    <x v="1"/>
    <x v="0"/>
    <n v="196"/>
    <x v="0"/>
    <n v="29"/>
    <n v="4"/>
    <s v="Marketing"/>
    <n v="1"/>
    <n v="1784"/>
    <n v="1"/>
    <x v="0"/>
    <n v="91"/>
    <n v="2"/>
    <n v="2"/>
    <x v="0"/>
    <n v="4"/>
    <s v="Married"/>
    <n v="5468"/>
    <n v="13402"/>
    <n v="1"/>
    <s v="Y"/>
    <x v="1"/>
    <n v="14"/>
    <n v="3"/>
    <n v="1"/>
    <n v="80"/>
    <n v="2"/>
    <n v="13"/>
    <n v="3"/>
    <n v="3"/>
    <n v="12"/>
    <x v="3"/>
    <n v="7"/>
    <n v="5"/>
    <n v="7"/>
    <x v="0"/>
    <n v="0"/>
  </r>
  <r>
    <n v="51"/>
    <x v="3"/>
    <x v="1"/>
    <x v="0"/>
    <n v="942"/>
    <x v="1"/>
    <n v="3"/>
    <n v="3"/>
    <s v="Technical Degree"/>
    <n v="1"/>
    <n v="1786"/>
    <n v="1"/>
    <x v="0"/>
    <n v="53"/>
    <n v="3"/>
    <n v="3"/>
    <x v="5"/>
    <n v="3"/>
    <s v="Married"/>
    <n v="13116"/>
    <n v="22984"/>
    <n v="2"/>
    <s v="Y"/>
    <x v="1"/>
    <n v="11"/>
    <n v="3"/>
    <n v="4"/>
    <n v="80"/>
    <n v="0"/>
    <n v="15"/>
    <n v="2"/>
    <n v="3"/>
    <n v="2"/>
    <x v="1"/>
    <n v="2"/>
    <n v="2"/>
    <n v="2"/>
    <x v="2"/>
    <n v="0"/>
  </r>
  <r>
    <n v="37"/>
    <x v="1"/>
    <x v="1"/>
    <x v="0"/>
    <n v="589"/>
    <x v="0"/>
    <n v="9"/>
    <n v="2"/>
    <s v="Marketing"/>
    <n v="1"/>
    <n v="1787"/>
    <n v="2"/>
    <x v="1"/>
    <n v="46"/>
    <n v="2"/>
    <n v="2"/>
    <x v="0"/>
    <n v="2"/>
    <s v="Married"/>
    <n v="4189"/>
    <n v="8800"/>
    <n v="1"/>
    <s v="Y"/>
    <x v="1"/>
    <n v="14"/>
    <n v="3"/>
    <n v="1"/>
    <n v="80"/>
    <n v="2"/>
    <n v="5"/>
    <n v="2"/>
    <n v="3"/>
    <n v="5"/>
    <x v="2"/>
    <n v="2"/>
    <n v="0"/>
    <n v="3"/>
    <x v="1"/>
    <n v="0"/>
  </r>
  <r>
    <n v="46"/>
    <x v="0"/>
    <x v="1"/>
    <x v="0"/>
    <n v="734"/>
    <x v="1"/>
    <n v="2"/>
    <n v="4"/>
    <s v="Medical"/>
    <n v="1"/>
    <n v="1789"/>
    <n v="3"/>
    <x v="1"/>
    <n v="46"/>
    <n v="3"/>
    <n v="5"/>
    <x v="7"/>
    <n v="4"/>
    <s v="Divorced"/>
    <n v="19328"/>
    <n v="14218"/>
    <n v="7"/>
    <s v="Y"/>
    <x v="0"/>
    <n v="17"/>
    <n v="3"/>
    <n v="3"/>
    <n v="80"/>
    <n v="1"/>
    <n v="24"/>
    <n v="3"/>
    <n v="3"/>
    <n v="2"/>
    <x v="1"/>
    <n v="1"/>
    <n v="2"/>
    <n v="2"/>
    <x v="0"/>
    <n v="0"/>
  </r>
  <r>
    <n v="36"/>
    <x v="1"/>
    <x v="1"/>
    <x v="0"/>
    <n v="1383"/>
    <x v="1"/>
    <n v="10"/>
    <n v="3"/>
    <s v="Life Sciences"/>
    <n v="1"/>
    <n v="1790"/>
    <n v="4"/>
    <x v="1"/>
    <n v="90"/>
    <n v="3"/>
    <n v="3"/>
    <x v="4"/>
    <n v="1"/>
    <s v="Married"/>
    <n v="8321"/>
    <n v="25949"/>
    <n v="7"/>
    <s v="Y"/>
    <x v="0"/>
    <n v="13"/>
    <n v="3"/>
    <n v="4"/>
    <n v="80"/>
    <n v="1"/>
    <n v="15"/>
    <n v="1"/>
    <n v="3"/>
    <n v="12"/>
    <x v="3"/>
    <n v="8"/>
    <n v="5"/>
    <n v="7"/>
    <x v="3"/>
    <n v="0"/>
  </r>
  <r>
    <n v="44"/>
    <x v="0"/>
    <x v="0"/>
    <x v="1"/>
    <n v="429"/>
    <x v="1"/>
    <n v="1"/>
    <n v="2"/>
    <s v="Medical"/>
    <n v="1"/>
    <n v="1792"/>
    <n v="3"/>
    <x v="1"/>
    <n v="99"/>
    <n v="3"/>
    <n v="1"/>
    <x v="1"/>
    <n v="2"/>
    <s v="Divorced"/>
    <n v="2342"/>
    <n v="11092"/>
    <n v="1"/>
    <s v="Y"/>
    <x v="0"/>
    <n v="12"/>
    <n v="3"/>
    <n v="3"/>
    <n v="80"/>
    <n v="3"/>
    <n v="6"/>
    <n v="2"/>
    <n v="2"/>
    <n v="5"/>
    <x v="2"/>
    <n v="3"/>
    <n v="2"/>
    <n v="3"/>
    <x v="1"/>
    <n v="1"/>
  </r>
  <r>
    <n v="37"/>
    <x v="1"/>
    <x v="1"/>
    <x v="0"/>
    <n v="1239"/>
    <x v="2"/>
    <n v="8"/>
    <n v="2"/>
    <s v="Other"/>
    <n v="1"/>
    <n v="1794"/>
    <n v="3"/>
    <x v="1"/>
    <n v="89"/>
    <n v="3"/>
    <n v="2"/>
    <x v="8"/>
    <n v="2"/>
    <s v="Divorced"/>
    <n v="4071"/>
    <n v="12832"/>
    <n v="2"/>
    <s v="Y"/>
    <x v="1"/>
    <n v="13"/>
    <n v="3"/>
    <n v="3"/>
    <n v="80"/>
    <n v="0"/>
    <n v="19"/>
    <n v="4"/>
    <n v="2"/>
    <n v="10"/>
    <x v="0"/>
    <n v="0"/>
    <n v="4"/>
    <n v="7"/>
    <x v="1"/>
    <n v="0"/>
  </r>
  <r>
    <n v="35"/>
    <x v="1"/>
    <x v="0"/>
    <x v="0"/>
    <n v="303"/>
    <x v="0"/>
    <n v="27"/>
    <n v="3"/>
    <s v="Life Sciences"/>
    <n v="1"/>
    <n v="1797"/>
    <n v="3"/>
    <x v="1"/>
    <n v="84"/>
    <n v="3"/>
    <n v="2"/>
    <x v="0"/>
    <n v="4"/>
    <s v="Single"/>
    <n v="5813"/>
    <n v="13492"/>
    <n v="1"/>
    <s v="Y"/>
    <x v="0"/>
    <n v="18"/>
    <n v="3"/>
    <n v="4"/>
    <n v="80"/>
    <n v="0"/>
    <n v="10"/>
    <n v="2"/>
    <n v="3"/>
    <n v="10"/>
    <x v="0"/>
    <n v="7"/>
    <n v="7"/>
    <n v="7"/>
    <x v="0"/>
    <n v="1"/>
  </r>
  <r>
    <n v="33"/>
    <x v="1"/>
    <x v="1"/>
    <x v="0"/>
    <n v="867"/>
    <x v="1"/>
    <n v="8"/>
    <n v="4"/>
    <s v="Life Sciences"/>
    <n v="1"/>
    <n v="1798"/>
    <n v="4"/>
    <x v="1"/>
    <n v="90"/>
    <n v="4"/>
    <n v="1"/>
    <x v="1"/>
    <n v="1"/>
    <s v="Married"/>
    <n v="3143"/>
    <n v="6076"/>
    <n v="6"/>
    <s v="Y"/>
    <x v="1"/>
    <n v="19"/>
    <n v="3"/>
    <n v="2"/>
    <n v="80"/>
    <n v="1"/>
    <n v="14"/>
    <n v="1"/>
    <n v="3"/>
    <n v="10"/>
    <x v="0"/>
    <n v="8"/>
    <n v="7"/>
    <n v="6"/>
    <x v="3"/>
    <n v="0"/>
  </r>
  <r>
    <n v="28"/>
    <x v="2"/>
    <x v="1"/>
    <x v="0"/>
    <n v="1181"/>
    <x v="1"/>
    <n v="1"/>
    <n v="3"/>
    <s v="Life Sciences"/>
    <n v="1"/>
    <n v="1799"/>
    <n v="3"/>
    <x v="1"/>
    <n v="82"/>
    <n v="3"/>
    <n v="1"/>
    <x v="1"/>
    <n v="4"/>
    <s v="Married"/>
    <n v="2044"/>
    <n v="5531"/>
    <n v="1"/>
    <s v="Y"/>
    <x v="1"/>
    <n v="11"/>
    <n v="3"/>
    <n v="3"/>
    <n v="80"/>
    <n v="1"/>
    <n v="5"/>
    <n v="6"/>
    <n v="4"/>
    <n v="5"/>
    <x v="2"/>
    <n v="3"/>
    <n v="0"/>
    <n v="3"/>
    <x v="0"/>
    <n v="0"/>
  </r>
  <r>
    <n v="39"/>
    <x v="1"/>
    <x v="1"/>
    <x v="0"/>
    <n v="1253"/>
    <x v="1"/>
    <n v="10"/>
    <n v="1"/>
    <s v="Medical"/>
    <n v="1"/>
    <n v="1800"/>
    <n v="3"/>
    <x v="1"/>
    <n v="65"/>
    <n v="3"/>
    <n v="3"/>
    <x v="7"/>
    <n v="3"/>
    <s v="Single"/>
    <n v="13464"/>
    <n v="7914"/>
    <n v="7"/>
    <s v="Y"/>
    <x v="1"/>
    <n v="21"/>
    <n v="4"/>
    <n v="3"/>
    <n v="80"/>
    <n v="0"/>
    <n v="9"/>
    <n v="3"/>
    <n v="3"/>
    <n v="4"/>
    <x v="2"/>
    <n v="3"/>
    <n v="2"/>
    <n v="2"/>
    <x v="2"/>
    <n v="0"/>
  </r>
  <r>
    <n v="46"/>
    <x v="0"/>
    <x v="1"/>
    <x v="2"/>
    <n v="849"/>
    <x v="0"/>
    <n v="26"/>
    <n v="2"/>
    <s v="Life Sciences"/>
    <n v="1"/>
    <n v="1801"/>
    <n v="2"/>
    <x v="1"/>
    <n v="98"/>
    <n v="2"/>
    <n v="2"/>
    <x v="0"/>
    <n v="2"/>
    <s v="Single"/>
    <n v="7991"/>
    <n v="25166"/>
    <n v="8"/>
    <s v="Y"/>
    <x v="1"/>
    <n v="15"/>
    <n v="3"/>
    <n v="3"/>
    <n v="80"/>
    <n v="0"/>
    <n v="6"/>
    <n v="3"/>
    <n v="3"/>
    <n v="2"/>
    <x v="1"/>
    <n v="2"/>
    <n v="2"/>
    <n v="2"/>
    <x v="1"/>
    <n v="0"/>
  </r>
  <r>
    <n v="40"/>
    <x v="1"/>
    <x v="1"/>
    <x v="0"/>
    <n v="616"/>
    <x v="1"/>
    <n v="2"/>
    <n v="2"/>
    <s v="Life Sciences"/>
    <n v="1"/>
    <n v="1802"/>
    <n v="3"/>
    <x v="0"/>
    <n v="99"/>
    <n v="3"/>
    <n v="1"/>
    <x v="2"/>
    <n v="1"/>
    <s v="Married"/>
    <n v="3377"/>
    <n v="25605"/>
    <n v="4"/>
    <s v="Y"/>
    <x v="1"/>
    <n v="17"/>
    <n v="3"/>
    <n v="4"/>
    <n v="80"/>
    <n v="1"/>
    <n v="7"/>
    <n v="5"/>
    <n v="2"/>
    <n v="4"/>
    <x v="2"/>
    <n v="3"/>
    <n v="0"/>
    <n v="2"/>
    <x v="3"/>
    <n v="0"/>
  </r>
  <r>
    <n v="42"/>
    <x v="0"/>
    <x v="1"/>
    <x v="0"/>
    <n v="1128"/>
    <x v="1"/>
    <n v="13"/>
    <n v="3"/>
    <s v="Medical"/>
    <n v="1"/>
    <n v="1803"/>
    <n v="2"/>
    <x v="1"/>
    <n v="95"/>
    <n v="4"/>
    <n v="2"/>
    <x v="4"/>
    <n v="1"/>
    <s v="Married"/>
    <n v="5538"/>
    <n v="5696"/>
    <n v="5"/>
    <s v="Y"/>
    <x v="1"/>
    <n v="18"/>
    <n v="3"/>
    <n v="3"/>
    <n v="80"/>
    <n v="2"/>
    <n v="10"/>
    <n v="2"/>
    <n v="2"/>
    <n v="0"/>
    <x v="1"/>
    <n v="0"/>
    <n v="0"/>
    <n v="0"/>
    <x v="3"/>
    <n v="0"/>
  </r>
  <r>
    <n v="35"/>
    <x v="1"/>
    <x v="1"/>
    <x v="2"/>
    <n v="1180"/>
    <x v="1"/>
    <n v="2"/>
    <n v="2"/>
    <s v="Medical"/>
    <n v="1"/>
    <n v="1804"/>
    <n v="2"/>
    <x v="1"/>
    <n v="90"/>
    <n v="3"/>
    <n v="2"/>
    <x v="3"/>
    <n v="4"/>
    <s v="Divorced"/>
    <n v="5762"/>
    <n v="24442"/>
    <n v="2"/>
    <s v="Y"/>
    <x v="1"/>
    <n v="14"/>
    <n v="3"/>
    <n v="3"/>
    <n v="80"/>
    <n v="1"/>
    <n v="15"/>
    <n v="6"/>
    <n v="3"/>
    <n v="7"/>
    <x v="0"/>
    <n v="7"/>
    <n v="1"/>
    <n v="7"/>
    <x v="0"/>
    <n v="0"/>
  </r>
  <r>
    <n v="38"/>
    <x v="1"/>
    <x v="1"/>
    <x v="2"/>
    <n v="1336"/>
    <x v="2"/>
    <n v="2"/>
    <n v="3"/>
    <s v="Human Resources"/>
    <n v="1"/>
    <n v="1805"/>
    <n v="1"/>
    <x v="1"/>
    <n v="100"/>
    <n v="3"/>
    <n v="1"/>
    <x v="8"/>
    <n v="2"/>
    <s v="Divorced"/>
    <n v="2592"/>
    <n v="7129"/>
    <n v="5"/>
    <s v="Y"/>
    <x v="1"/>
    <n v="13"/>
    <n v="3"/>
    <n v="4"/>
    <n v="80"/>
    <n v="3"/>
    <n v="13"/>
    <n v="3"/>
    <n v="3"/>
    <n v="11"/>
    <x v="3"/>
    <n v="10"/>
    <n v="3"/>
    <n v="8"/>
    <x v="1"/>
    <n v="0"/>
  </r>
  <r>
    <n v="34"/>
    <x v="1"/>
    <x v="0"/>
    <x v="1"/>
    <n v="234"/>
    <x v="1"/>
    <n v="9"/>
    <n v="4"/>
    <s v="Life Sciences"/>
    <n v="1"/>
    <n v="1807"/>
    <n v="4"/>
    <x v="1"/>
    <n v="93"/>
    <n v="3"/>
    <n v="2"/>
    <x v="2"/>
    <n v="1"/>
    <s v="Married"/>
    <n v="5346"/>
    <n v="6208"/>
    <n v="4"/>
    <s v="Y"/>
    <x v="1"/>
    <n v="17"/>
    <n v="3"/>
    <n v="3"/>
    <n v="80"/>
    <n v="1"/>
    <n v="11"/>
    <n v="3"/>
    <n v="2"/>
    <n v="7"/>
    <x v="0"/>
    <n v="1"/>
    <n v="0"/>
    <n v="7"/>
    <x v="3"/>
    <n v="1"/>
  </r>
  <r>
    <n v="37"/>
    <x v="1"/>
    <x v="0"/>
    <x v="0"/>
    <n v="370"/>
    <x v="1"/>
    <n v="10"/>
    <n v="4"/>
    <s v="Medical"/>
    <n v="1"/>
    <n v="1809"/>
    <n v="4"/>
    <x v="1"/>
    <n v="58"/>
    <n v="3"/>
    <n v="2"/>
    <x v="3"/>
    <n v="1"/>
    <s v="Single"/>
    <n v="4213"/>
    <n v="4992"/>
    <n v="1"/>
    <s v="Y"/>
    <x v="1"/>
    <n v="15"/>
    <n v="3"/>
    <n v="2"/>
    <n v="80"/>
    <n v="0"/>
    <n v="10"/>
    <n v="4"/>
    <n v="1"/>
    <n v="10"/>
    <x v="0"/>
    <n v="3"/>
    <n v="0"/>
    <n v="8"/>
    <x v="3"/>
    <n v="1"/>
  </r>
  <r>
    <n v="39"/>
    <x v="1"/>
    <x v="1"/>
    <x v="1"/>
    <n v="766"/>
    <x v="0"/>
    <n v="20"/>
    <n v="3"/>
    <s v="Life Sciences"/>
    <n v="1"/>
    <n v="1812"/>
    <n v="3"/>
    <x v="1"/>
    <n v="83"/>
    <n v="3"/>
    <n v="2"/>
    <x v="0"/>
    <n v="4"/>
    <s v="Divorced"/>
    <n v="4127"/>
    <n v="19188"/>
    <n v="2"/>
    <s v="Y"/>
    <x v="1"/>
    <n v="18"/>
    <n v="3"/>
    <n v="4"/>
    <n v="80"/>
    <n v="1"/>
    <n v="7"/>
    <n v="6"/>
    <n v="3"/>
    <n v="2"/>
    <x v="1"/>
    <n v="1"/>
    <n v="2"/>
    <n v="2"/>
    <x v="0"/>
    <n v="0"/>
  </r>
  <r>
    <n v="43"/>
    <x v="0"/>
    <x v="1"/>
    <x v="2"/>
    <n v="343"/>
    <x v="1"/>
    <n v="9"/>
    <n v="3"/>
    <s v="Life Sciences"/>
    <n v="1"/>
    <n v="1813"/>
    <n v="1"/>
    <x v="1"/>
    <n v="52"/>
    <n v="3"/>
    <n v="1"/>
    <x v="1"/>
    <n v="3"/>
    <s v="Single"/>
    <n v="2438"/>
    <n v="24978"/>
    <n v="4"/>
    <s v="Y"/>
    <x v="1"/>
    <n v="13"/>
    <n v="3"/>
    <n v="3"/>
    <n v="80"/>
    <n v="0"/>
    <n v="7"/>
    <n v="2"/>
    <n v="2"/>
    <n v="3"/>
    <x v="2"/>
    <n v="2"/>
    <n v="1"/>
    <n v="2"/>
    <x v="2"/>
    <n v="0"/>
  </r>
  <r>
    <n v="41"/>
    <x v="0"/>
    <x v="1"/>
    <x v="0"/>
    <n v="447"/>
    <x v="1"/>
    <n v="5"/>
    <n v="3"/>
    <s v="Life Sciences"/>
    <n v="1"/>
    <n v="1814"/>
    <n v="2"/>
    <x v="1"/>
    <n v="85"/>
    <n v="4"/>
    <n v="2"/>
    <x v="4"/>
    <n v="2"/>
    <s v="Single"/>
    <n v="6870"/>
    <n v="15530"/>
    <n v="3"/>
    <s v="Y"/>
    <x v="1"/>
    <n v="12"/>
    <n v="3"/>
    <n v="1"/>
    <n v="80"/>
    <n v="0"/>
    <n v="11"/>
    <n v="3"/>
    <n v="1"/>
    <n v="3"/>
    <x v="2"/>
    <n v="2"/>
    <n v="1"/>
    <n v="2"/>
    <x v="1"/>
    <n v="0"/>
  </r>
  <r>
    <n v="41"/>
    <x v="0"/>
    <x v="1"/>
    <x v="0"/>
    <n v="796"/>
    <x v="0"/>
    <n v="4"/>
    <n v="1"/>
    <s v="Marketing"/>
    <n v="1"/>
    <n v="1815"/>
    <n v="3"/>
    <x v="0"/>
    <n v="81"/>
    <n v="3"/>
    <n v="3"/>
    <x v="0"/>
    <n v="3"/>
    <s v="Divorced"/>
    <n v="10447"/>
    <n v="26458"/>
    <n v="0"/>
    <s v="Y"/>
    <x v="0"/>
    <n v="13"/>
    <n v="3"/>
    <n v="4"/>
    <n v="80"/>
    <n v="1"/>
    <n v="23"/>
    <n v="3"/>
    <n v="4"/>
    <n v="22"/>
    <x v="3"/>
    <n v="14"/>
    <n v="13"/>
    <n v="5"/>
    <x v="2"/>
    <n v="0"/>
  </r>
  <r>
    <n v="30"/>
    <x v="1"/>
    <x v="1"/>
    <x v="0"/>
    <n v="1092"/>
    <x v="1"/>
    <n v="10"/>
    <n v="3"/>
    <s v="Medical"/>
    <n v="1"/>
    <n v="1816"/>
    <n v="1"/>
    <x v="0"/>
    <n v="64"/>
    <n v="3"/>
    <n v="3"/>
    <x v="3"/>
    <n v="3"/>
    <s v="Single"/>
    <n v="9667"/>
    <n v="2739"/>
    <n v="9"/>
    <s v="Y"/>
    <x v="1"/>
    <n v="14"/>
    <n v="3"/>
    <n v="2"/>
    <n v="80"/>
    <n v="0"/>
    <n v="9"/>
    <n v="3"/>
    <n v="3"/>
    <n v="7"/>
    <x v="0"/>
    <n v="7"/>
    <n v="0"/>
    <n v="2"/>
    <x v="2"/>
    <n v="0"/>
  </r>
  <r>
    <n v="26"/>
    <x v="2"/>
    <x v="0"/>
    <x v="0"/>
    <n v="920"/>
    <x v="2"/>
    <n v="20"/>
    <n v="2"/>
    <s v="Medical"/>
    <n v="1"/>
    <n v="1818"/>
    <n v="4"/>
    <x v="0"/>
    <n v="69"/>
    <n v="3"/>
    <n v="1"/>
    <x v="8"/>
    <n v="2"/>
    <s v="Married"/>
    <n v="2148"/>
    <n v="6889"/>
    <n v="0"/>
    <s v="Y"/>
    <x v="0"/>
    <n v="11"/>
    <n v="3"/>
    <n v="3"/>
    <n v="80"/>
    <n v="0"/>
    <n v="6"/>
    <n v="3"/>
    <n v="3"/>
    <n v="5"/>
    <x v="2"/>
    <n v="1"/>
    <n v="1"/>
    <n v="4"/>
    <x v="1"/>
    <n v="1"/>
  </r>
  <r>
    <n v="46"/>
    <x v="0"/>
    <x v="0"/>
    <x v="0"/>
    <n v="261"/>
    <x v="1"/>
    <n v="21"/>
    <n v="2"/>
    <s v="Medical"/>
    <n v="1"/>
    <n v="1821"/>
    <n v="4"/>
    <x v="0"/>
    <n v="66"/>
    <n v="3"/>
    <n v="2"/>
    <x v="4"/>
    <n v="2"/>
    <s v="Married"/>
    <n v="8926"/>
    <n v="10842"/>
    <n v="4"/>
    <s v="Y"/>
    <x v="1"/>
    <n v="22"/>
    <n v="4"/>
    <n v="4"/>
    <n v="80"/>
    <n v="1"/>
    <n v="13"/>
    <n v="2"/>
    <n v="4"/>
    <n v="9"/>
    <x v="0"/>
    <n v="7"/>
    <n v="3"/>
    <n v="7"/>
    <x v="1"/>
    <n v="1"/>
  </r>
  <r>
    <n v="40"/>
    <x v="1"/>
    <x v="1"/>
    <x v="0"/>
    <n v="1194"/>
    <x v="1"/>
    <n v="1"/>
    <n v="3"/>
    <s v="Life Sciences"/>
    <n v="1"/>
    <n v="1822"/>
    <n v="3"/>
    <x v="0"/>
    <n v="52"/>
    <n v="3"/>
    <n v="2"/>
    <x v="4"/>
    <n v="4"/>
    <s v="Divorced"/>
    <n v="6513"/>
    <n v="9060"/>
    <n v="4"/>
    <s v="Y"/>
    <x v="1"/>
    <n v="17"/>
    <n v="3"/>
    <n v="4"/>
    <n v="80"/>
    <n v="1"/>
    <n v="12"/>
    <n v="3"/>
    <n v="3"/>
    <n v="5"/>
    <x v="2"/>
    <n v="3"/>
    <n v="0"/>
    <n v="3"/>
    <x v="0"/>
    <n v="0"/>
  </r>
  <r>
    <n v="34"/>
    <x v="1"/>
    <x v="1"/>
    <x v="0"/>
    <n v="810"/>
    <x v="0"/>
    <n v="8"/>
    <n v="2"/>
    <s v="Technical Degree"/>
    <n v="1"/>
    <n v="1823"/>
    <n v="2"/>
    <x v="1"/>
    <n v="92"/>
    <n v="4"/>
    <n v="2"/>
    <x v="0"/>
    <n v="3"/>
    <s v="Married"/>
    <n v="6799"/>
    <n v="22128"/>
    <n v="1"/>
    <s v="Y"/>
    <x v="1"/>
    <n v="21"/>
    <n v="4"/>
    <n v="3"/>
    <n v="80"/>
    <n v="2"/>
    <n v="10"/>
    <n v="5"/>
    <n v="3"/>
    <n v="10"/>
    <x v="0"/>
    <n v="8"/>
    <n v="4"/>
    <n v="8"/>
    <x v="2"/>
    <n v="0"/>
  </r>
  <r>
    <n v="58"/>
    <x v="3"/>
    <x v="1"/>
    <x v="2"/>
    <n v="350"/>
    <x v="0"/>
    <n v="2"/>
    <n v="3"/>
    <s v="Medical"/>
    <n v="1"/>
    <n v="1824"/>
    <n v="2"/>
    <x v="1"/>
    <n v="52"/>
    <n v="3"/>
    <n v="4"/>
    <x v="5"/>
    <n v="2"/>
    <s v="Divorced"/>
    <n v="16291"/>
    <n v="22577"/>
    <n v="4"/>
    <s v="Y"/>
    <x v="1"/>
    <n v="22"/>
    <n v="4"/>
    <n v="4"/>
    <n v="80"/>
    <n v="1"/>
    <n v="37"/>
    <n v="0"/>
    <n v="2"/>
    <n v="16"/>
    <x v="3"/>
    <n v="9"/>
    <n v="14"/>
    <n v="14"/>
    <x v="1"/>
    <n v="0"/>
  </r>
  <r>
    <n v="35"/>
    <x v="1"/>
    <x v="1"/>
    <x v="0"/>
    <n v="185"/>
    <x v="1"/>
    <n v="23"/>
    <n v="4"/>
    <s v="Medical"/>
    <n v="1"/>
    <n v="1826"/>
    <n v="2"/>
    <x v="1"/>
    <n v="91"/>
    <n v="1"/>
    <n v="1"/>
    <x v="2"/>
    <n v="3"/>
    <s v="Married"/>
    <n v="2705"/>
    <n v="9696"/>
    <n v="0"/>
    <s v="Y"/>
    <x v="1"/>
    <n v="16"/>
    <n v="3"/>
    <n v="2"/>
    <n v="80"/>
    <n v="1"/>
    <n v="6"/>
    <n v="2"/>
    <n v="4"/>
    <n v="5"/>
    <x v="2"/>
    <n v="4"/>
    <n v="0"/>
    <n v="3"/>
    <x v="2"/>
    <n v="0"/>
  </r>
  <r>
    <n v="47"/>
    <x v="0"/>
    <x v="1"/>
    <x v="0"/>
    <n v="1001"/>
    <x v="1"/>
    <n v="4"/>
    <n v="3"/>
    <s v="Life Sciences"/>
    <n v="1"/>
    <n v="1827"/>
    <n v="3"/>
    <x v="0"/>
    <n v="92"/>
    <n v="2"/>
    <n v="3"/>
    <x v="3"/>
    <n v="2"/>
    <s v="Divorced"/>
    <n v="10333"/>
    <n v="19271"/>
    <n v="8"/>
    <s v="Y"/>
    <x v="0"/>
    <n v="12"/>
    <n v="3"/>
    <n v="3"/>
    <n v="80"/>
    <n v="1"/>
    <n v="28"/>
    <n v="4"/>
    <n v="3"/>
    <n v="22"/>
    <x v="3"/>
    <n v="11"/>
    <n v="14"/>
    <n v="10"/>
    <x v="1"/>
    <n v="0"/>
  </r>
  <r>
    <n v="40"/>
    <x v="1"/>
    <x v="1"/>
    <x v="0"/>
    <n v="750"/>
    <x v="1"/>
    <n v="12"/>
    <n v="3"/>
    <s v="Life Sciences"/>
    <n v="1"/>
    <n v="1829"/>
    <n v="2"/>
    <x v="0"/>
    <n v="47"/>
    <n v="3"/>
    <n v="2"/>
    <x v="4"/>
    <n v="1"/>
    <s v="Divorced"/>
    <n v="4448"/>
    <n v="10748"/>
    <n v="2"/>
    <s v="Y"/>
    <x v="1"/>
    <n v="12"/>
    <n v="3"/>
    <n v="2"/>
    <n v="80"/>
    <n v="1"/>
    <n v="15"/>
    <n v="3"/>
    <n v="3"/>
    <n v="7"/>
    <x v="0"/>
    <n v="4"/>
    <n v="7"/>
    <n v="7"/>
    <x v="3"/>
    <n v="0"/>
  </r>
  <r>
    <n v="54"/>
    <x v="3"/>
    <x v="1"/>
    <x v="0"/>
    <n v="431"/>
    <x v="1"/>
    <n v="7"/>
    <n v="4"/>
    <s v="Medical"/>
    <n v="1"/>
    <n v="1830"/>
    <n v="4"/>
    <x v="0"/>
    <n v="68"/>
    <n v="3"/>
    <n v="2"/>
    <x v="1"/>
    <n v="4"/>
    <s v="Married"/>
    <n v="6854"/>
    <n v="15696"/>
    <n v="4"/>
    <s v="Y"/>
    <x v="1"/>
    <n v="15"/>
    <n v="3"/>
    <n v="2"/>
    <n v="80"/>
    <n v="1"/>
    <n v="14"/>
    <n v="2"/>
    <n v="2"/>
    <n v="7"/>
    <x v="0"/>
    <n v="1"/>
    <n v="1"/>
    <n v="7"/>
    <x v="0"/>
    <n v="0"/>
  </r>
  <r>
    <n v="31"/>
    <x v="1"/>
    <x v="1"/>
    <x v="1"/>
    <n v="1125"/>
    <x v="0"/>
    <n v="7"/>
    <n v="4"/>
    <s v="Marketing"/>
    <n v="1"/>
    <n v="1833"/>
    <n v="1"/>
    <x v="0"/>
    <n v="68"/>
    <n v="3"/>
    <n v="3"/>
    <x v="0"/>
    <n v="1"/>
    <s v="Married"/>
    <n v="9637"/>
    <n v="8277"/>
    <n v="2"/>
    <s v="Y"/>
    <x v="1"/>
    <n v="14"/>
    <n v="3"/>
    <n v="4"/>
    <n v="80"/>
    <n v="2"/>
    <n v="9"/>
    <n v="3"/>
    <n v="3"/>
    <n v="3"/>
    <x v="2"/>
    <n v="2"/>
    <n v="2"/>
    <n v="2"/>
    <x v="3"/>
    <n v="0"/>
  </r>
  <r>
    <n v="28"/>
    <x v="2"/>
    <x v="1"/>
    <x v="0"/>
    <n v="1217"/>
    <x v="1"/>
    <n v="1"/>
    <n v="3"/>
    <s v="Medical"/>
    <n v="1"/>
    <n v="1834"/>
    <n v="3"/>
    <x v="0"/>
    <n v="67"/>
    <n v="3"/>
    <n v="1"/>
    <x v="1"/>
    <n v="1"/>
    <s v="Married"/>
    <n v="3591"/>
    <n v="12719"/>
    <n v="1"/>
    <s v="Y"/>
    <x v="1"/>
    <n v="25"/>
    <n v="4"/>
    <n v="3"/>
    <n v="80"/>
    <n v="1"/>
    <n v="3"/>
    <n v="3"/>
    <n v="3"/>
    <n v="3"/>
    <x v="2"/>
    <n v="2"/>
    <n v="1"/>
    <n v="2"/>
    <x v="3"/>
    <n v="0"/>
  </r>
  <r>
    <n v="38"/>
    <x v="1"/>
    <x v="1"/>
    <x v="0"/>
    <n v="723"/>
    <x v="0"/>
    <n v="2"/>
    <n v="4"/>
    <s v="Marketing"/>
    <n v="1"/>
    <n v="1835"/>
    <n v="2"/>
    <x v="0"/>
    <n v="77"/>
    <n v="1"/>
    <n v="2"/>
    <x v="6"/>
    <n v="4"/>
    <s v="Married"/>
    <n v="5405"/>
    <n v="4244"/>
    <n v="2"/>
    <s v="Y"/>
    <x v="0"/>
    <n v="20"/>
    <n v="4"/>
    <n v="1"/>
    <n v="80"/>
    <n v="2"/>
    <n v="20"/>
    <n v="4"/>
    <n v="2"/>
    <n v="4"/>
    <x v="2"/>
    <n v="2"/>
    <n v="0"/>
    <n v="3"/>
    <x v="0"/>
    <n v="0"/>
  </r>
  <r>
    <n v="26"/>
    <x v="2"/>
    <x v="1"/>
    <x v="0"/>
    <n v="572"/>
    <x v="0"/>
    <n v="10"/>
    <n v="3"/>
    <s v="Medical"/>
    <n v="1"/>
    <n v="1836"/>
    <n v="3"/>
    <x v="1"/>
    <n v="46"/>
    <n v="3"/>
    <n v="2"/>
    <x v="0"/>
    <n v="4"/>
    <s v="Single"/>
    <n v="4684"/>
    <n v="9125"/>
    <n v="1"/>
    <s v="Y"/>
    <x v="1"/>
    <n v="13"/>
    <n v="3"/>
    <n v="1"/>
    <n v="80"/>
    <n v="0"/>
    <n v="5"/>
    <n v="4"/>
    <n v="3"/>
    <n v="5"/>
    <x v="2"/>
    <n v="3"/>
    <n v="1"/>
    <n v="2"/>
    <x v="0"/>
    <n v="0"/>
  </r>
  <r>
    <n v="58"/>
    <x v="3"/>
    <x v="1"/>
    <x v="1"/>
    <n v="1216"/>
    <x v="1"/>
    <n v="15"/>
    <n v="4"/>
    <s v="Life Sciences"/>
    <n v="1"/>
    <n v="1837"/>
    <n v="1"/>
    <x v="1"/>
    <n v="87"/>
    <n v="3"/>
    <n v="4"/>
    <x v="7"/>
    <n v="3"/>
    <s v="Married"/>
    <n v="15787"/>
    <n v="21624"/>
    <n v="2"/>
    <s v="Y"/>
    <x v="0"/>
    <n v="14"/>
    <n v="3"/>
    <n v="2"/>
    <n v="80"/>
    <n v="0"/>
    <n v="23"/>
    <n v="3"/>
    <n v="3"/>
    <n v="2"/>
    <x v="1"/>
    <n v="2"/>
    <n v="2"/>
    <n v="2"/>
    <x v="2"/>
    <n v="0"/>
  </r>
  <r>
    <n v="18"/>
    <x v="2"/>
    <x v="1"/>
    <x v="2"/>
    <n v="1431"/>
    <x v="1"/>
    <n v="14"/>
    <n v="3"/>
    <s v="Medical"/>
    <n v="1"/>
    <n v="1839"/>
    <n v="2"/>
    <x v="0"/>
    <n v="33"/>
    <n v="3"/>
    <n v="1"/>
    <x v="1"/>
    <n v="3"/>
    <s v="Single"/>
    <n v="1514"/>
    <n v="8018"/>
    <n v="1"/>
    <s v="Y"/>
    <x v="1"/>
    <n v="16"/>
    <n v="3"/>
    <n v="3"/>
    <n v="80"/>
    <n v="0"/>
    <n v="0"/>
    <n v="4"/>
    <n v="1"/>
    <n v="0"/>
    <x v="1"/>
    <n v="0"/>
    <n v="0"/>
    <n v="0"/>
    <x v="2"/>
    <n v="0"/>
  </r>
  <r>
    <n v="31"/>
    <x v="1"/>
    <x v="0"/>
    <x v="0"/>
    <n v="359"/>
    <x v="2"/>
    <n v="18"/>
    <n v="5"/>
    <s v="Human Resources"/>
    <n v="1"/>
    <n v="1842"/>
    <n v="4"/>
    <x v="1"/>
    <n v="89"/>
    <n v="4"/>
    <n v="1"/>
    <x v="8"/>
    <n v="1"/>
    <s v="Married"/>
    <n v="2956"/>
    <n v="21495"/>
    <n v="0"/>
    <s v="Y"/>
    <x v="1"/>
    <n v="17"/>
    <n v="3"/>
    <n v="3"/>
    <n v="80"/>
    <n v="0"/>
    <n v="2"/>
    <n v="4"/>
    <n v="3"/>
    <n v="1"/>
    <x v="1"/>
    <n v="0"/>
    <n v="0"/>
    <n v="0"/>
    <x v="3"/>
    <n v="1"/>
  </r>
  <r>
    <n v="29"/>
    <x v="2"/>
    <x v="0"/>
    <x v="0"/>
    <n v="350"/>
    <x v="2"/>
    <n v="13"/>
    <n v="3"/>
    <s v="Human Resources"/>
    <n v="1"/>
    <n v="1844"/>
    <n v="1"/>
    <x v="1"/>
    <n v="56"/>
    <n v="2"/>
    <n v="1"/>
    <x v="8"/>
    <n v="1"/>
    <s v="Divorced"/>
    <n v="2335"/>
    <n v="3157"/>
    <n v="4"/>
    <s v="Y"/>
    <x v="0"/>
    <n v="15"/>
    <n v="3"/>
    <n v="4"/>
    <n v="80"/>
    <n v="3"/>
    <n v="4"/>
    <n v="3"/>
    <n v="3"/>
    <n v="2"/>
    <x v="1"/>
    <n v="2"/>
    <n v="2"/>
    <n v="0"/>
    <x v="3"/>
    <n v="1"/>
  </r>
  <r>
    <n v="45"/>
    <x v="0"/>
    <x v="1"/>
    <x v="2"/>
    <n v="589"/>
    <x v="0"/>
    <n v="2"/>
    <n v="4"/>
    <s v="Life Sciences"/>
    <n v="1"/>
    <n v="1845"/>
    <n v="3"/>
    <x v="0"/>
    <n v="67"/>
    <n v="3"/>
    <n v="2"/>
    <x v="0"/>
    <n v="3"/>
    <s v="Married"/>
    <n v="5154"/>
    <n v="19665"/>
    <n v="4"/>
    <s v="Y"/>
    <x v="1"/>
    <n v="22"/>
    <n v="4"/>
    <n v="2"/>
    <n v="80"/>
    <n v="2"/>
    <n v="10"/>
    <n v="3"/>
    <n v="4"/>
    <n v="8"/>
    <x v="0"/>
    <n v="7"/>
    <n v="5"/>
    <n v="7"/>
    <x v="2"/>
    <n v="0"/>
  </r>
  <r>
    <n v="36"/>
    <x v="1"/>
    <x v="1"/>
    <x v="0"/>
    <n v="430"/>
    <x v="1"/>
    <n v="2"/>
    <n v="4"/>
    <s v="Other"/>
    <n v="1"/>
    <n v="1847"/>
    <n v="4"/>
    <x v="0"/>
    <n v="73"/>
    <n v="3"/>
    <n v="2"/>
    <x v="1"/>
    <n v="2"/>
    <s v="Married"/>
    <n v="6962"/>
    <n v="19573"/>
    <n v="4"/>
    <s v="Y"/>
    <x v="0"/>
    <n v="22"/>
    <n v="4"/>
    <n v="4"/>
    <n v="80"/>
    <n v="1"/>
    <n v="15"/>
    <n v="2"/>
    <n v="3"/>
    <n v="1"/>
    <x v="1"/>
    <n v="0"/>
    <n v="0"/>
    <n v="0"/>
    <x v="1"/>
    <n v="0"/>
  </r>
  <r>
    <n v="43"/>
    <x v="0"/>
    <x v="1"/>
    <x v="1"/>
    <n v="1422"/>
    <x v="0"/>
    <n v="2"/>
    <n v="4"/>
    <s v="Life Sciences"/>
    <n v="1"/>
    <n v="1849"/>
    <n v="1"/>
    <x v="1"/>
    <n v="92"/>
    <n v="3"/>
    <n v="2"/>
    <x v="0"/>
    <n v="4"/>
    <s v="Married"/>
    <n v="5675"/>
    <n v="19246"/>
    <n v="1"/>
    <s v="Y"/>
    <x v="1"/>
    <n v="20"/>
    <n v="4"/>
    <n v="3"/>
    <n v="80"/>
    <n v="1"/>
    <n v="7"/>
    <n v="5"/>
    <n v="3"/>
    <n v="7"/>
    <x v="0"/>
    <n v="7"/>
    <n v="7"/>
    <n v="7"/>
    <x v="0"/>
    <n v="0"/>
  </r>
  <r>
    <n v="27"/>
    <x v="2"/>
    <x v="1"/>
    <x v="1"/>
    <n v="1297"/>
    <x v="1"/>
    <n v="5"/>
    <n v="2"/>
    <s v="Life Sciences"/>
    <n v="1"/>
    <n v="1850"/>
    <n v="4"/>
    <x v="0"/>
    <n v="53"/>
    <n v="3"/>
    <n v="1"/>
    <x v="2"/>
    <n v="4"/>
    <s v="Single"/>
    <n v="2379"/>
    <n v="19826"/>
    <n v="0"/>
    <s v="Y"/>
    <x v="0"/>
    <n v="14"/>
    <n v="3"/>
    <n v="3"/>
    <n v="80"/>
    <n v="0"/>
    <n v="6"/>
    <n v="3"/>
    <n v="2"/>
    <n v="5"/>
    <x v="2"/>
    <n v="4"/>
    <n v="0"/>
    <n v="2"/>
    <x v="0"/>
    <n v="0"/>
  </r>
  <r>
    <n v="29"/>
    <x v="2"/>
    <x v="1"/>
    <x v="1"/>
    <n v="574"/>
    <x v="1"/>
    <n v="20"/>
    <n v="1"/>
    <s v="Medical"/>
    <n v="1"/>
    <n v="1852"/>
    <n v="4"/>
    <x v="1"/>
    <n v="40"/>
    <n v="3"/>
    <n v="1"/>
    <x v="2"/>
    <n v="4"/>
    <s v="Married"/>
    <n v="3812"/>
    <n v="7003"/>
    <n v="1"/>
    <s v="Y"/>
    <x v="1"/>
    <n v="13"/>
    <n v="3"/>
    <n v="2"/>
    <n v="80"/>
    <n v="0"/>
    <n v="11"/>
    <n v="3"/>
    <n v="4"/>
    <n v="11"/>
    <x v="3"/>
    <n v="8"/>
    <n v="3"/>
    <n v="10"/>
    <x v="0"/>
    <n v="0"/>
  </r>
  <r>
    <n v="32"/>
    <x v="1"/>
    <x v="1"/>
    <x v="1"/>
    <n v="1318"/>
    <x v="0"/>
    <n v="10"/>
    <n v="4"/>
    <s v="Marketing"/>
    <n v="1"/>
    <n v="1853"/>
    <n v="4"/>
    <x v="1"/>
    <n v="79"/>
    <n v="3"/>
    <n v="2"/>
    <x v="0"/>
    <n v="4"/>
    <s v="Single"/>
    <n v="4648"/>
    <n v="26075"/>
    <n v="8"/>
    <s v="Y"/>
    <x v="1"/>
    <n v="13"/>
    <n v="3"/>
    <n v="3"/>
    <n v="80"/>
    <n v="0"/>
    <n v="4"/>
    <n v="2"/>
    <n v="4"/>
    <n v="0"/>
    <x v="1"/>
    <n v="0"/>
    <n v="0"/>
    <n v="0"/>
    <x v="0"/>
    <n v="0"/>
  </r>
  <r>
    <n v="42"/>
    <x v="0"/>
    <x v="1"/>
    <x v="2"/>
    <n v="355"/>
    <x v="1"/>
    <n v="10"/>
    <n v="4"/>
    <s v="Technical Degree"/>
    <n v="1"/>
    <n v="1854"/>
    <n v="3"/>
    <x v="1"/>
    <n v="38"/>
    <n v="3"/>
    <n v="1"/>
    <x v="1"/>
    <n v="3"/>
    <s v="Married"/>
    <n v="2936"/>
    <n v="6161"/>
    <n v="3"/>
    <s v="Y"/>
    <x v="1"/>
    <n v="22"/>
    <n v="4"/>
    <n v="2"/>
    <n v="80"/>
    <n v="2"/>
    <n v="10"/>
    <n v="1"/>
    <n v="2"/>
    <n v="6"/>
    <x v="0"/>
    <n v="3"/>
    <n v="3"/>
    <n v="3"/>
    <x v="2"/>
    <n v="0"/>
  </r>
  <r>
    <n v="47"/>
    <x v="0"/>
    <x v="1"/>
    <x v="0"/>
    <n v="207"/>
    <x v="1"/>
    <n v="9"/>
    <n v="4"/>
    <s v="Life Sciences"/>
    <n v="1"/>
    <n v="1856"/>
    <n v="2"/>
    <x v="0"/>
    <n v="64"/>
    <n v="3"/>
    <n v="1"/>
    <x v="2"/>
    <n v="3"/>
    <s v="Single"/>
    <n v="2105"/>
    <n v="5411"/>
    <n v="4"/>
    <s v="Y"/>
    <x v="1"/>
    <n v="12"/>
    <n v="3"/>
    <n v="3"/>
    <n v="80"/>
    <n v="0"/>
    <n v="7"/>
    <n v="2"/>
    <n v="3"/>
    <n v="2"/>
    <x v="1"/>
    <n v="2"/>
    <n v="2"/>
    <n v="0"/>
    <x v="2"/>
    <n v="0"/>
  </r>
  <r>
    <n v="46"/>
    <x v="0"/>
    <x v="1"/>
    <x v="0"/>
    <n v="706"/>
    <x v="1"/>
    <n v="2"/>
    <n v="2"/>
    <s v="Life Sciences"/>
    <n v="1"/>
    <n v="1857"/>
    <n v="4"/>
    <x v="1"/>
    <n v="82"/>
    <n v="3"/>
    <n v="3"/>
    <x v="3"/>
    <n v="4"/>
    <s v="Divorced"/>
    <n v="8578"/>
    <n v="19989"/>
    <n v="3"/>
    <s v="Y"/>
    <x v="1"/>
    <n v="14"/>
    <n v="3"/>
    <n v="3"/>
    <n v="80"/>
    <n v="1"/>
    <n v="12"/>
    <n v="4"/>
    <n v="2"/>
    <n v="9"/>
    <x v="0"/>
    <n v="8"/>
    <n v="4"/>
    <n v="7"/>
    <x v="0"/>
    <n v="0"/>
  </r>
  <r>
    <n v="28"/>
    <x v="2"/>
    <x v="1"/>
    <x v="2"/>
    <n v="280"/>
    <x v="2"/>
    <n v="1"/>
    <n v="2"/>
    <s v="Life Sciences"/>
    <n v="1"/>
    <n v="1858"/>
    <n v="3"/>
    <x v="1"/>
    <n v="43"/>
    <n v="3"/>
    <n v="1"/>
    <x v="8"/>
    <n v="4"/>
    <s v="Divorced"/>
    <n v="2706"/>
    <n v="10494"/>
    <n v="1"/>
    <s v="Y"/>
    <x v="1"/>
    <n v="15"/>
    <n v="3"/>
    <n v="2"/>
    <n v="80"/>
    <n v="1"/>
    <n v="3"/>
    <n v="2"/>
    <n v="3"/>
    <n v="3"/>
    <x v="2"/>
    <n v="2"/>
    <n v="2"/>
    <n v="2"/>
    <x v="0"/>
    <n v="0"/>
  </r>
  <r>
    <n v="29"/>
    <x v="2"/>
    <x v="1"/>
    <x v="0"/>
    <n v="726"/>
    <x v="1"/>
    <n v="29"/>
    <n v="1"/>
    <s v="Life Sciences"/>
    <n v="1"/>
    <n v="1859"/>
    <n v="4"/>
    <x v="1"/>
    <n v="93"/>
    <n v="1"/>
    <n v="2"/>
    <x v="4"/>
    <n v="3"/>
    <s v="Divorced"/>
    <n v="6384"/>
    <n v="21143"/>
    <n v="8"/>
    <s v="Y"/>
    <x v="1"/>
    <n v="17"/>
    <n v="3"/>
    <n v="4"/>
    <n v="80"/>
    <n v="2"/>
    <n v="11"/>
    <n v="3"/>
    <n v="3"/>
    <n v="7"/>
    <x v="0"/>
    <n v="0"/>
    <n v="1"/>
    <n v="6"/>
    <x v="2"/>
    <n v="0"/>
  </r>
  <r>
    <n v="42"/>
    <x v="0"/>
    <x v="1"/>
    <x v="0"/>
    <n v="1142"/>
    <x v="1"/>
    <n v="8"/>
    <n v="3"/>
    <s v="Life Sciences"/>
    <n v="1"/>
    <n v="1860"/>
    <n v="4"/>
    <x v="1"/>
    <n v="81"/>
    <n v="3"/>
    <n v="1"/>
    <x v="2"/>
    <n v="3"/>
    <s v="Single"/>
    <n v="3968"/>
    <n v="13624"/>
    <n v="4"/>
    <s v="Y"/>
    <x v="1"/>
    <n v="13"/>
    <n v="3"/>
    <n v="4"/>
    <n v="80"/>
    <n v="0"/>
    <n v="8"/>
    <n v="3"/>
    <n v="3"/>
    <n v="0"/>
    <x v="1"/>
    <n v="0"/>
    <n v="0"/>
    <n v="0"/>
    <x v="2"/>
    <n v="0"/>
  </r>
  <r>
    <n v="32"/>
    <x v="1"/>
    <x v="0"/>
    <x v="0"/>
    <n v="414"/>
    <x v="0"/>
    <n v="2"/>
    <n v="4"/>
    <s v="Marketing"/>
    <n v="1"/>
    <n v="1862"/>
    <n v="3"/>
    <x v="1"/>
    <n v="82"/>
    <n v="2"/>
    <n v="2"/>
    <x v="0"/>
    <n v="2"/>
    <s v="Single"/>
    <n v="9907"/>
    <n v="26186"/>
    <n v="7"/>
    <s v="Y"/>
    <x v="0"/>
    <n v="12"/>
    <n v="3"/>
    <n v="3"/>
    <n v="80"/>
    <n v="0"/>
    <n v="7"/>
    <n v="3"/>
    <n v="2"/>
    <n v="2"/>
    <x v="1"/>
    <n v="2"/>
    <n v="2"/>
    <n v="2"/>
    <x v="1"/>
    <n v="1"/>
  </r>
  <r>
    <n v="46"/>
    <x v="0"/>
    <x v="1"/>
    <x v="0"/>
    <n v="1319"/>
    <x v="0"/>
    <n v="3"/>
    <n v="3"/>
    <s v="Technical Degree"/>
    <n v="1"/>
    <n v="1863"/>
    <n v="1"/>
    <x v="0"/>
    <n v="45"/>
    <n v="4"/>
    <n v="4"/>
    <x v="0"/>
    <n v="1"/>
    <s v="Divorced"/>
    <n v="13225"/>
    <n v="7739"/>
    <n v="2"/>
    <s v="Y"/>
    <x v="1"/>
    <n v="12"/>
    <n v="3"/>
    <n v="4"/>
    <n v="80"/>
    <n v="1"/>
    <n v="25"/>
    <n v="5"/>
    <n v="3"/>
    <n v="19"/>
    <x v="3"/>
    <n v="17"/>
    <n v="2"/>
    <n v="8"/>
    <x v="3"/>
    <n v="0"/>
  </r>
  <r>
    <n v="27"/>
    <x v="2"/>
    <x v="1"/>
    <x v="0"/>
    <n v="728"/>
    <x v="0"/>
    <n v="23"/>
    <n v="1"/>
    <s v="Medical"/>
    <n v="1"/>
    <n v="1864"/>
    <n v="2"/>
    <x v="0"/>
    <n v="36"/>
    <n v="2"/>
    <n v="2"/>
    <x v="6"/>
    <n v="3"/>
    <s v="Married"/>
    <n v="3540"/>
    <n v="7018"/>
    <n v="1"/>
    <s v="Y"/>
    <x v="1"/>
    <n v="21"/>
    <n v="4"/>
    <n v="4"/>
    <n v="80"/>
    <n v="1"/>
    <n v="9"/>
    <n v="5"/>
    <n v="3"/>
    <n v="9"/>
    <x v="0"/>
    <n v="8"/>
    <n v="5"/>
    <n v="8"/>
    <x v="2"/>
    <n v="0"/>
  </r>
  <r>
    <n v="29"/>
    <x v="2"/>
    <x v="1"/>
    <x v="0"/>
    <n v="352"/>
    <x v="2"/>
    <n v="6"/>
    <n v="1"/>
    <s v="Medical"/>
    <n v="1"/>
    <n v="1865"/>
    <n v="4"/>
    <x v="1"/>
    <n v="87"/>
    <n v="2"/>
    <n v="1"/>
    <x v="8"/>
    <n v="2"/>
    <s v="Married"/>
    <n v="2804"/>
    <n v="15434"/>
    <n v="1"/>
    <s v="Y"/>
    <x v="1"/>
    <n v="11"/>
    <n v="3"/>
    <n v="4"/>
    <n v="80"/>
    <n v="0"/>
    <n v="1"/>
    <n v="3"/>
    <n v="3"/>
    <n v="1"/>
    <x v="1"/>
    <n v="0"/>
    <n v="0"/>
    <n v="0"/>
    <x v="1"/>
    <n v="0"/>
  </r>
  <r>
    <n v="43"/>
    <x v="0"/>
    <x v="1"/>
    <x v="0"/>
    <n v="823"/>
    <x v="1"/>
    <n v="6"/>
    <n v="3"/>
    <s v="Medical"/>
    <n v="1"/>
    <n v="1866"/>
    <n v="1"/>
    <x v="0"/>
    <n v="81"/>
    <n v="2"/>
    <n v="5"/>
    <x v="5"/>
    <n v="3"/>
    <s v="Married"/>
    <n v="19392"/>
    <n v="22539"/>
    <n v="7"/>
    <s v="Y"/>
    <x v="1"/>
    <n v="13"/>
    <n v="3"/>
    <n v="4"/>
    <n v="80"/>
    <n v="0"/>
    <n v="21"/>
    <n v="2"/>
    <n v="3"/>
    <n v="16"/>
    <x v="3"/>
    <n v="12"/>
    <n v="6"/>
    <n v="14"/>
    <x v="2"/>
    <n v="0"/>
  </r>
  <r>
    <n v="48"/>
    <x v="0"/>
    <x v="1"/>
    <x v="0"/>
    <n v="1224"/>
    <x v="1"/>
    <n v="10"/>
    <n v="3"/>
    <s v="Life Sciences"/>
    <n v="1"/>
    <n v="1867"/>
    <n v="4"/>
    <x v="1"/>
    <n v="91"/>
    <n v="2"/>
    <n v="5"/>
    <x v="7"/>
    <n v="2"/>
    <s v="Married"/>
    <n v="19665"/>
    <n v="13583"/>
    <n v="4"/>
    <s v="Y"/>
    <x v="1"/>
    <n v="12"/>
    <n v="3"/>
    <n v="4"/>
    <n v="80"/>
    <n v="0"/>
    <n v="29"/>
    <n v="3"/>
    <n v="3"/>
    <n v="22"/>
    <x v="3"/>
    <n v="10"/>
    <n v="12"/>
    <n v="9"/>
    <x v="1"/>
    <n v="0"/>
  </r>
  <r>
    <n v="29"/>
    <x v="2"/>
    <x v="0"/>
    <x v="1"/>
    <n v="459"/>
    <x v="1"/>
    <n v="24"/>
    <n v="2"/>
    <s v="Life Sciences"/>
    <n v="1"/>
    <n v="1868"/>
    <n v="4"/>
    <x v="1"/>
    <n v="73"/>
    <n v="2"/>
    <n v="1"/>
    <x v="1"/>
    <n v="4"/>
    <s v="Single"/>
    <n v="2439"/>
    <n v="14753"/>
    <n v="1"/>
    <s v="Y"/>
    <x v="0"/>
    <n v="24"/>
    <n v="4"/>
    <n v="2"/>
    <n v="80"/>
    <n v="0"/>
    <n v="1"/>
    <n v="3"/>
    <n v="2"/>
    <n v="1"/>
    <x v="1"/>
    <n v="0"/>
    <n v="1"/>
    <n v="0"/>
    <x v="0"/>
    <n v="1"/>
  </r>
  <r>
    <n v="46"/>
    <x v="0"/>
    <x v="0"/>
    <x v="0"/>
    <n v="1254"/>
    <x v="0"/>
    <n v="10"/>
    <n v="3"/>
    <s v="Life Sciences"/>
    <n v="1"/>
    <n v="1869"/>
    <n v="3"/>
    <x v="0"/>
    <n v="64"/>
    <n v="3"/>
    <n v="3"/>
    <x v="0"/>
    <n v="2"/>
    <s v="Married"/>
    <n v="7314"/>
    <n v="14011"/>
    <n v="5"/>
    <s v="Y"/>
    <x v="1"/>
    <n v="21"/>
    <n v="4"/>
    <n v="3"/>
    <n v="80"/>
    <n v="3"/>
    <n v="14"/>
    <n v="2"/>
    <n v="3"/>
    <n v="8"/>
    <x v="0"/>
    <n v="7"/>
    <n v="0"/>
    <n v="7"/>
    <x v="1"/>
    <n v="1"/>
  </r>
  <r>
    <n v="27"/>
    <x v="2"/>
    <x v="1"/>
    <x v="1"/>
    <n v="1131"/>
    <x v="1"/>
    <n v="15"/>
    <n v="3"/>
    <s v="Life Sciences"/>
    <n v="1"/>
    <n v="1870"/>
    <n v="4"/>
    <x v="0"/>
    <n v="77"/>
    <n v="2"/>
    <n v="1"/>
    <x v="1"/>
    <n v="1"/>
    <s v="Married"/>
    <n v="4774"/>
    <n v="23844"/>
    <n v="0"/>
    <s v="Y"/>
    <x v="1"/>
    <n v="19"/>
    <n v="3"/>
    <n v="4"/>
    <n v="80"/>
    <n v="1"/>
    <n v="8"/>
    <n v="2"/>
    <n v="2"/>
    <n v="7"/>
    <x v="0"/>
    <n v="6"/>
    <n v="7"/>
    <n v="3"/>
    <x v="3"/>
    <n v="0"/>
  </r>
  <r>
    <n v="39"/>
    <x v="1"/>
    <x v="1"/>
    <x v="0"/>
    <n v="835"/>
    <x v="1"/>
    <n v="19"/>
    <n v="4"/>
    <s v="Other"/>
    <n v="1"/>
    <n v="1871"/>
    <n v="4"/>
    <x v="1"/>
    <n v="41"/>
    <n v="3"/>
    <n v="2"/>
    <x v="1"/>
    <n v="4"/>
    <s v="Divorced"/>
    <n v="3902"/>
    <n v="5141"/>
    <n v="8"/>
    <s v="Y"/>
    <x v="1"/>
    <n v="14"/>
    <n v="3"/>
    <n v="2"/>
    <n v="80"/>
    <n v="3"/>
    <n v="7"/>
    <n v="2"/>
    <n v="3"/>
    <n v="2"/>
    <x v="1"/>
    <n v="2"/>
    <n v="2"/>
    <n v="2"/>
    <x v="0"/>
    <n v="0"/>
  </r>
  <r>
    <n v="55"/>
    <x v="3"/>
    <x v="1"/>
    <x v="0"/>
    <n v="836"/>
    <x v="1"/>
    <n v="2"/>
    <n v="4"/>
    <s v="Technical Degree"/>
    <n v="1"/>
    <n v="1873"/>
    <n v="2"/>
    <x v="1"/>
    <n v="98"/>
    <n v="2"/>
    <n v="1"/>
    <x v="1"/>
    <n v="4"/>
    <s v="Married"/>
    <n v="2662"/>
    <n v="7975"/>
    <n v="8"/>
    <s v="Y"/>
    <x v="1"/>
    <n v="20"/>
    <n v="4"/>
    <n v="2"/>
    <n v="80"/>
    <n v="1"/>
    <n v="19"/>
    <n v="2"/>
    <n v="4"/>
    <n v="5"/>
    <x v="2"/>
    <n v="2"/>
    <n v="0"/>
    <n v="4"/>
    <x v="0"/>
    <n v="0"/>
  </r>
  <r>
    <n v="28"/>
    <x v="2"/>
    <x v="1"/>
    <x v="0"/>
    <n v="1172"/>
    <x v="0"/>
    <n v="3"/>
    <n v="3"/>
    <s v="Medical"/>
    <n v="1"/>
    <n v="1875"/>
    <n v="2"/>
    <x v="0"/>
    <n v="78"/>
    <n v="3"/>
    <n v="1"/>
    <x v="6"/>
    <n v="2"/>
    <s v="Married"/>
    <n v="2856"/>
    <n v="3692"/>
    <n v="1"/>
    <s v="Y"/>
    <x v="1"/>
    <n v="19"/>
    <n v="3"/>
    <n v="4"/>
    <n v="80"/>
    <n v="1"/>
    <n v="1"/>
    <n v="3"/>
    <n v="3"/>
    <n v="1"/>
    <x v="1"/>
    <n v="0"/>
    <n v="0"/>
    <n v="0"/>
    <x v="1"/>
    <n v="0"/>
  </r>
  <r>
    <n v="30"/>
    <x v="1"/>
    <x v="0"/>
    <x v="0"/>
    <n v="945"/>
    <x v="0"/>
    <n v="9"/>
    <n v="3"/>
    <s v="Medical"/>
    <n v="1"/>
    <n v="1876"/>
    <n v="2"/>
    <x v="1"/>
    <n v="89"/>
    <n v="3"/>
    <n v="1"/>
    <x v="6"/>
    <n v="4"/>
    <s v="Single"/>
    <n v="1081"/>
    <n v="16019"/>
    <n v="1"/>
    <s v="Y"/>
    <x v="1"/>
    <n v="13"/>
    <n v="3"/>
    <n v="3"/>
    <n v="80"/>
    <n v="0"/>
    <n v="1"/>
    <n v="3"/>
    <n v="2"/>
    <n v="1"/>
    <x v="1"/>
    <n v="0"/>
    <n v="0"/>
    <n v="0"/>
    <x v="0"/>
    <n v="1"/>
  </r>
  <r>
    <n v="22"/>
    <x v="2"/>
    <x v="0"/>
    <x v="0"/>
    <n v="391"/>
    <x v="1"/>
    <n v="7"/>
    <n v="1"/>
    <s v="Life Sciences"/>
    <n v="1"/>
    <n v="1878"/>
    <n v="4"/>
    <x v="1"/>
    <n v="75"/>
    <n v="3"/>
    <n v="1"/>
    <x v="1"/>
    <n v="2"/>
    <s v="Single"/>
    <n v="2472"/>
    <n v="26092"/>
    <n v="1"/>
    <s v="Y"/>
    <x v="0"/>
    <n v="23"/>
    <n v="4"/>
    <n v="1"/>
    <n v="80"/>
    <n v="0"/>
    <n v="1"/>
    <n v="2"/>
    <n v="3"/>
    <n v="1"/>
    <x v="1"/>
    <n v="0"/>
    <n v="0"/>
    <n v="0"/>
    <x v="1"/>
    <n v="1"/>
  </r>
  <r>
    <n v="36"/>
    <x v="1"/>
    <x v="1"/>
    <x v="0"/>
    <n v="1266"/>
    <x v="0"/>
    <n v="10"/>
    <n v="4"/>
    <s v="Technical Degree"/>
    <n v="1"/>
    <n v="1880"/>
    <n v="2"/>
    <x v="0"/>
    <n v="63"/>
    <n v="2"/>
    <n v="2"/>
    <x v="0"/>
    <n v="3"/>
    <s v="Married"/>
    <n v="5673"/>
    <n v="6060"/>
    <n v="1"/>
    <s v="Y"/>
    <x v="0"/>
    <n v="13"/>
    <n v="3"/>
    <n v="1"/>
    <n v="80"/>
    <n v="1"/>
    <n v="10"/>
    <n v="4"/>
    <n v="3"/>
    <n v="10"/>
    <x v="0"/>
    <n v="9"/>
    <n v="1"/>
    <n v="7"/>
    <x v="2"/>
    <n v="0"/>
  </r>
  <r>
    <n v="31"/>
    <x v="1"/>
    <x v="1"/>
    <x v="0"/>
    <n v="311"/>
    <x v="1"/>
    <n v="20"/>
    <n v="3"/>
    <s v="Life Sciences"/>
    <n v="1"/>
    <n v="1881"/>
    <n v="2"/>
    <x v="1"/>
    <n v="89"/>
    <n v="3"/>
    <n v="2"/>
    <x v="2"/>
    <n v="3"/>
    <s v="Divorced"/>
    <n v="4197"/>
    <n v="18624"/>
    <n v="1"/>
    <s v="Y"/>
    <x v="1"/>
    <n v="11"/>
    <n v="3"/>
    <n v="1"/>
    <n v="80"/>
    <n v="1"/>
    <n v="10"/>
    <n v="2"/>
    <n v="3"/>
    <n v="10"/>
    <x v="0"/>
    <n v="8"/>
    <n v="0"/>
    <n v="2"/>
    <x v="2"/>
    <n v="0"/>
  </r>
  <r>
    <n v="34"/>
    <x v="1"/>
    <x v="1"/>
    <x v="0"/>
    <n v="1480"/>
    <x v="0"/>
    <n v="4"/>
    <n v="3"/>
    <s v="Life Sciences"/>
    <n v="1"/>
    <n v="1882"/>
    <n v="3"/>
    <x v="1"/>
    <n v="64"/>
    <n v="3"/>
    <n v="3"/>
    <x v="0"/>
    <n v="4"/>
    <s v="Married"/>
    <n v="9713"/>
    <n v="24444"/>
    <n v="2"/>
    <s v="Y"/>
    <x v="0"/>
    <n v="13"/>
    <n v="3"/>
    <n v="4"/>
    <n v="80"/>
    <n v="3"/>
    <n v="9"/>
    <n v="3"/>
    <n v="3"/>
    <n v="5"/>
    <x v="2"/>
    <n v="3"/>
    <n v="1"/>
    <n v="0"/>
    <x v="0"/>
    <n v="0"/>
  </r>
  <r>
    <n v="29"/>
    <x v="2"/>
    <x v="1"/>
    <x v="0"/>
    <n v="592"/>
    <x v="1"/>
    <n v="7"/>
    <n v="3"/>
    <s v="Life Sciences"/>
    <n v="1"/>
    <n v="1883"/>
    <n v="4"/>
    <x v="1"/>
    <n v="59"/>
    <n v="3"/>
    <n v="1"/>
    <x v="2"/>
    <n v="1"/>
    <s v="Single"/>
    <n v="2062"/>
    <n v="19384"/>
    <n v="3"/>
    <s v="Y"/>
    <x v="1"/>
    <n v="14"/>
    <n v="3"/>
    <n v="2"/>
    <n v="80"/>
    <n v="0"/>
    <n v="11"/>
    <n v="2"/>
    <n v="3"/>
    <n v="3"/>
    <x v="2"/>
    <n v="2"/>
    <n v="1"/>
    <n v="2"/>
    <x v="3"/>
    <n v="0"/>
  </r>
  <r>
    <n v="37"/>
    <x v="1"/>
    <x v="1"/>
    <x v="0"/>
    <n v="783"/>
    <x v="1"/>
    <n v="7"/>
    <n v="4"/>
    <s v="Medical"/>
    <n v="1"/>
    <n v="1885"/>
    <n v="4"/>
    <x v="1"/>
    <n v="78"/>
    <n v="3"/>
    <n v="2"/>
    <x v="1"/>
    <n v="1"/>
    <s v="Married"/>
    <n v="4284"/>
    <n v="13588"/>
    <n v="5"/>
    <s v="Y"/>
    <x v="0"/>
    <n v="22"/>
    <n v="4"/>
    <n v="3"/>
    <n v="80"/>
    <n v="1"/>
    <n v="16"/>
    <n v="2"/>
    <n v="3"/>
    <n v="5"/>
    <x v="2"/>
    <n v="3"/>
    <n v="0"/>
    <n v="4"/>
    <x v="3"/>
    <n v="0"/>
  </r>
  <r>
    <n v="35"/>
    <x v="1"/>
    <x v="1"/>
    <x v="0"/>
    <n v="219"/>
    <x v="1"/>
    <n v="16"/>
    <n v="2"/>
    <s v="Other"/>
    <n v="1"/>
    <n v="1886"/>
    <n v="4"/>
    <x v="0"/>
    <n v="44"/>
    <n v="2"/>
    <n v="2"/>
    <x v="3"/>
    <n v="2"/>
    <s v="Married"/>
    <n v="4788"/>
    <n v="25388"/>
    <n v="0"/>
    <s v="Y"/>
    <x v="0"/>
    <n v="11"/>
    <n v="3"/>
    <n v="4"/>
    <n v="80"/>
    <n v="0"/>
    <n v="4"/>
    <n v="2"/>
    <n v="3"/>
    <n v="3"/>
    <x v="2"/>
    <n v="2"/>
    <n v="0"/>
    <n v="2"/>
    <x v="1"/>
    <n v="0"/>
  </r>
  <r>
    <n v="45"/>
    <x v="0"/>
    <x v="1"/>
    <x v="0"/>
    <n v="556"/>
    <x v="1"/>
    <n v="25"/>
    <n v="2"/>
    <s v="Life Sciences"/>
    <n v="1"/>
    <n v="1888"/>
    <n v="2"/>
    <x v="0"/>
    <n v="93"/>
    <n v="2"/>
    <n v="2"/>
    <x v="3"/>
    <n v="4"/>
    <s v="Married"/>
    <n v="5906"/>
    <n v="23888"/>
    <n v="0"/>
    <s v="Y"/>
    <x v="1"/>
    <n v="13"/>
    <n v="3"/>
    <n v="4"/>
    <n v="80"/>
    <n v="2"/>
    <n v="10"/>
    <n v="2"/>
    <n v="2"/>
    <n v="9"/>
    <x v="0"/>
    <n v="8"/>
    <n v="3"/>
    <n v="8"/>
    <x v="0"/>
    <n v="0"/>
  </r>
  <r>
    <n v="36"/>
    <x v="1"/>
    <x v="1"/>
    <x v="1"/>
    <n v="1213"/>
    <x v="2"/>
    <n v="2"/>
    <n v="1"/>
    <s v="Human Resources"/>
    <n v="1"/>
    <n v="1890"/>
    <n v="2"/>
    <x v="1"/>
    <n v="94"/>
    <n v="2"/>
    <n v="2"/>
    <x v="8"/>
    <n v="4"/>
    <s v="Single"/>
    <n v="3886"/>
    <n v="4223"/>
    <n v="1"/>
    <s v="Y"/>
    <x v="1"/>
    <n v="21"/>
    <n v="4"/>
    <n v="4"/>
    <n v="80"/>
    <n v="0"/>
    <n v="10"/>
    <n v="2"/>
    <n v="2"/>
    <n v="10"/>
    <x v="0"/>
    <n v="1"/>
    <n v="0"/>
    <n v="8"/>
    <x v="0"/>
    <n v="0"/>
  </r>
  <r>
    <n v="40"/>
    <x v="1"/>
    <x v="1"/>
    <x v="0"/>
    <n v="1137"/>
    <x v="1"/>
    <n v="1"/>
    <n v="4"/>
    <s v="Life Sciences"/>
    <n v="1"/>
    <n v="1892"/>
    <n v="1"/>
    <x v="1"/>
    <n v="98"/>
    <n v="3"/>
    <n v="4"/>
    <x v="5"/>
    <n v="1"/>
    <s v="Divorced"/>
    <n v="16823"/>
    <n v="18991"/>
    <n v="2"/>
    <s v="Y"/>
    <x v="1"/>
    <n v="11"/>
    <n v="3"/>
    <n v="1"/>
    <n v="80"/>
    <n v="1"/>
    <n v="22"/>
    <n v="3"/>
    <n v="3"/>
    <n v="19"/>
    <x v="3"/>
    <n v="7"/>
    <n v="11"/>
    <n v="16"/>
    <x v="3"/>
    <n v="0"/>
  </r>
  <r>
    <n v="26"/>
    <x v="2"/>
    <x v="1"/>
    <x v="0"/>
    <n v="482"/>
    <x v="1"/>
    <n v="1"/>
    <n v="2"/>
    <s v="Life Sciences"/>
    <n v="1"/>
    <n v="1893"/>
    <n v="2"/>
    <x v="0"/>
    <n v="90"/>
    <n v="2"/>
    <n v="1"/>
    <x v="1"/>
    <n v="3"/>
    <s v="Married"/>
    <n v="2933"/>
    <n v="14908"/>
    <n v="1"/>
    <s v="Y"/>
    <x v="0"/>
    <n v="13"/>
    <n v="3"/>
    <n v="3"/>
    <n v="80"/>
    <n v="1"/>
    <n v="1"/>
    <n v="3"/>
    <n v="2"/>
    <n v="1"/>
    <x v="1"/>
    <n v="0"/>
    <n v="1"/>
    <n v="0"/>
    <x v="2"/>
    <n v="0"/>
  </r>
  <r>
    <n v="27"/>
    <x v="2"/>
    <x v="1"/>
    <x v="0"/>
    <n v="511"/>
    <x v="0"/>
    <n v="2"/>
    <n v="2"/>
    <s v="Medical"/>
    <n v="1"/>
    <n v="1898"/>
    <n v="1"/>
    <x v="0"/>
    <n v="89"/>
    <n v="4"/>
    <n v="2"/>
    <x v="0"/>
    <n v="3"/>
    <s v="Single"/>
    <n v="6500"/>
    <n v="26997"/>
    <n v="0"/>
    <s v="Y"/>
    <x v="1"/>
    <n v="14"/>
    <n v="3"/>
    <n v="2"/>
    <n v="80"/>
    <n v="0"/>
    <n v="9"/>
    <n v="5"/>
    <n v="2"/>
    <n v="8"/>
    <x v="0"/>
    <n v="7"/>
    <n v="0"/>
    <n v="7"/>
    <x v="2"/>
    <n v="0"/>
  </r>
  <r>
    <n v="48"/>
    <x v="0"/>
    <x v="1"/>
    <x v="1"/>
    <n v="117"/>
    <x v="1"/>
    <n v="22"/>
    <n v="3"/>
    <s v="Medical"/>
    <n v="1"/>
    <n v="1900"/>
    <n v="4"/>
    <x v="0"/>
    <n v="58"/>
    <n v="3"/>
    <n v="4"/>
    <x v="5"/>
    <n v="4"/>
    <s v="Divorced"/>
    <n v="17174"/>
    <n v="2437"/>
    <n v="3"/>
    <s v="Y"/>
    <x v="1"/>
    <n v="11"/>
    <n v="3"/>
    <n v="2"/>
    <n v="80"/>
    <n v="1"/>
    <n v="24"/>
    <n v="3"/>
    <n v="3"/>
    <n v="22"/>
    <x v="3"/>
    <n v="17"/>
    <n v="4"/>
    <n v="7"/>
    <x v="0"/>
    <n v="0"/>
  </r>
  <r>
    <n v="44"/>
    <x v="0"/>
    <x v="1"/>
    <x v="0"/>
    <n v="170"/>
    <x v="1"/>
    <n v="1"/>
    <n v="4"/>
    <s v="Life Sciences"/>
    <n v="1"/>
    <n v="1903"/>
    <n v="2"/>
    <x v="1"/>
    <n v="78"/>
    <n v="4"/>
    <n v="2"/>
    <x v="4"/>
    <n v="1"/>
    <s v="Married"/>
    <n v="5033"/>
    <n v="9364"/>
    <n v="2"/>
    <s v="Y"/>
    <x v="1"/>
    <n v="15"/>
    <n v="3"/>
    <n v="4"/>
    <n v="80"/>
    <n v="1"/>
    <n v="10"/>
    <n v="5"/>
    <n v="3"/>
    <n v="2"/>
    <x v="1"/>
    <n v="0"/>
    <n v="2"/>
    <n v="2"/>
    <x v="3"/>
    <n v="0"/>
  </r>
  <r>
    <n v="34"/>
    <x v="1"/>
    <x v="0"/>
    <x v="2"/>
    <n v="967"/>
    <x v="1"/>
    <n v="16"/>
    <n v="4"/>
    <s v="Technical Degree"/>
    <n v="1"/>
    <n v="1905"/>
    <n v="4"/>
    <x v="1"/>
    <n v="85"/>
    <n v="1"/>
    <n v="1"/>
    <x v="1"/>
    <n v="1"/>
    <s v="Married"/>
    <n v="2307"/>
    <n v="14460"/>
    <n v="1"/>
    <s v="Y"/>
    <x v="0"/>
    <n v="23"/>
    <n v="4"/>
    <n v="2"/>
    <n v="80"/>
    <n v="1"/>
    <n v="5"/>
    <n v="2"/>
    <n v="3"/>
    <n v="5"/>
    <x v="2"/>
    <n v="2"/>
    <n v="3"/>
    <n v="0"/>
    <x v="3"/>
    <n v="1"/>
  </r>
  <r>
    <n v="56"/>
    <x v="3"/>
    <x v="0"/>
    <x v="0"/>
    <n v="1162"/>
    <x v="1"/>
    <n v="24"/>
    <n v="2"/>
    <s v="Life Sciences"/>
    <n v="1"/>
    <n v="1907"/>
    <n v="1"/>
    <x v="1"/>
    <n v="97"/>
    <n v="3"/>
    <n v="1"/>
    <x v="2"/>
    <n v="4"/>
    <s v="Single"/>
    <n v="2587"/>
    <n v="10261"/>
    <n v="1"/>
    <s v="Y"/>
    <x v="1"/>
    <n v="16"/>
    <n v="3"/>
    <n v="4"/>
    <n v="80"/>
    <n v="0"/>
    <n v="5"/>
    <n v="3"/>
    <n v="3"/>
    <n v="4"/>
    <x v="2"/>
    <n v="2"/>
    <n v="1"/>
    <n v="0"/>
    <x v="0"/>
    <n v="1"/>
  </r>
  <r>
    <n v="36"/>
    <x v="1"/>
    <x v="1"/>
    <x v="0"/>
    <n v="335"/>
    <x v="0"/>
    <n v="17"/>
    <n v="2"/>
    <s v="Marketing"/>
    <n v="1"/>
    <n v="1908"/>
    <n v="3"/>
    <x v="1"/>
    <n v="33"/>
    <n v="2"/>
    <n v="2"/>
    <x v="0"/>
    <n v="2"/>
    <s v="Married"/>
    <n v="5507"/>
    <n v="16822"/>
    <n v="2"/>
    <s v="Y"/>
    <x v="1"/>
    <n v="16"/>
    <n v="3"/>
    <n v="3"/>
    <n v="80"/>
    <n v="2"/>
    <n v="12"/>
    <n v="1"/>
    <n v="1"/>
    <n v="4"/>
    <x v="2"/>
    <n v="2"/>
    <n v="1"/>
    <n v="3"/>
    <x v="1"/>
    <n v="0"/>
  </r>
  <r>
    <n v="41"/>
    <x v="0"/>
    <x v="1"/>
    <x v="0"/>
    <n v="337"/>
    <x v="0"/>
    <n v="8"/>
    <n v="3"/>
    <s v="Marketing"/>
    <n v="1"/>
    <n v="1909"/>
    <n v="3"/>
    <x v="0"/>
    <n v="54"/>
    <n v="3"/>
    <n v="2"/>
    <x v="0"/>
    <n v="2"/>
    <s v="Married"/>
    <n v="4393"/>
    <n v="26841"/>
    <n v="5"/>
    <s v="Y"/>
    <x v="1"/>
    <n v="21"/>
    <n v="4"/>
    <n v="3"/>
    <n v="80"/>
    <n v="1"/>
    <n v="14"/>
    <n v="3"/>
    <n v="3"/>
    <n v="5"/>
    <x v="2"/>
    <n v="4"/>
    <n v="1"/>
    <n v="4"/>
    <x v="1"/>
    <n v="0"/>
  </r>
  <r>
    <n v="42"/>
    <x v="0"/>
    <x v="1"/>
    <x v="0"/>
    <n v="1396"/>
    <x v="1"/>
    <n v="6"/>
    <n v="3"/>
    <s v="Medical"/>
    <n v="1"/>
    <n v="1911"/>
    <n v="3"/>
    <x v="1"/>
    <n v="83"/>
    <n v="3"/>
    <n v="3"/>
    <x v="7"/>
    <n v="1"/>
    <s v="Married"/>
    <n v="13348"/>
    <n v="14842"/>
    <n v="9"/>
    <s v="Y"/>
    <x v="1"/>
    <n v="13"/>
    <n v="3"/>
    <n v="2"/>
    <n v="80"/>
    <n v="1"/>
    <n v="18"/>
    <n v="3"/>
    <n v="4"/>
    <n v="13"/>
    <x v="3"/>
    <n v="7"/>
    <n v="5"/>
    <n v="7"/>
    <x v="3"/>
    <n v="0"/>
  </r>
  <r>
    <n v="31"/>
    <x v="1"/>
    <x v="1"/>
    <x v="0"/>
    <n v="1079"/>
    <x v="0"/>
    <n v="10"/>
    <n v="2"/>
    <s v="Medical"/>
    <n v="1"/>
    <n v="1912"/>
    <n v="3"/>
    <x v="0"/>
    <n v="86"/>
    <n v="3"/>
    <n v="2"/>
    <x v="0"/>
    <n v="4"/>
    <s v="Divorced"/>
    <n v="6583"/>
    <n v="20115"/>
    <n v="2"/>
    <s v="Y"/>
    <x v="0"/>
    <n v="11"/>
    <n v="3"/>
    <n v="4"/>
    <n v="80"/>
    <n v="1"/>
    <n v="8"/>
    <n v="2"/>
    <n v="3"/>
    <n v="5"/>
    <x v="2"/>
    <n v="2"/>
    <n v="1"/>
    <n v="4"/>
    <x v="0"/>
    <n v="0"/>
  </r>
  <r>
    <n v="34"/>
    <x v="1"/>
    <x v="1"/>
    <x v="0"/>
    <n v="735"/>
    <x v="0"/>
    <n v="3"/>
    <n v="1"/>
    <s v="Medical"/>
    <n v="1"/>
    <n v="1915"/>
    <n v="4"/>
    <x v="0"/>
    <n v="75"/>
    <n v="2"/>
    <n v="2"/>
    <x v="0"/>
    <n v="4"/>
    <s v="Married"/>
    <n v="8103"/>
    <n v="16495"/>
    <n v="3"/>
    <s v="Y"/>
    <x v="0"/>
    <n v="12"/>
    <n v="3"/>
    <n v="3"/>
    <n v="80"/>
    <n v="0"/>
    <n v="9"/>
    <n v="3"/>
    <n v="2"/>
    <n v="4"/>
    <x v="2"/>
    <n v="2"/>
    <n v="0"/>
    <n v="1"/>
    <x v="0"/>
    <n v="0"/>
  </r>
  <r>
    <n v="31"/>
    <x v="1"/>
    <x v="1"/>
    <x v="0"/>
    <n v="471"/>
    <x v="1"/>
    <n v="4"/>
    <n v="3"/>
    <s v="Medical"/>
    <n v="1"/>
    <n v="1916"/>
    <n v="1"/>
    <x v="0"/>
    <n v="62"/>
    <n v="4"/>
    <n v="1"/>
    <x v="2"/>
    <n v="3"/>
    <s v="Divorced"/>
    <n v="3978"/>
    <n v="16031"/>
    <n v="8"/>
    <s v="Y"/>
    <x v="1"/>
    <n v="12"/>
    <n v="3"/>
    <n v="2"/>
    <n v="80"/>
    <n v="1"/>
    <n v="4"/>
    <n v="0"/>
    <n v="2"/>
    <n v="2"/>
    <x v="1"/>
    <n v="2"/>
    <n v="2"/>
    <n v="2"/>
    <x v="2"/>
    <n v="0"/>
  </r>
  <r>
    <n v="26"/>
    <x v="2"/>
    <x v="1"/>
    <x v="1"/>
    <n v="1096"/>
    <x v="1"/>
    <n v="6"/>
    <n v="3"/>
    <s v="Other"/>
    <n v="1"/>
    <n v="1918"/>
    <n v="3"/>
    <x v="1"/>
    <n v="61"/>
    <n v="4"/>
    <n v="1"/>
    <x v="2"/>
    <n v="4"/>
    <s v="Married"/>
    <n v="2544"/>
    <n v="7102"/>
    <n v="0"/>
    <s v="Y"/>
    <x v="1"/>
    <n v="18"/>
    <n v="3"/>
    <n v="1"/>
    <n v="80"/>
    <n v="1"/>
    <n v="8"/>
    <n v="3"/>
    <n v="3"/>
    <n v="7"/>
    <x v="0"/>
    <n v="7"/>
    <n v="7"/>
    <n v="7"/>
    <x v="0"/>
    <n v="0"/>
  </r>
  <r>
    <n v="45"/>
    <x v="0"/>
    <x v="1"/>
    <x v="1"/>
    <n v="1297"/>
    <x v="1"/>
    <n v="1"/>
    <n v="4"/>
    <s v="Medical"/>
    <n v="1"/>
    <n v="1922"/>
    <n v="2"/>
    <x v="1"/>
    <n v="44"/>
    <n v="3"/>
    <n v="2"/>
    <x v="4"/>
    <n v="3"/>
    <s v="Single"/>
    <n v="5399"/>
    <n v="14511"/>
    <n v="4"/>
    <s v="Y"/>
    <x v="1"/>
    <n v="12"/>
    <n v="3"/>
    <n v="3"/>
    <n v="80"/>
    <n v="0"/>
    <n v="12"/>
    <n v="3"/>
    <n v="3"/>
    <n v="4"/>
    <x v="2"/>
    <n v="2"/>
    <n v="0"/>
    <n v="3"/>
    <x v="2"/>
    <n v="0"/>
  </r>
  <r>
    <n v="33"/>
    <x v="1"/>
    <x v="1"/>
    <x v="0"/>
    <n v="217"/>
    <x v="0"/>
    <n v="10"/>
    <n v="4"/>
    <s v="Marketing"/>
    <n v="1"/>
    <n v="1924"/>
    <n v="2"/>
    <x v="1"/>
    <n v="43"/>
    <n v="3"/>
    <n v="2"/>
    <x v="0"/>
    <n v="3"/>
    <s v="Single"/>
    <n v="5487"/>
    <n v="10410"/>
    <n v="1"/>
    <s v="Y"/>
    <x v="1"/>
    <n v="14"/>
    <n v="3"/>
    <n v="2"/>
    <n v="80"/>
    <n v="0"/>
    <n v="10"/>
    <n v="2"/>
    <n v="2"/>
    <n v="10"/>
    <x v="0"/>
    <n v="4"/>
    <n v="0"/>
    <n v="9"/>
    <x v="2"/>
    <n v="0"/>
  </r>
  <r>
    <n v="28"/>
    <x v="2"/>
    <x v="1"/>
    <x v="1"/>
    <n v="783"/>
    <x v="0"/>
    <n v="1"/>
    <n v="2"/>
    <s v="Life Sciences"/>
    <n v="1"/>
    <n v="1927"/>
    <n v="3"/>
    <x v="1"/>
    <n v="42"/>
    <n v="2"/>
    <n v="2"/>
    <x v="0"/>
    <n v="4"/>
    <s v="Married"/>
    <n v="6834"/>
    <n v="19255"/>
    <n v="1"/>
    <s v="Y"/>
    <x v="0"/>
    <n v="12"/>
    <n v="3"/>
    <n v="3"/>
    <n v="80"/>
    <n v="1"/>
    <n v="7"/>
    <n v="2"/>
    <n v="3"/>
    <n v="7"/>
    <x v="0"/>
    <n v="7"/>
    <n v="0"/>
    <n v="7"/>
    <x v="0"/>
    <n v="0"/>
  </r>
  <r>
    <n v="29"/>
    <x v="2"/>
    <x v="0"/>
    <x v="1"/>
    <n v="746"/>
    <x v="0"/>
    <n v="24"/>
    <n v="3"/>
    <s v="Technical Degree"/>
    <n v="1"/>
    <n v="1928"/>
    <n v="3"/>
    <x v="1"/>
    <n v="45"/>
    <n v="4"/>
    <n v="1"/>
    <x v="6"/>
    <n v="1"/>
    <s v="Single"/>
    <n v="1091"/>
    <n v="10642"/>
    <n v="1"/>
    <s v="Y"/>
    <x v="1"/>
    <n v="17"/>
    <n v="3"/>
    <n v="4"/>
    <n v="80"/>
    <n v="0"/>
    <n v="1"/>
    <n v="3"/>
    <n v="3"/>
    <n v="1"/>
    <x v="1"/>
    <n v="0"/>
    <n v="0"/>
    <n v="0"/>
    <x v="3"/>
    <n v="1"/>
  </r>
  <r>
    <n v="39"/>
    <x v="1"/>
    <x v="1"/>
    <x v="2"/>
    <n v="1251"/>
    <x v="0"/>
    <n v="21"/>
    <n v="4"/>
    <s v="Life Sciences"/>
    <n v="1"/>
    <n v="1929"/>
    <n v="1"/>
    <x v="0"/>
    <n v="32"/>
    <n v="1"/>
    <n v="2"/>
    <x v="0"/>
    <n v="3"/>
    <s v="Married"/>
    <n v="5736"/>
    <n v="3987"/>
    <n v="6"/>
    <s v="Y"/>
    <x v="1"/>
    <n v="19"/>
    <n v="3"/>
    <n v="3"/>
    <n v="80"/>
    <n v="1"/>
    <n v="10"/>
    <n v="1"/>
    <n v="3"/>
    <n v="3"/>
    <x v="2"/>
    <n v="2"/>
    <n v="1"/>
    <n v="2"/>
    <x v="2"/>
    <n v="0"/>
  </r>
  <r>
    <n v="27"/>
    <x v="2"/>
    <x v="1"/>
    <x v="0"/>
    <n v="1354"/>
    <x v="1"/>
    <n v="2"/>
    <n v="4"/>
    <s v="Technical Degree"/>
    <n v="1"/>
    <n v="1931"/>
    <n v="2"/>
    <x v="1"/>
    <n v="41"/>
    <n v="3"/>
    <n v="1"/>
    <x v="1"/>
    <n v="2"/>
    <s v="Married"/>
    <n v="2226"/>
    <n v="6073"/>
    <n v="1"/>
    <s v="Y"/>
    <x v="1"/>
    <n v="11"/>
    <n v="3"/>
    <n v="3"/>
    <n v="80"/>
    <n v="1"/>
    <n v="6"/>
    <n v="3"/>
    <n v="2"/>
    <n v="5"/>
    <x v="2"/>
    <n v="3"/>
    <n v="1"/>
    <n v="2"/>
    <x v="1"/>
    <n v="0"/>
  </r>
  <r>
    <n v="34"/>
    <x v="1"/>
    <x v="1"/>
    <x v="1"/>
    <n v="735"/>
    <x v="1"/>
    <n v="22"/>
    <n v="4"/>
    <s v="Other"/>
    <n v="1"/>
    <n v="1932"/>
    <n v="3"/>
    <x v="1"/>
    <n v="86"/>
    <n v="2"/>
    <n v="2"/>
    <x v="1"/>
    <n v="4"/>
    <s v="Married"/>
    <n v="5747"/>
    <n v="26496"/>
    <n v="1"/>
    <s v="Y"/>
    <x v="0"/>
    <n v="15"/>
    <n v="3"/>
    <n v="2"/>
    <n v="80"/>
    <n v="0"/>
    <n v="16"/>
    <n v="3"/>
    <n v="3"/>
    <n v="15"/>
    <x v="3"/>
    <n v="10"/>
    <n v="6"/>
    <n v="11"/>
    <x v="0"/>
    <n v="0"/>
  </r>
  <r>
    <n v="28"/>
    <x v="2"/>
    <x v="0"/>
    <x v="0"/>
    <n v="1475"/>
    <x v="0"/>
    <n v="13"/>
    <n v="2"/>
    <s v="Marketing"/>
    <n v="1"/>
    <n v="1933"/>
    <n v="4"/>
    <x v="0"/>
    <n v="84"/>
    <n v="3"/>
    <n v="2"/>
    <x v="0"/>
    <n v="3"/>
    <s v="Single"/>
    <n v="9854"/>
    <n v="23352"/>
    <n v="3"/>
    <s v="Y"/>
    <x v="0"/>
    <n v="11"/>
    <n v="3"/>
    <n v="4"/>
    <n v="80"/>
    <n v="0"/>
    <n v="6"/>
    <n v="0"/>
    <n v="3"/>
    <n v="2"/>
    <x v="1"/>
    <n v="0"/>
    <n v="2"/>
    <n v="2"/>
    <x v="2"/>
    <n v="1"/>
  </r>
  <r>
    <n v="47"/>
    <x v="0"/>
    <x v="1"/>
    <x v="2"/>
    <n v="1169"/>
    <x v="1"/>
    <n v="14"/>
    <n v="4"/>
    <s v="Technical Degree"/>
    <n v="1"/>
    <n v="1934"/>
    <n v="3"/>
    <x v="1"/>
    <n v="64"/>
    <n v="3"/>
    <n v="2"/>
    <x v="1"/>
    <n v="2"/>
    <s v="Married"/>
    <n v="5467"/>
    <n v="2125"/>
    <n v="8"/>
    <s v="Y"/>
    <x v="1"/>
    <n v="18"/>
    <n v="3"/>
    <n v="3"/>
    <n v="80"/>
    <n v="1"/>
    <n v="16"/>
    <n v="4"/>
    <n v="4"/>
    <n v="8"/>
    <x v="0"/>
    <n v="7"/>
    <n v="1"/>
    <n v="7"/>
    <x v="1"/>
    <n v="0"/>
  </r>
  <r>
    <n v="56"/>
    <x v="3"/>
    <x v="1"/>
    <x v="0"/>
    <n v="1443"/>
    <x v="0"/>
    <n v="11"/>
    <n v="5"/>
    <s v="Marketing"/>
    <n v="1"/>
    <n v="1935"/>
    <n v="4"/>
    <x v="0"/>
    <n v="89"/>
    <n v="2"/>
    <n v="2"/>
    <x v="0"/>
    <n v="1"/>
    <s v="Married"/>
    <n v="5380"/>
    <n v="20328"/>
    <n v="4"/>
    <s v="Y"/>
    <x v="1"/>
    <n v="16"/>
    <n v="3"/>
    <n v="3"/>
    <n v="80"/>
    <n v="1"/>
    <n v="6"/>
    <n v="3"/>
    <n v="3"/>
    <n v="0"/>
    <x v="1"/>
    <n v="0"/>
    <n v="0"/>
    <n v="0"/>
    <x v="3"/>
    <n v="0"/>
  </r>
  <r>
    <n v="39"/>
    <x v="1"/>
    <x v="1"/>
    <x v="0"/>
    <n v="867"/>
    <x v="1"/>
    <n v="9"/>
    <n v="2"/>
    <s v="Medical"/>
    <n v="1"/>
    <n v="1936"/>
    <n v="1"/>
    <x v="1"/>
    <n v="87"/>
    <n v="3"/>
    <n v="2"/>
    <x v="3"/>
    <n v="1"/>
    <s v="Married"/>
    <n v="5151"/>
    <n v="12315"/>
    <n v="1"/>
    <s v="Y"/>
    <x v="1"/>
    <n v="25"/>
    <n v="4"/>
    <n v="4"/>
    <n v="80"/>
    <n v="1"/>
    <n v="10"/>
    <n v="3"/>
    <n v="3"/>
    <n v="10"/>
    <x v="0"/>
    <n v="0"/>
    <n v="7"/>
    <n v="9"/>
    <x v="3"/>
    <n v="0"/>
  </r>
  <r>
    <n v="38"/>
    <x v="1"/>
    <x v="1"/>
    <x v="1"/>
    <n v="1394"/>
    <x v="1"/>
    <n v="8"/>
    <n v="3"/>
    <s v="Medical"/>
    <n v="1"/>
    <n v="1937"/>
    <n v="4"/>
    <x v="0"/>
    <n v="58"/>
    <n v="2"/>
    <n v="2"/>
    <x v="1"/>
    <n v="2"/>
    <s v="Divorced"/>
    <n v="2133"/>
    <n v="18115"/>
    <n v="1"/>
    <s v="Y"/>
    <x v="0"/>
    <n v="16"/>
    <n v="3"/>
    <n v="3"/>
    <n v="80"/>
    <n v="1"/>
    <n v="20"/>
    <n v="3"/>
    <n v="3"/>
    <n v="20"/>
    <x v="3"/>
    <n v="11"/>
    <n v="0"/>
    <n v="7"/>
    <x v="1"/>
    <n v="0"/>
  </r>
  <r>
    <n v="58"/>
    <x v="3"/>
    <x v="1"/>
    <x v="0"/>
    <n v="605"/>
    <x v="0"/>
    <n v="21"/>
    <n v="3"/>
    <s v="Life Sciences"/>
    <n v="1"/>
    <n v="1938"/>
    <n v="4"/>
    <x v="0"/>
    <n v="72"/>
    <n v="3"/>
    <n v="4"/>
    <x v="5"/>
    <n v="4"/>
    <s v="Married"/>
    <n v="17875"/>
    <n v="11761"/>
    <n v="4"/>
    <s v="Y"/>
    <x v="0"/>
    <n v="13"/>
    <n v="3"/>
    <n v="3"/>
    <n v="80"/>
    <n v="1"/>
    <n v="29"/>
    <n v="2"/>
    <n v="2"/>
    <n v="1"/>
    <x v="1"/>
    <n v="0"/>
    <n v="0"/>
    <n v="0"/>
    <x v="0"/>
    <n v="0"/>
  </r>
  <r>
    <n v="32"/>
    <x v="1"/>
    <x v="0"/>
    <x v="1"/>
    <n v="238"/>
    <x v="1"/>
    <n v="5"/>
    <n v="2"/>
    <s v="Life Sciences"/>
    <n v="1"/>
    <n v="1939"/>
    <n v="1"/>
    <x v="0"/>
    <n v="47"/>
    <n v="4"/>
    <n v="1"/>
    <x v="1"/>
    <n v="3"/>
    <s v="Single"/>
    <n v="2432"/>
    <n v="15318"/>
    <n v="3"/>
    <s v="Y"/>
    <x v="0"/>
    <n v="14"/>
    <n v="3"/>
    <n v="1"/>
    <n v="80"/>
    <n v="0"/>
    <n v="8"/>
    <n v="2"/>
    <n v="3"/>
    <n v="4"/>
    <x v="2"/>
    <n v="1"/>
    <n v="0"/>
    <n v="3"/>
    <x v="2"/>
    <n v="1"/>
  </r>
  <r>
    <n v="38"/>
    <x v="1"/>
    <x v="1"/>
    <x v="0"/>
    <n v="1206"/>
    <x v="1"/>
    <n v="9"/>
    <n v="2"/>
    <s v="Life Sciences"/>
    <n v="1"/>
    <n v="1940"/>
    <n v="2"/>
    <x v="1"/>
    <n v="71"/>
    <n v="3"/>
    <n v="1"/>
    <x v="1"/>
    <n v="4"/>
    <s v="Divorced"/>
    <n v="4771"/>
    <n v="14293"/>
    <n v="2"/>
    <s v="Y"/>
    <x v="1"/>
    <n v="19"/>
    <n v="3"/>
    <n v="4"/>
    <n v="80"/>
    <n v="2"/>
    <n v="10"/>
    <n v="0"/>
    <n v="4"/>
    <n v="5"/>
    <x v="2"/>
    <n v="2"/>
    <n v="0"/>
    <n v="3"/>
    <x v="0"/>
    <n v="0"/>
  </r>
  <r>
    <n v="49"/>
    <x v="0"/>
    <x v="1"/>
    <x v="1"/>
    <n v="1064"/>
    <x v="1"/>
    <n v="2"/>
    <n v="1"/>
    <s v="Life Sciences"/>
    <n v="1"/>
    <n v="1941"/>
    <n v="2"/>
    <x v="1"/>
    <n v="42"/>
    <n v="3"/>
    <n v="5"/>
    <x v="7"/>
    <n v="4"/>
    <s v="Married"/>
    <n v="19161"/>
    <n v="13738"/>
    <n v="3"/>
    <s v="Y"/>
    <x v="1"/>
    <n v="15"/>
    <n v="3"/>
    <n v="4"/>
    <n v="80"/>
    <n v="0"/>
    <n v="28"/>
    <n v="3"/>
    <n v="3"/>
    <n v="5"/>
    <x v="2"/>
    <n v="4"/>
    <n v="4"/>
    <n v="3"/>
    <x v="0"/>
    <n v="0"/>
  </r>
  <r>
    <n v="42"/>
    <x v="0"/>
    <x v="1"/>
    <x v="0"/>
    <n v="419"/>
    <x v="0"/>
    <n v="12"/>
    <n v="4"/>
    <s v="Marketing"/>
    <n v="1"/>
    <n v="1943"/>
    <n v="2"/>
    <x v="1"/>
    <n v="77"/>
    <n v="3"/>
    <n v="2"/>
    <x v="0"/>
    <n v="4"/>
    <s v="Divorced"/>
    <n v="5087"/>
    <n v="2900"/>
    <n v="3"/>
    <s v="Y"/>
    <x v="0"/>
    <n v="12"/>
    <n v="3"/>
    <n v="3"/>
    <n v="80"/>
    <n v="2"/>
    <n v="14"/>
    <n v="4"/>
    <n v="3"/>
    <n v="0"/>
    <x v="1"/>
    <n v="0"/>
    <n v="0"/>
    <n v="0"/>
    <x v="0"/>
    <n v="0"/>
  </r>
  <r>
    <n v="27"/>
    <x v="2"/>
    <x v="0"/>
    <x v="1"/>
    <n v="1337"/>
    <x v="2"/>
    <n v="22"/>
    <n v="3"/>
    <s v="Human Resources"/>
    <n v="1"/>
    <n v="1944"/>
    <n v="1"/>
    <x v="0"/>
    <n v="58"/>
    <n v="2"/>
    <n v="1"/>
    <x v="8"/>
    <n v="2"/>
    <s v="Married"/>
    <n v="2863"/>
    <n v="19555"/>
    <n v="1"/>
    <s v="Y"/>
    <x v="1"/>
    <n v="12"/>
    <n v="3"/>
    <n v="1"/>
    <n v="80"/>
    <n v="0"/>
    <n v="1"/>
    <n v="2"/>
    <n v="3"/>
    <n v="1"/>
    <x v="1"/>
    <n v="0"/>
    <n v="0"/>
    <n v="0"/>
    <x v="1"/>
    <n v="1"/>
  </r>
  <r>
    <n v="35"/>
    <x v="1"/>
    <x v="1"/>
    <x v="0"/>
    <n v="682"/>
    <x v="0"/>
    <n v="18"/>
    <n v="4"/>
    <s v="Medical"/>
    <n v="1"/>
    <n v="1945"/>
    <n v="2"/>
    <x v="1"/>
    <n v="71"/>
    <n v="3"/>
    <n v="2"/>
    <x v="0"/>
    <n v="1"/>
    <s v="Married"/>
    <n v="5561"/>
    <n v="15975"/>
    <n v="0"/>
    <s v="Y"/>
    <x v="1"/>
    <n v="16"/>
    <n v="3"/>
    <n v="4"/>
    <n v="80"/>
    <n v="1"/>
    <n v="6"/>
    <n v="2"/>
    <n v="1"/>
    <n v="5"/>
    <x v="2"/>
    <n v="3"/>
    <n v="0"/>
    <n v="4"/>
    <x v="3"/>
    <n v="0"/>
  </r>
  <r>
    <n v="28"/>
    <x v="2"/>
    <x v="1"/>
    <x v="2"/>
    <n v="1103"/>
    <x v="1"/>
    <n v="16"/>
    <n v="3"/>
    <s v="Medical"/>
    <n v="1"/>
    <n v="1947"/>
    <n v="3"/>
    <x v="1"/>
    <n v="49"/>
    <n v="3"/>
    <n v="1"/>
    <x v="1"/>
    <n v="3"/>
    <s v="Single"/>
    <n v="2144"/>
    <n v="2122"/>
    <n v="1"/>
    <s v="Y"/>
    <x v="1"/>
    <n v="14"/>
    <n v="3"/>
    <n v="3"/>
    <n v="80"/>
    <n v="0"/>
    <n v="5"/>
    <n v="3"/>
    <n v="2"/>
    <n v="5"/>
    <x v="2"/>
    <n v="3"/>
    <n v="1"/>
    <n v="4"/>
    <x v="2"/>
    <n v="0"/>
  </r>
  <r>
    <n v="31"/>
    <x v="1"/>
    <x v="1"/>
    <x v="2"/>
    <n v="976"/>
    <x v="1"/>
    <n v="3"/>
    <n v="2"/>
    <s v="Medical"/>
    <n v="1"/>
    <n v="1948"/>
    <n v="3"/>
    <x v="1"/>
    <n v="48"/>
    <n v="3"/>
    <n v="1"/>
    <x v="1"/>
    <n v="1"/>
    <s v="Divorced"/>
    <n v="3065"/>
    <n v="3995"/>
    <n v="1"/>
    <s v="Y"/>
    <x v="0"/>
    <n v="13"/>
    <n v="3"/>
    <n v="4"/>
    <n v="80"/>
    <n v="1"/>
    <n v="4"/>
    <n v="3"/>
    <n v="4"/>
    <n v="4"/>
    <x v="2"/>
    <n v="2"/>
    <n v="2"/>
    <n v="3"/>
    <x v="3"/>
    <n v="0"/>
  </r>
  <r>
    <n v="36"/>
    <x v="1"/>
    <x v="1"/>
    <x v="2"/>
    <n v="1351"/>
    <x v="1"/>
    <n v="9"/>
    <n v="4"/>
    <s v="Life Sciences"/>
    <n v="1"/>
    <n v="1949"/>
    <n v="1"/>
    <x v="1"/>
    <n v="66"/>
    <n v="4"/>
    <n v="1"/>
    <x v="2"/>
    <n v="2"/>
    <s v="Married"/>
    <n v="2810"/>
    <n v="9238"/>
    <n v="1"/>
    <s v="Y"/>
    <x v="1"/>
    <n v="22"/>
    <n v="4"/>
    <n v="2"/>
    <n v="80"/>
    <n v="0"/>
    <n v="5"/>
    <n v="3"/>
    <n v="3"/>
    <n v="5"/>
    <x v="2"/>
    <n v="4"/>
    <n v="0"/>
    <n v="2"/>
    <x v="1"/>
    <n v="0"/>
  </r>
  <r>
    <n v="34"/>
    <x v="1"/>
    <x v="1"/>
    <x v="0"/>
    <n v="937"/>
    <x v="0"/>
    <n v="1"/>
    <n v="3"/>
    <s v="Marketing"/>
    <n v="1"/>
    <n v="1950"/>
    <n v="1"/>
    <x v="1"/>
    <n v="32"/>
    <n v="3"/>
    <n v="3"/>
    <x v="0"/>
    <n v="4"/>
    <s v="Single"/>
    <n v="9888"/>
    <n v="6770"/>
    <n v="1"/>
    <s v="Y"/>
    <x v="1"/>
    <n v="21"/>
    <n v="4"/>
    <n v="1"/>
    <n v="80"/>
    <n v="0"/>
    <n v="14"/>
    <n v="3"/>
    <n v="2"/>
    <n v="14"/>
    <x v="3"/>
    <n v="8"/>
    <n v="2"/>
    <n v="1"/>
    <x v="0"/>
    <n v="0"/>
  </r>
  <r>
    <n v="34"/>
    <x v="1"/>
    <x v="1"/>
    <x v="0"/>
    <n v="1239"/>
    <x v="0"/>
    <n v="13"/>
    <n v="4"/>
    <s v="Medical"/>
    <n v="1"/>
    <n v="1951"/>
    <n v="4"/>
    <x v="1"/>
    <n v="39"/>
    <n v="3"/>
    <n v="3"/>
    <x v="0"/>
    <n v="3"/>
    <s v="Divorced"/>
    <n v="8628"/>
    <n v="22914"/>
    <n v="1"/>
    <s v="Y"/>
    <x v="1"/>
    <n v="18"/>
    <n v="3"/>
    <n v="3"/>
    <n v="80"/>
    <n v="1"/>
    <n v="9"/>
    <n v="2"/>
    <n v="2"/>
    <n v="8"/>
    <x v="0"/>
    <n v="7"/>
    <n v="1"/>
    <n v="1"/>
    <x v="2"/>
    <n v="0"/>
  </r>
  <r>
    <n v="26"/>
    <x v="2"/>
    <x v="1"/>
    <x v="0"/>
    <n v="157"/>
    <x v="1"/>
    <n v="1"/>
    <n v="3"/>
    <s v="Medical"/>
    <n v="1"/>
    <n v="1952"/>
    <n v="3"/>
    <x v="1"/>
    <n v="95"/>
    <n v="3"/>
    <n v="1"/>
    <x v="2"/>
    <n v="1"/>
    <s v="Single"/>
    <n v="2867"/>
    <n v="20006"/>
    <n v="0"/>
    <s v="Y"/>
    <x v="1"/>
    <n v="13"/>
    <n v="3"/>
    <n v="4"/>
    <n v="80"/>
    <n v="0"/>
    <n v="8"/>
    <n v="6"/>
    <n v="2"/>
    <n v="7"/>
    <x v="0"/>
    <n v="7"/>
    <n v="7"/>
    <n v="6"/>
    <x v="3"/>
    <n v="0"/>
  </r>
  <r>
    <n v="29"/>
    <x v="2"/>
    <x v="1"/>
    <x v="0"/>
    <n v="136"/>
    <x v="1"/>
    <n v="1"/>
    <n v="3"/>
    <s v="Life Sciences"/>
    <n v="1"/>
    <n v="1954"/>
    <n v="1"/>
    <x v="1"/>
    <n v="89"/>
    <n v="3"/>
    <n v="2"/>
    <x v="4"/>
    <n v="1"/>
    <s v="Married"/>
    <n v="5373"/>
    <n v="6225"/>
    <n v="0"/>
    <s v="Y"/>
    <x v="1"/>
    <n v="12"/>
    <n v="3"/>
    <n v="1"/>
    <n v="80"/>
    <n v="1"/>
    <n v="6"/>
    <n v="5"/>
    <n v="2"/>
    <n v="5"/>
    <x v="2"/>
    <n v="3"/>
    <n v="0"/>
    <n v="2"/>
    <x v="3"/>
    <n v="0"/>
  </r>
  <r>
    <n v="32"/>
    <x v="1"/>
    <x v="1"/>
    <x v="2"/>
    <n v="1146"/>
    <x v="1"/>
    <n v="15"/>
    <n v="4"/>
    <s v="Medical"/>
    <n v="1"/>
    <n v="1955"/>
    <n v="3"/>
    <x v="0"/>
    <n v="34"/>
    <n v="3"/>
    <n v="2"/>
    <x v="4"/>
    <n v="4"/>
    <s v="Divorced"/>
    <n v="6667"/>
    <n v="16542"/>
    <n v="5"/>
    <s v="Y"/>
    <x v="1"/>
    <n v="18"/>
    <n v="3"/>
    <n v="2"/>
    <n v="80"/>
    <n v="1"/>
    <n v="9"/>
    <n v="6"/>
    <n v="3"/>
    <n v="5"/>
    <x v="2"/>
    <n v="1"/>
    <n v="1"/>
    <n v="2"/>
    <x v="0"/>
    <n v="0"/>
  </r>
  <r>
    <n v="31"/>
    <x v="1"/>
    <x v="1"/>
    <x v="1"/>
    <n v="1125"/>
    <x v="1"/>
    <n v="1"/>
    <n v="3"/>
    <s v="Life Sciences"/>
    <n v="1"/>
    <n v="1956"/>
    <n v="4"/>
    <x v="1"/>
    <n v="48"/>
    <n v="1"/>
    <n v="2"/>
    <x v="1"/>
    <n v="1"/>
    <s v="Married"/>
    <n v="5003"/>
    <n v="5771"/>
    <n v="1"/>
    <s v="Y"/>
    <x v="1"/>
    <n v="21"/>
    <n v="4"/>
    <n v="2"/>
    <n v="80"/>
    <n v="0"/>
    <n v="10"/>
    <n v="6"/>
    <n v="3"/>
    <n v="10"/>
    <x v="0"/>
    <n v="8"/>
    <n v="8"/>
    <n v="7"/>
    <x v="3"/>
    <n v="0"/>
  </r>
  <r>
    <n v="28"/>
    <x v="2"/>
    <x v="0"/>
    <x v="0"/>
    <n v="1404"/>
    <x v="1"/>
    <n v="17"/>
    <n v="3"/>
    <s v="Technical Degree"/>
    <n v="1"/>
    <n v="1960"/>
    <n v="3"/>
    <x v="1"/>
    <n v="32"/>
    <n v="2"/>
    <n v="1"/>
    <x v="2"/>
    <n v="4"/>
    <s v="Divorced"/>
    <n v="2367"/>
    <n v="18779"/>
    <n v="5"/>
    <s v="Y"/>
    <x v="1"/>
    <n v="12"/>
    <n v="3"/>
    <n v="1"/>
    <n v="80"/>
    <n v="1"/>
    <n v="6"/>
    <n v="2"/>
    <n v="2"/>
    <n v="4"/>
    <x v="2"/>
    <n v="1"/>
    <n v="0"/>
    <n v="3"/>
    <x v="0"/>
    <n v="1"/>
  </r>
  <r>
    <n v="38"/>
    <x v="1"/>
    <x v="1"/>
    <x v="0"/>
    <n v="1404"/>
    <x v="0"/>
    <n v="1"/>
    <n v="3"/>
    <s v="Life Sciences"/>
    <n v="1"/>
    <n v="1961"/>
    <n v="1"/>
    <x v="1"/>
    <n v="59"/>
    <n v="2"/>
    <n v="1"/>
    <x v="6"/>
    <n v="1"/>
    <s v="Single"/>
    <n v="2858"/>
    <n v="11473"/>
    <n v="4"/>
    <s v="Y"/>
    <x v="1"/>
    <n v="14"/>
    <n v="3"/>
    <n v="1"/>
    <n v="80"/>
    <n v="0"/>
    <n v="20"/>
    <n v="3"/>
    <n v="2"/>
    <n v="1"/>
    <x v="1"/>
    <n v="0"/>
    <n v="0"/>
    <n v="0"/>
    <x v="3"/>
    <n v="0"/>
  </r>
  <r>
    <n v="35"/>
    <x v="1"/>
    <x v="1"/>
    <x v="0"/>
    <n v="1224"/>
    <x v="0"/>
    <n v="7"/>
    <n v="4"/>
    <s v="Life Sciences"/>
    <n v="1"/>
    <n v="1962"/>
    <n v="3"/>
    <x v="0"/>
    <n v="55"/>
    <n v="3"/>
    <n v="2"/>
    <x v="0"/>
    <n v="4"/>
    <s v="Married"/>
    <n v="5204"/>
    <n v="13586"/>
    <n v="1"/>
    <s v="Y"/>
    <x v="0"/>
    <n v="11"/>
    <n v="3"/>
    <n v="4"/>
    <n v="80"/>
    <n v="0"/>
    <n v="10"/>
    <n v="2"/>
    <n v="3"/>
    <n v="10"/>
    <x v="0"/>
    <n v="8"/>
    <n v="0"/>
    <n v="9"/>
    <x v="0"/>
    <n v="0"/>
  </r>
  <r>
    <n v="27"/>
    <x v="2"/>
    <x v="1"/>
    <x v="0"/>
    <n v="954"/>
    <x v="0"/>
    <n v="9"/>
    <n v="3"/>
    <s v="Marketing"/>
    <n v="1"/>
    <n v="1965"/>
    <n v="4"/>
    <x v="1"/>
    <n v="44"/>
    <n v="3"/>
    <n v="2"/>
    <x v="0"/>
    <n v="4"/>
    <s v="Single"/>
    <n v="4105"/>
    <n v="5099"/>
    <n v="1"/>
    <s v="Y"/>
    <x v="1"/>
    <n v="14"/>
    <n v="3"/>
    <n v="1"/>
    <n v="80"/>
    <n v="0"/>
    <n v="7"/>
    <n v="5"/>
    <n v="3"/>
    <n v="7"/>
    <x v="0"/>
    <n v="7"/>
    <n v="0"/>
    <n v="7"/>
    <x v="0"/>
    <n v="0"/>
  </r>
  <r>
    <n v="32"/>
    <x v="1"/>
    <x v="1"/>
    <x v="0"/>
    <n v="1373"/>
    <x v="1"/>
    <n v="5"/>
    <n v="4"/>
    <s v="Life Sciences"/>
    <n v="1"/>
    <n v="1966"/>
    <n v="4"/>
    <x v="1"/>
    <n v="56"/>
    <n v="2"/>
    <n v="2"/>
    <x v="3"/>
    <n v="4"/>
    <s v="Single"/>
    <n v="9679"/>
    <n v="10138"/>
    <n v="8"/>
    <s v="Y"/>
    <x v="1"/>
    <n v="24"/>
    <n v="4"/>
    <n v="2"/>
    <n v="80"/>
    <n v="0"/>
    <n v="8"/>
    <n v="1"/>
    <n v="3"/>
    <n v="1"/>
    <x v="1"/>
    <n v="0"/>
    <n v="0"/>
    <n v="0"/>
    <x v="0"/>
    <n v="0"/>
  </r>
  <r>
    <n v="31"/>
    <x v="1"/>
    <x v="0"/>
    <x v="1"/>
    <n v="754"/>
    <x v="0"/>
    <n v="26"/>
    <n v="4"/>
    <s v="Marketing"/>
    <n v="1"/>
    <n v="1967"/>
    <n v="1"/>
    <x v="1"/>
    <n v="63"/>
    <n v="3"/>
    <n v="2"/>
    <x v="0"/>
    <n v="4"/>
    <s v="Married"/>
    <n v="5617"/>
    <n v="21075"/>
    <n v="1"/>
    <s v="Y"/>
    <x v="0"/>
    <n v="11"/>
    <n v="3"/>
    <n v="3"/>
    <n v="80"/>
    <n v="0"/>
    <n v="10"/>
    <n v="4"/>
    <n v="3"/>
    <n v="10"/>
    <x v="0"/>
    <n v="7"/>
    <n v="0"/>
    <n v="8"/>
    <x v="0"/>
    <n v="1"/>
  </r>
  <r>
    <n v="53"/>
    <x v="3"/>
    <x v="0"/>
    <x v="0"/>
    <n v="1168"/>
    <x v="0"/>
    <n v="24"/>
    <n v="4"/>
    <s v="Life Sciences"/>
    <n v="1"/>
    <n v="1968"/>
    <n v="1"/>
    <x v="1"/>
    <n v="66"/>
    <n v="3"/>
    <n v="3"/>
    <x v="0"/>
    <n v="1"/>
    <s v="Single"/>
    <n v="10448"/>
    <n v="5843"/>
    <n v="6"/>
    <s v="Y"/>
    <x v="0"/>
    <n v="13"/>
    <n v="3"/>
    <n v="2"/>
    <n v="80"/>
    <n v="0"/>
    <n v="15"/>
    <n v="2"/>
    <n v="2"/>
    <n v="2"/>
    <x v="1"/>
    <n v="2"/>
    <n v="2"/>
    <n v="2"/>
    <x v="3"/>
    <n v="1"/>
  </r>
  <r>
    <n v="54"/>
    <x v="3"/>
    <x v="1"/>
    <x v="0"/>
    <n v="155"/>
    <x v="1"/>
    <n v="9"/>
    <n v="2"/>
    <s v="Life Sciences"/>
    <n v="1"/>
    <n v="1969"/>
    <n v="1"/>
    <x v="0"/>
    <n v="67"/>
    <n v="3"/>
    <n v="2"/>
    <x v="1"/>
    <n v="3"/>
    <s v="Married"/>
    <n v="2897"/>
    <n v="22474"/>
    <n v="3"/>
    <s v="Y"/>
    <x v="1"/>
    <n v="11"/>
    <n v="3"/>
    <n v="3"/>
    <n v="80"/>
    <n v="2"/>
    <n v="9"/>
    <n v="6"/>
    <n v="2"/>
    <n v="4"/>
    <x v="2"/>
    <n v="3"/>
    <n v="2"/>
    <n v="3"/>
    <x v="2"/>
    <n v="0"/>
  </r>
  <r>
    <n v="33"/>
    <x v="1"/>
    <x v="1"/>
    <x v="1"/>
    <n v="1303"/>
    <x v="1"/>
    <n v="7"/>
    <n v="2"/>
    <s v="Life Sciences"/>
    <n v="1"/>
    <n v="1970"/>
    <n v="4"/>
    <x v="1"/>
    <n v="36"/>
    <n v="3"/>
    <n v="2"/>
    <x v="4"/>
    <n v="3"/>
    <s v="Divorced"/>
    <n v="5968"/>
    <n v="18079"/>
    <n v="1"/>
    <s v="Y"/>
    <x v="1"/>
    <n v="20"/>
    <n v="4"/>
    <n v="3"/>
    <n v="80"/>
    <n v="3"/>
    <n v="9"/>
    <n v="2"/>
    <n v="3"/>
    <n v="9"/>
    <x v="0"/>
    <n v="7"/>
    <n v="2"/>
    <n v="8"/>
    <x v="2"/>
    <n v="0"/>
  </r>
  <r>
    <n v="43"/>
    <x v="0"/>
    <x v="1"/>
    <x v="0"/>
    <n v="574"/>
    <x v="1"/>
    <n v="11"/>
    <n v="3"/>
    <s v="Life Sciences"/>
    <n v="1"/>
    <n v="1971"/>
    <n v="1"/>
    <x v="1"/>
    <n v="30"/>
    <n v="3"/>
    <n v="3"/>
    <x v="4"/>
    <n v="3"/>
    <s v="Married"/>
    <n v="7510"/>
    <n v="16873"/>
    <n v="1"/>
    <s v="Y"/>
    <x v="1"/>
    <n v="17"/>
    <n v="3"/>
    <n v="2"/>
    <n v="80"/>
    <n v="1"/>
    <n v="10"/>
    <n v="1"/>
    <n v="3"/>
    <n v="10"/>
    <x v="0"/>
    <n v="9"/>
    <n v="0"/>
    <n v="9"/>
    <x v="2"/>
    <n v="0"/>
  </r>
  <r>
    <n v="38"/>
    <x v="1"/>
    <x v="1"/>
    <x v="1"/>
    <n v="1444"/>
    <x v="2"/>
    <n v="1"/>
    <n v="4"/>
    <s v="Other"/>
    <n v="1"/>
    <n v="1972"/>
    <n v="4"/>
    <x v="1"/>
    <n v="88"/>
    <n v="3"/>
    <n v="1"/>
    <x v="8"/>
    <n v="2"/>
    <s v="Married"/>
    <n v="2991"/>
    <n v="5224"/>
    <n v="0"/>
    <s v="Y"/>
    <x v="0"/>
    <n v="11"/>
    <n v="3"/>
    <n v="2"/>
    <n v="80"/>
    <n v="1"/>
    <n v="7"/>
    <n v="2"/>
    <n v="3"/>
    <n v="6"/>
    <x v="0"/>
    <n v="2"/>
    <n v="1"/>
    <n v="2"/>
    <x v="1"/>
    <n v="0"/>
  </r>
  <r>
    <n v="55"/>
    <x v="3"/>
    <x v="1"/>
    <x v="0"/>
    <n v="189"/>
    <x v="2"/>
    <n v="26"/>
    <n v="4"/>
    <s v="Human Resources"/>
    <n v="1"/>
    <n v="1973"/>
    <n v="3"/>
    <x v="1"/>
    <n v="71"/>
    <n v="4"/>
    <n v="5"/>
    <x v="5"/>
    <n v="2"/>
    <s v="Married"/>
    <n v="19636"/>
    <n v="25811"/>
    <n v="4"/>
    <s v="Y"/>
    <x v="0"/>
    <n v="18"/>
    <n v="3"/>
    <n v="1"/>
    <n v="80"/>
    <n v="1"/>
    <n v="35"/>
    <n v="0"/>
    <n v="3"/>
    <n v="10"/>
    <x v="0"/>
    <n v="9"/>
    <n v="1"/>
    <n v="4"/>
    <x v="1"/>
    <n v="0"/>
  </r>
  <r>
    <n v="31"/>
    <x v="1"/>
    <x v="1"/>
    <x v="0"/>
    <n v="1276"/>
    <x v="1"/>
    <n v="2"/>
    <n v="1"/>
    <s v="Medical"/>
    <n v="1"/>
    <n v="1974"/>
    <n v="4"/>
    <x v="0"/>
    <n v="59"/>
    <n v="1"/>
    <n v="1"/>
    <x v="2"/>
    <n v="4"/>
    <s v="Divorced"/>
    <n v="1129"/>
    <n v="17536"/>
    <n v="1"/>
    <s v="Y"/>
    <x v="0"/>
    <n v="11"/>
    <n v="3"/>
    <n v="3"/>
    <n v="80"/>
    <n v="3"/>
    <n v="1"/>
    <n v="4"/>
    <n v="3"/>
    <n v="1"/>
    <x v="1"/>
    <n v="0"/>
    <n v="0"/>
    <n v="0"/>
    <x v="0"/>
    <n v="0"/>
  </r>
  <r>
    <n v="39"/>
    <x v="1"/>
    <x v="1"/>
    <x v="0"/>
    <n v="119"/>
    <x v="0"/>
    <n v="15"/>
    <n v="4"/>
    <s v="Marketing"/>
    <n v="1"/>
    <n v="1975"/>
    <n v="2"/>
    <x v="1"/>
    <n v="77"/>
    <n v="3"/>
    <n v="4"/>
    <x v="0"/>
    <n v="1"/>
    <s v="Single"/>
    <n v="13341"/>
    <n v="25098"/>
    <n v="0"/>
    <s v="Y"/>
    <x v="1"/>
    <n v="12"/>
    <n v="3"/>
    <n v="1"/>
    <n v="80"/>
    <n v="0"/>
    <n v="21"/>
    <n v="3"/>
    <n v="3"/>
    <n v="20"/>
    <x v="3"/>
    <n v="8"/>
    <n v="11"/>
    <n v="10"/>
    <x v="3"/>
    <n v="0"/>
  </r>
  <r>
    <n v="42"/>
    <x v="0"/>
    <x v="1"/>
    <x v="2"/>
    <n v="335"/>
    <x v="1"/>
    <n v="23"/>
    <n v="2"/>
    <s v="Life Sciences"/>
    <n v="1"/>
    <n v="1976"/>
    <n v="4"/>
    <x v="1"/>
    <n v="37"/>
    <n v="2"/>
    <n v="2"/>
    <x v="1"/>
    <n v="3"/>
    <s v="Single"/>
    <n v="4332"/>
    <n v="14811"/>
    <n v="1"/>
    <s v="Y"/>
    <x v="1"/>
    <n v="12"/>
    <n v="3"/>
    <n v="4"/>
    <n v="80"/>
    <n v="0"/>
    <n v="20"/>
    <n v="2"/>
    <n v="3"/>
    <n v="20"/>
    <x v="3"/>
    <n v="9"/>
    <n v="3"/>
    <n v="7"/>
    <x v="2"/>
    <n v="0"/>
  </r>
  <r>
    <n v="31"/>
    <x v="1"/>
    <x v="1"/>
    <x v="2"/>
    <n v="697"/>
    <x v="1"/>
    <n v="10"/>
    <n v="3"/>
    <s v="Medical"/>
    <n v="1"/>
    <n v="1979"/>
    <n v="3"/>
    <x v="0"/>
    <n v="40"/>
    <n v="3"/>
    <n v="3"/>
    <x v="7"/>
    <n v="3"/>
    <s v="Married"/>
    <n v="11031"/>
    <n v="26862"/>
    <n v="4"/>
    <s v="Y"/>
    <x v="1"/>
    <n v="20"/>
    <n v="4"/>
    <n v="3"/>
    <n v="80"/>
    <n v="1"/>
    <n v="13"/>
    <n v="2"/>
    <n v="4"/>
    <n v="11"/>
    <x v="3"/>
    <n v="7"/>
    <n v="4"/>
    <n v="8"/>
    <x v="2"/>
    <n v="0"/>
  </r>
  <r>
    <n v="54"/>
    <x v="3"/>
    <x v="1"/>
    <x v="0"/>
    <n v="157"/>
    <x v="1"/>
    <n v="10"/>
    <n v="3"/>
    <s v="Medical"/>
    <n v="1"/>
    <n v="1980"/>
    <n v="3"/>
    <x v="0"/>
    <n v="77"/>
    <n v="3"/>
    <n v="2"/>
    <x v="3"/>
    <n v="1"/>
    <s v="Single"/>
    <n v="4440"/>
    <n v="25198"/>
    <n v="6"/>
    <s v="Y"/>
    <x v="0"/>
    <n v="19"/>
    <n v="3"/>
    <n v="4"/>
    <n v="80"/>
    <n v="0"/>
    <n v="9"/>
    <n v="3"/>
    <n v="3"/>
    <n v="5"/>
    <x v="2"/>
    <n v="2"/>
    <n v="1"/>
    <n v="4"/>
    <x v="3"/>
    <n v="0"/>
  </r>
  <r>
    <n v="24"/>
    <x v="2"/>
    <x v="1"/>
    <x v="0"/>
    <n v="771"/>
    <x v="1"/>
    <n v="1"/>
    <n v="2"/>
    <s v="Life Sciences"/>
    <n v="1"/>
    <n v="1981"/>
    <n v="2"/>
    <x v="1"/>
    <n v="45"/>
    <n v="2"/>
    <n v="2"/>
    <x v="4"/>
    <n v="3"/>
    <s v="Single"/>
    <n v="4617"/>
    <n v="14120"/>
    <n v="1"/>
    <s v="Y"/>
    <x v="1"/>
    <n v="12"/>
    <n v="3"/>
    <n v="2"/>
    <n v="80"/>
    <n v="0"/>
    <n v="4"/>
    <n v="2"/>
    <n v="2"/>
    <n v="4"/>
    <x v="2"/>
    <n v="3"/>
    <n v="1"/>
    <n v="2"/>
    <x v="2"/>
    <n v="0"/>
  </r>
  <r>
    <n v="23"/>
    <x v="2"/>
    <x v="1"/>
    <x v="0"/>
    <n v="571"/>
    <x v="1"/>
    <n v="12"/>
    <n v="2"/>
    <s v="Other"/>
    <n v="1"/>
    <n v="1982"/>
    <n v="4"/>
    <x v="1"/>
    <n v="78"/>
    <n v="3"/>
    <n v="1"/>
    <x v="2"/>
    <n v="4"/>
    <s v="Single"/>
    <n v="2647"/>
    <n v="13672"/>
    <n v="1"/>
    <s v="Y"/>
    <x v="1"/>
    <n v="13"/>
    <n v="3"/>
    <n v="3"/>
    <n v="80"/>
    <n v="0"/>
    <n v="5"/>
    <n v="6"/>
    <n v="4"/>
    <n v="5"/>
    <x v="2"/>
    <n v="2"/>
    <n v="1"/>
    <n v="4"/>
    <x v="0"/>
    <n v="0"/>
  </r>
  <r>
    <n v="40"/>
    <x v="1"/>
    <x v="1"/>
    <x v="1"/>
    <n v="692"/>
    <x v="1"/>
    <n v="11"/>
    <n v="3"/>
    <s v="Technical Degree"/>
    <n v="1"/>
    <n v="1985"/>
    <n v="4"/>
    <x v="0"/>
    <n v="73"/>
    <n v="3"/>
    <n v="2"/>
    <x v="2"/>
    <n v="3"/>
    <s v="Married"/>
    <n v="6323"/>
    <n v="26849"/>
    <n v="1"/>
    <s v="Y"/>
    <x v="1"/>
    <n v="11"/>
    <n v="3"/>
    <n v="1"/>
    <n v="80"/>
    <n v="1"/>
    <n v="10"/>
    <n v="2"/>
    <n v="4"/>
    <n v="10"/>
    <x v="0"/>
    <n v="9"/>
    <n v="9"/>
    <n v="4"/>
    <x v="2"/>
    <n v="0"/>
  </r>
  <r>
    <n v="40"/>
    <x v="1"/>
    <x v="1"/>
    <x v="0"/>
    <n v="444"/>
    <x v="0"/>
    <n v="2"/>
    <n v="2"/>
    <s v="Marketing"/>
    <n v="1"/>
    <n v="1986"/>
    <n v="2"/>
    <x v="0"/>
    <n v="92"/>
    <n v="3"/>
    <n v="2"/>
    <x v="0"/>
    <n v="2"/>
    <s v="Married"/>
    <n v="5677"/>
    <n v="4258"/>
    <n v="3"/>
    <s v="Y"/>
    <x v="1"/>
    <n v="14"/>
    <n v="3"/>
    <n v="3"/>
    <n v="80"/>
    <n v="1"/>
    <n v="15"/>
    <n v="4"/>
    <n v="3"/>
    <n v="11"/>
    <x v="3"/>
    <n v="8"/>
    <n v="5"/>
    <n v="10"/>
    <x v="1"/>
    <n v="0"/>
  </r>
  <r>
    <n v="25"/>
    <x v="2"/>
    <x v="1"/>
    <x v="0"/>
    <n v="309"/>
    <x v="2"/>
    <n v="2"/>
    <n v="3"/>
    <s v="Human Resources"/>
    <n v="1"/>
    <n v="1987"/>
    <n v="3"/>
    <x v="0"/>
    <n v="82"/>
    <n v="3"/>
    <n v="1"/>
    <x v="8"/>
    <n v="2"/>
    <s v="Married"/>
    <n v="2187"/>
    <n v="19655"/>
    <n v="4"/>
    <s v="Y"/>
    <x v="1"/>
    <n v="14"/>
    <n v="3"/>
    <n v="3"/>
    <n v="80"/>
    <n v="0"/>
    <n v="6"/>
    <n v="3"/>
    <n v="3"/>
    <n v="2"/>
    <x v="1"/>
    <n v="0"/>
    <n v="1"/>
    <n v="2"/>
    <x v="1"/>
    <n v="0"/>
  </r>
  <r>
    <n v="30"/>
    <x v="1"/>
    <x v="1"/>
    <x v="0"/>
    <n v="911"/>
    <x v="1"/>
    <n v="1"/>
    <n v="2"/>
    <s v="Medical"/>
    <n v="1"/>
    <n v="1989"/>
    <n v="4"/>
    <x v="1"/>
    <n v="76"/>
    <n v="3"/>
    <n v="1"/>
    <x v="2"/>
    <n v="2"/>
    <s v="Married"/>
    <n v="3748"/>
    <n v="4077"/>
    <n v="1"/>
    <s v="Y"/>
    <x v="1"/>
    <n v="13"/>
    <n v="3"/>
    <n v="3"/>
    <n v="80"/>
    <n v="0"/>
    <n v="12"/>
    <n v="6"/>
    <n v="2"/>
    <n v="12"/>
    <x v="3"/>
    <n v="8"/>
    <n v="1"/>
    <n v="7"/>
    <x v="1"/>
    <n v="0"/>
  </r>
  <r>
    <n v="25"/>
    <x v="2"/>
    <x v="1"/>
    <x v="0"/>
    <n v="977"/>
    <x v="1"/>
    <n v="2"/>
    <n v="1"/>
    <s v="Other"/>
    <n v="1"/>
    <n v="1992"/>
    <n v="4"/>
    <x v="1"/>
    <n v="57"/>
    <n v="3"/>
    <n v="1"/>
    <x v="2"/>
    <n v="3"/>
    <s v="Divorced"/>
    <n v="3977"/>
    <n v="7298"/>
    <n v="6"/>
    <s v="Y"/>
    <x v="0"/>
    <n v="19"/>
    <n v="3"/>
    <n v="3"/>
    <n v="80"/>
    <n v="1"/>
    <n v="7"/>
    <n v="2"/>
    <n v="2"/>
    <n v="2"/>
    <x v="1"/>
    <n v="2"/>
    <n v="0"/>
    <n v="2"/>
    <x v="2"/>
    <n v="0"/>
  </r>
  <r>
    <n v="47"/>
    <x v="0"/>
    <x v="1"/>
    <x v="0"/>
    <n v="1180"/>
    <x v="1"/>
    <n v="25"/>
    <n v="3"/>
    <s v="Medical"/>
    <n v="1"/>
    <n v="1993"/>
    <n v="1"/>
    <x v="1"/>
    <n v="84"/>
    <n v="3"/>
    <n v="3"/>
    <x v="4"/>
    <n v="3"/>
    <s v="Single"/>
    <n v="8633"/>
    <n v="13084"/>
    <n v="2"/>
    <s v="Y"/>
    <x v="1"/>
    <n v="23"/>
    <n v="4"/>
    <n v="2"/>
    <n v="80"/>
    <n v="0"/>
    <n v="25"/>
    <n v="3"/>
    <n v="3"/>
    <n v="17"/>
    <x v="3"/>
    <n v="14"/>
    <n v="12"/>
    <n v="11"/>
    <x v="2"/>
    <n v="0"/>
  </r>
  <r>
    <n v="33"/>
    <x v="1"/>
    <x v="1"/>
    <x v="2"/>
    <n v="1313"/>
    <x v="1"/>
    <n v="1"/>
    <n v="2"/>
    <s v="Medical"/>
    <n v="1"/>
    <n v="1994"/>
    <n v="2"/>
    <x v="1"/>
    <n v="59"/>
    <n v="2"/>
    <n v="1"/>
    <x v="2"/>
    <n v="3"/>
    <s v="Divorced"/>
    <n v="2008"/>
    <n v="20439"/>
    <n v="1"/>
    <s v="Y"/>
    <x v="1"/>
    <n v="12"/>
    <n v="3"/>
    <n v="3"/>
    <n v="80"/>
    <n v="3"/>
    <n v="1"/>
    <n v="2"/>
    <n v="2"/>
    <n v="1"/>
    <x v="1"/>
    <n v="1"/>
    <n v="0"/>
    <n v="0"/>
    <x v="2"/>
    <n v="0"/>
  </r>
  <r>
    <n v="38"/>
    <x v="1"/>
    <x v="1"/>
    <x v="0"/>
    <n v="1321"/>
    <x v="0"/>
    <n v="1"/>
    <n v="4"/>
    <s v="Life Sciences"/>
    <n v="1"/>
    <n v="1995"/>
    <n v="4"/>
    <x v="1"/>
    <n v="86"/>
    <n v="3"/>
    <n v="2"/>
    <x v="0"/>
    <n v="2"/>
    <s v="Married"/>
    <n v="4440"/>
    <n v="7636"/>
    <n v="0"/>
    <s v="Y"/>
    <x v="1"/>
    <n v="15"/>
    <n v="3"/>
    <n v="1"/>
    <n v="80"/>
    <n v="2"/>
    <n v="16"/>
    <n v="3"/>
    <n v="3"/>
    <n v="15"/>
    <x v="3"/>
    <n v="13"/>
    <n v="5"/>
    <n v="8"/>
    <x v="1"/>
    <n v="0"/>
  </r>
  <r>
    <n v="31"/>
    <x v="1"/>
    <x v="1"/>
    <x v="0"/>
    <n v="1154"/>
    <x v="0"/>
    <n v="2"/>
    <n v="2"/>
    <s v="Life Sciences"/>
    <n v="1"/>
    <n v="1996"/>
    <n v="1"/>
    <x v="1"/>
    <n v="54"/>
    <n v="3"/>
    <n v="1"/>
    <x v="6"/>
    <n v="3"/>
    <s v="Married"/>
    <n v="3067"/>
    <n v="6393"/>
    <n v="0"/>
    <s v="Y"/>
    <x v="1"/>
    <n v="19"/>
    <n v="3"/>
    <n v="3"/>
    <n v="80"/>
    <n v="1"/>
    <n v="3"/>
    <n v="1"/>
    <n v="3"/>
    <n v="2"/>
    <x v="1"/>
    <n v="2"/>
    <n v="1"/>
    <n v="2"/>
    <x v="2"/>
    <n v="0"/>
  </r>
  <r>
    <n v="38"/>
    <x v="1"/>
    <x v="1"/>
    <x v="1"/>
    <n v="508"/>
    <x v="1"/>
    <n v="6"/>
    <n v="4"/>
    <s v="Life Sciences"/>
    <n v="1"/>
    <n v="1997"/>
    <n v="1"/>
    <x v="1"/>
    <n v="72"/>
    <n v="2"/>
    <n v="2"/>
    <x v="3"/>
    <n v="3"/>
    <s v="Married"/>
    <n v="5321"/>
    <n v="14284"/>
    <n v="2"/>
    <s v="Y"/>
    <x v="1"/>
    <n v="11"/>
    <n v="3"/>
    <n v="4"/>
    <n v="80"/>
    <n v="1"/>
    <n v="10"/>
    <n v="1"/>
    <n v="3"/>
    <n v="8"/>
    <x v="0"/>
    <n v="3"/>
    <n v="7"/>
    <n v="7"/>
    <x v="2"/>
    <n v="0"/>
  </r>
  <r>
    <n v="42"/>
    <x v="0"/>
    <x v="1"/>
    <x v="0"/>
    <n v="557"/>
    <x v="1"/>
    <n v="18"/>
    <n v="4"/>
    <s v="Life Sciences"/>
    <n v="1"/>
    <n v="1998"/>
    <n v="4"/>
    <x v="1"/>
    <n v="35"/>
    <n v="3"/>
    <n v="2"/>
    <x v="1"/>
    <n v="1"/>
    <s v="Divorced"/>
    <n v="5410"/>
    <n v="11189"/>
    <n v="6"/>
    <s v="Y"/>
    <x v="0"/>
    <n v="17"/>
    <n v="3"/>
    <n v="3"/>
    <n v="80"/>
    <n v="1"/>
    <n v="9"/>
    <n v="3"/>
    <n v="2"/>
    <n v="4"/>
    <x v="2"/>
    <n v="3"/>
    <n v="1"/>
    <n v="2"/>
    <x v="3"/>
    <n v="0"/>
  </r>
  <r>
    <n v="41"/>
    <x v="0"/>
    <x v="1"/>
    <x v="0"/>
    <n v="642"/>
    <x v="1"/>
    <n v="1"/>
    <n v="3"/>
    <s v="Life Sciences"/>
    <n v="1"/>
    <n v="1999"/>
    <n v="4"/>
    <x v="1"/>
    <n v="76"/>
    <n v="3"/>
    <n v="1"/>
    <x v="1"/>
    <n v="4"/>
    <s v="Married"/>
    <n v="2782"/>
    <n v="21412"/>
    <n v="3"/>
    <s v="Y"/>
    <x v="1"/>
    <n v="22"/>
    <n v="4"/>
    <n v="1"/>
    <n v="80"/>
    <n v="1"/>
    <n v="12"/>
    <n v="3"/>
    <n v="3"/>
    <n v="5"/>
    <x v="2"/>
    <n v="3"/>
    <n v="1"/>
    <n v="0"/>
    <x v="0"/>
    <n v="0"/>
  </r>
  <r>
    <n v="47"/>
    <x v="0"/>
    <x v="1"/>
    <x v="2"/>
    <n v="1162"/>
    <x v="1"/>
    <n v="1"/>
    <n v="1"/>
    <s v="Medical"/>
    <n v="1"/>
    <n v="2000"/>
    <n v="3"/>
    <x v="0"/>
    <n v="98"/>
    <n v="3"/>
    <n v="3"/>
    <x v="7"/>
    <n v="2"/>
    <s v="Married"/>
    <n v="11957"/>
    <n v="17231"/>
    <n v="0"/>
    <s v="Y"/>
    <x v="1"/>
    <n v="18"/>
    <n v="3"/>
    <n v="1"/>
    <n v="80"/>
    <n v="2"/>
    <n v="14"/>
    <n v="3"/>
    <n v="1"/>
    <n v="13"/>
    <x v="3"/>
    <n v="8"/>
    <n v="5"/>
    <n v="12"/>
    <x v="1"/>
    <n v="0"/>
  </r>
  <r>
    <n v="35"/>
    <x v="1"/>
    <x v="1"/>
    <x v="0"/>
    <n v="1490"/>
    <x v="1"/>
    <n v="11"/>
    <n v="4"/>
    <s v="Medical"/>
    <n v="1"/>
    <n v="2003"/>
    <n v="4"/>
    <x v="1"/>
    <n v="43"/>
    <n v="3"/>
    <n v="1"/>
    <x v="2"/>
    <n v="3"/>
    <s v="Married"/>
    <n v="2660"/>
    <n v="20232"/>
    <n v="7"/>
    <s v="Y"/>
    <x v="0"/>
    <n v="11"/>
    <n v="3"/>
    <n v="3"/>
    <n v="80"/>
    <n v="1"/>
    <n v="5"/>
    <n v="3"/>
    <n v="3"/>
    <n v="2"/>
    <x v="1"/>
    <n v="2"/>
    <n v="2"/>
    <n v="2"/>
    <x v="2"/>
    <n v="0"/>
  </r>
  <r>
    <n v="22"/>
    <x v="2"/>
    <x v="1"/>
    <x v="0"/>
    <n v="581"/>
    <x v="1"/>
    <n v="1"/>
    <n v="2"/>
    <s v="Life Sciences"/>
    <n v="1"/>
    <n v="2007"/>
    <n v="4"/>
    <x v="1"/>
    <n v="63"/>
    <n v="3"/>
    <n v="1"/>
    <x v="1"/>
    <n v="3"/>
    <s v="Single"/>
    <n v="3375"/>
    <n v="17624"/>
    <n v="0"/>
    <s v="Y"/>
    <x v="1"/>
    <n v="12"/>
    <n v="3"/>
    <n v="4"/>
    <n v="80"/>
    <n v="0"/>
    <n v="4"/>
    <n v="2"/>
    <n v="4"/>
    <n v="3"/>
    <x v="2"/>
    <n v="2"/>
    <n v="1"/>
    <n v="2"/>
    <x v="2"/>
    <n v="0"/>
  </r>
  <r>
    <n v="35"/>
    <x v="1"/>
    <x v="1"/>
    <x v="0"/>
    <n v="1395"/>
    <x v="1"/>
    <n v="9"/>
    <n v="4"/>
    <s v="Medical"/>
    <n v="1"/>
    <n v="2008"/>
    <n v="2"/>
    <x v="1"/>
    <n v="48"/>
    <n v="3"/>
    <n v="2"/>
    <x v="1"/>
    <n v="3"/>
    <s v="Single"/>
    <n v="5098"/>
    <n v="18698"/>
    <n v="1"/>
    <s v="Y"/>
    <x v="1"/>
    <n v="19"/>
    <n v="3"/>
    <n v="2"/>
    <n v="80"/>
    <n v="0"/>
    <n v="10"/>
    <n v="5"/>
    <n v="3"/>
    <n v="10"/>
    <x v="0"/>
    <n v="7"/>
    <n v="0"/>
    <n v="8"/>
    <x v="2"/>
    <n v="0"/>
  </r>
  <r>
    <n v="33"/>
    <x v="1"/>
    <x v="1"/>
    <x v="0"/>
    <n v="501"/>
    <x v="1"/>
    <n v="15"/>
    <n v="2"/>
    <s v="Medical"/>
    <n v="1"/>
    <n v="2009"/>
    <n v="2"/>
    <x v="0"/>
    <n v="95"/>
    <n v="3"/>
    <n v="2"/>
    <x v="4"/>
    <n v="4"/>
    <s v="Married"/>
    <n v="4878"/>
    <n v="21653"/>
    <n v="0"/>
    <s v="Y"/>
    <x v="0"/>
    <n v="13"/>
    <n v="3"/>
    <n v="1"/>
    <n v="80"/>
    <n v="1"/>
    <n v="10"/>
    <n v="6"/>
    <n v="3"/>
    <n v="9"/>
    <x v="0"/>
    <n v="7"/>
    <n v="8"/>
    <n v="1"/>
    <x v="0"/>
    <n v="0"/>
  </r>
  <r>
    <n v="32"/>
    <x v="1"/>
    <x v="1"/>
    <x v="0"/>
    <n v="267"/>
    <x v="1"/>
    <n v="29"/>
    <n v="4"/>
    <s v="Life Sciences"/>
    <n v="1"/>
    <n v="2010"/>
    <n v="3"/>
    <x v="0"/>
    <n v="49"/>
    <n v="2"/>
    <n v="1"/>
    <x v="2"/>
    <n v="2"/>
    <s v="Single"/>
    <n v="2837"/>
    <n v="15919"/>
    <n v="1"/>
    <s v="Y"/>
    <x v="1"/>
    <n v="13"/>
    <n v="3"/>
    <n v="3"/>
    <n v="80"/>
    <n v="0"/>
    <n v="6"/>
    <n v="3"/>
    <n v="3"/>
    <n v="6"/>
    <x v="0"/>
    <n v="2"/>
    <n v="4"/>
    <n v="1"/>
    <x v="1"/>
    <n v="0"/>
  </r>
  <r>
    <n v="40"/>
    <x v="1"/>
    <x v="1"/>
    <x v="0"/>
    <n v="543"/>
    <x v="1"/>
    <n v="1"/>
    <n v="4"/>
    <s v="Life Sciences"/>
    <n v="1"/>
    <n v="2012"/>
    <n v="1"/>
    <x v="1"/>
    <n v="83"/>
    <n v="3"/>
    <n v="1"/>
    <x v="2"/>
    <n v="4"/>
    <s v="Married"/>
    <n v="2406"/>
    <n v="4060"/>
    <n v="8"/>
    <s v="Y"/>
    <x v="1"/>
    <n v="19"/>
    <n v="3"/>
    <n v="3"/>
    <n v="80"/>
    <n v="2"/>
    <n v="8"/>
    <n v="3"/>
    <n v="2"/>
    <n v="1"/>
    <x v="1"/>
    <n v="0"/>
    <n v="0"/>
    <n v="0"/>
    <x v="0"/>
    <n v="0"/>
  </r>
  <r>
    <n v="32"/>
    <x v="1"/>
    <x v="1"/>
    <x v="0"/>
    <n v="234"/>
    <x v="0"/>
    <n v="1"/>
    <n v="4"/>
    <s v="Medical"/>
    <n v="1"/>
    <n v="2013"/>
    <n v="2"/>
    <x v="1"/>
    <n v="68"/>
    <n v="2"/>
    <n v="1"/>
    <x v="6"/>
    <n v="2"/>
    <s v="Married"/>
    <n v="2269"/>
    <n v="18024"/>
    <n v="0"/>
    <s v="Y"/>
    <x v="1"/>
    <n v="14"/>
    <n v="3"/>
    <n v="2"/>
    <n v="80"/>
    <n v="1"/>
    <n v="3"/>
    <n v="2"/>
    <n v="3"/>
    <n v="2"/>
    <x v="1"/>
    <n v="2"/>
    <n v="2"/>
    <n v="2"/>
    <x v="1"/>
    <n v="0"/>
  </r>
  <r>
    <n v="39"/>
    <x v="1"/>
    <x v="1"/>
    <x v="0"/>
    <n v="116"/>
    <x v="1"/>
    <n v="24"/>
    <n v="1"/>
    <s v="Life Sciences"/>
    <n v="1"/>
    <n v="2014"/>
    <n v="1"/>
    <x v="1"/>
    <n v="52"/>
    <n v="3"/>
    <n v="2"/>
    <x v="1"/>
    <n v="4"/>
    <s v="Single"/>
    <n v="4108"/>
    <n v="5340"/>
    <n v="7"/>
    <s v="Y"/>
    <x v="1"/>
    <n v="13"/>
    <n v="3"/>
    <n v="1"/>
    <n v="80"/>
    <n v="0"/>
    <n v="18"/>
    <n v="2"/>
    <n v="3"/>
    <n v="7"/>
    <x v="0"/>
    <n v="7"/>
    <n v="1"/>
    <n v="7"/>
    <x v="0"/>
    <n v="0"/>
  </r>
  <r>
    <n v="38"/>
    <x v="1"/>
    <x v="1"/>
    <x v="0"/>
    <n v="201"/>
    <x v="1"/>
    <n v="10"/>
    <n v="3"/>
    <s v="Medical"/>
    <n v="1"/>
    <n v="2015"/>
    <n v="2"/>
    <x v="0"/>
    <n v="99"/>
    <n v="1"/>
    <n v="3"/>
    <x v="7"/>
    <n v="3"/>
    <s v="Married"/>
    <n v="13206"/>
    <n v="3376"/>
    <n v="3"/>
    <s v="Y"/>
    <x v="1"/>
    <n v="12"/>
    <n v="3"/>
    <n v="1"/>
    <n v="80"/>
    <n v="1"/>
    <n v="20"/>
    <n v="3"/>
    <n v="3"/>
    <n v="18"/>
    <x v="3"/>
    <n v="16"/>
    <n v="1"/>
    <n v="11"/>
    <x v="2"/>
    <n v="0"/>
  </r>
  <r>
    <n v="32"/>
    <x v="1"/>
    <x v="1"/>
    <x v="0"/>
    <n v="801"/>
    <x v="0"/>
    <n v="1"/>
    <n v="4"/>
    <s v="Marketing"/>
    <n v="1"/>
    <n v="2016"/>
    <n v="3"/>
    <x v="0"/>
    <n v="48"/>
    <n v="3"/>
    <n v="3"/>
    <x v="0"/>
    <n v="4"/>
    <s v="Married"/>
    <n v="10422"/>
    <n v="24032"/>
    <n v="1"/>
    <s v="Y"/>
    <x v="1"/>
    <n v="19"/>
    <n v="3"/>
    <n v="3"/>
    <n v="80"/>
    <n v="2"/>
    <n v="14"/>
    <n v="3"/>
    <n v="3"/>
    <n v="14"/>
    <x v="3"/>
    <n v="10"/>
    <n v="5"/>
    <n v="7"/>
    <x v="0"/>
    <n v="0"/>
  </r>
  <r>
    <n v="37"/>
    <x v="1"/>
    <x v="1"/>
    <x v="0"/>
    <n v="161"/>
    <x v="1"/>
    <n v="10"/>
    <n v="3"/>
    <s v="Life Sciences"/>
    <n v="1"/>
    <n v="2017"/>
    <n v="3"/>
    <x v="0"/>
    <n v="42"/>
    <n v="4"/>
    <n v="3"/>
    <x v="7"/>
    <n v="4"/>
    <s v="Married"/>
    <n v="13744"/>
    <n v="15471"/>
    <n v="1"/>
    <s v="Y"/>
    <x v="0"/>
    <n v="25"/>
    <n v="4"/>
    <n v="1"/>
    <n v="80"/>
    <n v="1"/>
    <n v="16"/>
    <n v="2"/>
    <n v="3"/>
    <n v="16"/>
    <x v="3"/>
    <n v="11"/>
    <n v="6"/>
    <n v="8"/>
    <x v="0"/>
    <n v="0"/>
  </r>
  <r>
    <n v="25"/>
    <x v="2"/>
    <x v="1"/>
    <x v="0"/>
    <n v="1382"/>
    <x v="0"/>
    <n v="8"/>
    <n v="2"/>
    <s v="Other"/>
    <n v="1"/>
    <n v="2018"/>
    <n v="1"/>
    <x v="0"/>
    <n v="85"/>
    <n v="3"/>
    <n v="2"/>
    <x v="0"/>
    <n v="3"/>
    <s v="Divorced"/>
    <n v="4907"/>
    <n v="13684"/>
    <n v="0"/>
    <s v="Y"/>
    <x v="0"/>
    <n v="22"/>
    <n v="4"/>
    <n v="2"/>
    <n v="80"/>
    <n v="1"/>
    <n v="6"/>
    <n v="3"/>
    <n v="2"/>
    <n v="5"/>
    <x v="2"/>
    <n v="3"/>
    <n v="0"/>
    <n v="4"/>
    <x v="2"/>
    <n v="0"/>
  </r>
  <r>
    <n v="52"/>
    <x v="3"/>
    <x v="1"/>
    <x v="2"/>
    <n v="585"/>
    <x v="0"/>
    <n v="29"/>
    <n v="4"/>
    <s v="Life Sciences"/>
    <n v="1"/>
    <n v="2019"/>
    <n v="1"/>
    <x v="1"/>
    <n v="40"/>
    <n v="3"/>
    <n v="1"/>
    <x v="6"/>
    <n v="4"/>
    <s v="Divorced"/>
    <n v="3482"/>
    <n v="19788"/>
    <n v="2"/>
    <s v="Y"/>
    <x v="1"/>
    <n v="15"/>
    <n v="3"/>
    <n v="2"/>
    <n v="80"/>
    <n v="2"/>
    <n v="16"/>
    <n v="3"/>
    <n v="2"/>
    <n v="9"/>
    <x v="0"/>
    <n v="8"/>
    <n v="0"/>
    <n v="0"/>
    <x v="0"/>
    <n v="0"/>
  </r>
  <r>
    <n v="44"/>
    <x v="0"/>
    <x v="1"/>
    <x v="0"/>
    <n v="1037"/>
    <x v="1"/>
    <n v="1"/>
    <n v="3"/>
    <s v="Medical"/>
    <n v="1"/>
    <n v="2020"/>
    <n v="2"/>
    <x v="1"/>
    <n v="42"/>
    <n v="3"/>
    <n v="1"/>
    <x v="1"/>
    <n v="4"/>
    <s v="Single"/>
    <n v="2436"/>
    <n v="13422"/>
    <n v="6"/>
    <s v="Y"/>
    <x v="0"/>
    <n v="12"/>
    <n v="3"/>
    <n v="3"/>
    <n v="80"/>
    <n v="0"/>
    <n v="6"/>
    <n v="2"/>
    <n v="3"/>
    <n v="4"/>
    <x v="2"/>
    <n v="3"/>
    <n v="1"/>
    <n v="2"/>
    <x v="0"/>
    <n v="0"/>
  </r>
  <r>
    <n v="21"/>
    <x v="2"/>
    <x v="1"/>
    <x v="0"/>
    <n v="501"/>
    <x v="0"/>
    <n v="5"/>
    <n v="1"/>
    <s v="Medical"/>
    <n v="1"/>
    <n v="2021"/>
    <n v="3"/>
    <x v="1"/>
    <n v="58"/>
    <n v="3"/>
    <n v="1"/>
    <x v="6"/>
    <n v="1"/>
    <s v="Single"/>
    <n v="2380"/>
    <n v="25479"/>
    <n v="1"/>
    <s v="Y"/>
    <x v="0"/>
    <n v="11"/>
    <n v="3"/>
    <n v="4"/>
    <n v="80"/>
    <n v="0"/>
    <n v="2"/>
    <n v="6"/>
    <n v="3"/>
    <n v="2"/>
    <x v="1"/>
    <n v="2"/>
    <n v="1"/>
    <n v="2"/>
    <x v="3"/>
    <n v="0"/>
  </r>
  <r>
    <n v="39"/>
    <x v="1"/>
    <x v="1"/>
    <x v="2"/>
    <n v="105"/>
    <x v="1"/>
    <n v="9"/>
    <n v="3"/>
    <s v="Life Sciences"/>
    <n v="1"/>
    <n v="2022"/>
    <n v="4"/>
    <x v="1"/>
    <n v="87"/>
    <n v="3"/>
    <n v="5"/>
    <x v="5"/>
    <n v="4"/>
    <s v="Single"/>
    <n v="19431"/>
    <n v="15302"/>
    <n v="2"/>
    <s v="Y"/>
    <x v="1"/>
    <n v="13"/>
    <n v="3"/>
    <n v="3"/>
    <n v="80"/>
    <n v="0"/>
    <n v="21"/>
    <n v="3"/>
    <n v="2"/>
    <n v="6"/>
    <x v="0"/>
    <n v="0"/>
    <n v="1"/>
    <n v="3"/>
    <x v="0"/>
    <n v="0"/>
  </r>
  <r>
    <n v="23"/>
    <x v="2"/>
    <x v="0"/>
    <x v="1"/>
    <n v="638"/>
    <x v="0"/>
    <n v="9"/>
    <n v="3"/>
    <s v="Marketing"/>
    <n v="1"/>
    <n v="2023"/>
    <n v="4"/>
    <x v="1"/>
    <n v="33"/>
    <n v="3"/>
    <n v="1"/>
    <x v="6"/>
    <n v="1"/>
    <s v="Married"/>
    <n v="1790"/>
    <n v="26956"/>
    <n v="1"/>
    <s v="Y"/>
    <x v="1"/>
    <n v="19"/>
    <n v="3"/>
    <n v="1"/>
    <n v="80"/>
    <n v="1"/>
    <n v="1"/>
    <n v="3"/>
    <n v="2"/>
    <n v="1"/>
    <x v="1"/>
    <n v="0"/>
    <n v="1"/>
    <n v="0"/>
    <x v="3"/>
    <n v="1"/>
  </r>
  <r>
    <n v="36"/>
    <x v="1"/>
    <x v="1"/>
    <x v="0"/>
    <n v="557"/>
    <x v="0"/>
    <n v="3"/>
    <n v="3"/>
    <s v="Medical"/>
    <n v="1"/>
    <n v="2024"/>
    <n v="1"/>
    <x v="0"/>
    <n v="94"/>
    <n v="2"/>
    <n v="3"/>
    <x v="0"/>
    <n v="4"/>
    <s v="Married"/>
    <n v="7644"/>
    <n v="12695"/>
    <n v="0"/>
    <s v="Y"/>
    <x v="1"/>
    <n v="19"/>
    <n v="3"/>
    <n v="3"/>
    <n v="80"/>
    <n v="2"/>
    <n v="10"/>
    <n v="2"/>
    <n v="3"/>
    <n v="9"/>
    <x v="0"/>
    <n v="7"/>
    <n v="3"/>
    <n v="4"/>
    <x v="0"/>
    <n v="0"/>
  </r>
  <r>
    <n v="36"/>
    <x v="1"/>
    <x v="1"/>
    <x v="1"/>
    <n v="688"/>
    <x v="1"/>
    <n v="4"/>
    <n v="2"/>
    <s v="Life Sciences"/>
    <n v="1"/>
    <n v="2025"/>
    <n v="4"/>
    <x v="0"/>
    <n v="97"/>
    <n v="3"/>
    <n v="2"/>
    <x v="3"/>
    <n v="2"/>
    <s v="Divorced"/>
    <n v="5131"/>
    <n v="9192"/>
    <n v="7"/>
    <s v="Y"/>
    <x v="1"/>
    <n v="13"/>
    <n v="3"/>
    <n v="2"/>
    <n v="80"/>
    <n v="3"/>
    <n v="18"/>
    <n v="3"/>
    <n v="3"/>
    <n v="4"/>
    <x v="2"/>
    <n v="2"/>
    <n v="0"/>
    <n v="2"/>
    <x v="1"/>
    <n v="0"/>
  </r>
  <r>
    <n v="56"/>
    <x v="3"/>
    <x v="1"/>
    <x v="2"/>
    <n v="667"/>
    <x v="1"/>
    <n v="1"/>
    <n v="4"/>
    <s v="Life Sciences"/>
    <n v="1"/>
    <n v="2026"/>
    <n v="3"/>
    <x v="1"/>
    <n v="57"/>
    <n v="3"/>
    <n v="2"/>
    <x v="4"/>
    <n v="3"/>
    <s v="Divorced"/>
    <n v="6306"/>
    <n v="26236"/>
    <n v="1"/>
    <s v="Y"/>
    <x v="1"/>
    <n v="21"/>
    <n v="4"/>
    <n v="1"/>
    <n v="80"/>
    <n v="1"/>
    <n v="13"/>
    <n v="2"/>
    <n v="2"/>
    <n v="13"/>
    <x v="3"/>
    <n v="12"/>
    <n v="1"/>
    <n v="9"/>
    <x v="2"/>
    <n v="0"/>
  </r>
  <r>
    <n v="29"/>
    <x v="2"/>
    <x v="0"/>
    <x v="0"/>
    <n v="1092"/>
    <x v="1"/>
    <n v="1"/>
    <n v="4"/>
    <s v="Medical"/>
    <n v="1"/>
    <n v="2027"/>
    <n v="1"/>
    <x v="1"/>
    <n v="36"/>
    <n v="3"/>
    <n v="1"/>
    <x v="1"/>
    <n v="4"/>
    <s v="Married"/>
    <n v="4787"/>
    <n v="26124"/>
    <n v="9"/>
    <s v="Y"/>
    <x v="0"/>
    <n v="14"/>
    <n v="3"/>
    <n v="2"/>
    <n v="80"/>
    <n v="3"/>
    <n v="4"/>
    <n v="3"/>
    <n v="4"/>
    <n v="2"/>
    <x v="1"/>
    <n v="2"/>
    <n v="2"/>
    <n v="2"/>
    <x v="0"/>
    <n v="1"/>
  </r>
  <r>
    <n v="42"/>
    <x v="0"/>
    <x v="1"/>
    <x v="0"/>
    <n v="300"/>
    <x v="1"/>
    <n v="2"/>
    <n v="3"/>
    <s v="Life Sciences"/>
    <n v="1"/>
    <n v="2031"/>
    <n v="1"/>
    <x v="1"/>
    <n v="56"/>
    <n v="3"/>
    <n v="5"/>
    <x v="5"/>
    <n v="3"/>
    <s v="Married"/>
    <n v="18880"/>
    <n v="17312"/>
    <n v="5"/>
    <s v="Y"/>
    <x v="1"/>
    <n v="11"/>
    <n v="3"/>
    <n v="1"/>
    <n v="80"/>
    <n v="0"/>
    <n v="24"/>
    <n v="2"/>
    <n v="2"/>
    <n v="22"/>
    <x v="3"/>
    <n v="6"/>
    <n v="4"/>
    <n v="14"/>
    <x v="2"/>
    <n v="0"/>
  </r>
  <r>
    <n v="56"/>
    <x v="3"/>
    <x v="0"/>
    <x v="0"/>
    <n v="310"/>
    <x v="1"/>
    <n v="7"/>
    <n v="2"/>
    <s v="Technical Degree"/>
    <n v="1"/>
    <n v="2032"/>
    <n v="4"/>
    <x v="1"/>
    <n v="72"/>
    <n v="3"/>
    <n v="1"/>
    <x v="2"/>
    <n v="3"/>
    <s v="Married"/>
    <n v="2339"/>
    <n v="3666"/>
    <n v="8"/>
    <s v="Y"/>
    <x v="1"/>
    <n v="11"/>
    <n v="3"/>
    <n v="4"/>
    <n v="80"/>
    <n v="1"/>
    <n v="14"/>
    <n v="4"/>
    <n v="1"/>
    <n v="10"/>
    <x v="0"/>
    <n v="9"/>
    <n v="9"/>
    <n v="8"/>
    <x v="2"/>
    <n v="1"/>
  </r>
  <r>
    <n v="41"/>
    <x v="0"/>
    <x v="1"/>
    <x v="0"/>
    <n v="582"/>
    <x v="1"/>
    <n v="28"/>
    <n v="4"/>
    <s v="Life Sciences"/>
    <n v="1"/>
    <n v="2034"/>
    <n v="1"/>
    <x v="0"/>
    <n v="60"/>
    <n v="2"/>
    <n v="4"/>
    <x v="3"/>
    <n v="2"/>
    <s v="Married"/>
    <n v="13570"/>
    <n v="5640"/>
    <n v="0"/>
    <s v="Y"/>
    <x v="1"/>
    <n v="23"/>
    <n v="4"/>
    <n v="3"/>
    <n v="80"/>
    <n v="1"/>
    <n v="21"/>
    <n v="3"/>
    <n v="3"/>
    <n v="20"/>
    <x v="3"/>
    <n v="7"/>
    <n v="0"/>
    <n v="10"/>
    <x v="1"/>
    <n v="0"/>
  </r>
  <r>
    <n v="34"/>
    <x v="1"/>
    <x v="1"/>
    <x v="0"/>
    <n v="704"/>
    <x v="0"/>
    <n v="28"/>
    <n v="3"/>
    <s v="Marketing"/>
    <n v="1"/>
    <n v="2035"/>
    <n v="4"/>
    <x v="0"/>
    <n v="95"/>
    <n v="2"/>
    <n v="2"/>
    <x v="0"/>
    <n v="3"/>
    <s v="Married"/>
    <n v="6712"/>
    <n v="8978"/>
    <n v="1"/>
    <s v="Y"/>
    <x v="1"/>
    <n v="21"/>
    <n v="4"/>
    <n v="4"/>
    <n v="80"/>
    <n v="2"/>
    <n v="8"/>
    <n v="2"/>
    <n v="3"/>
    <n v="8"/>
    <x v="0"/>
    <n v="7"/>
    <n v="1"/>
    <n v="7"/>
    <x v="2"/>
    <n v="0"/>
  </r>
  <r>
    <n v="36"/>
    <x v="1"/>
    <x v="1"/>
    <x v="2"/>
    <n v="301"/>
    <x v="0"/>
    <n v="15"/>
    <n v="4"/>
    <s v="Marketing"/>
    <n v="1"/>
    <n v="2036"/>
    <n v="4"/>
    <x v="1"/>
    <n v="88"/>
    <n v="1"/>
    <n v="2"/>
    <x v="0"/>
    <n v="4"/>
    <s v="Divorced"/>
    <n v="5406"/>
    <n v="10436"/>
    <n v="1"/>
    <s v="Y"/>
    <x v="1"/>
    <n v="24"/>
    <n v="4"/>
    <n v="1"/>
    <n v="80"/>
    <n v="1"/>
    <n v="15"/>
    <n v="4"/>
    <n v="2"/>
    <n v="15"/>
    <x v="3"/>
    <n v="12"/>
    <n v="11"/>
    <n v="11"/>
    <x v="0"/>
    <n v="0"/>
  </r>
  <r>
    <n v="41"/>
    <x v="0"/>
    <x v="1"/>
    <x v="0"/>
    <n v="930"/>
    <x v="0"/>
    <n v="3"/>
    <n v="3"/>
    <s v="Life Sciences"/>
    <n v="1"/>
    <n v="2037"/>
    <n v="3"/>
    <x v="1"/>
    <n v="57"/>
    <n v="2"/>
    <n v="2"/>
    <x v="0"/>
    <n v="2"/>
    <s v="Divorced"/>
    <n v="8938"/>
    <n v="12227"/>
    <n v="2"/>
    <s v="Y"/>
    <x v="1"/>
    <n v="11"/>
    <n v="3"/>
    <n v="3"/>
    <n v="80"/>
    <n v="1"/>
    <n v="14"/>
    <n v="5"/>
    <n v="3"/>
    <n v="5"/>
    <x v="2"/>
    <n v="4"/>
    <n v="0"/>
    <n v="4"/>
    <x v="1"/>
    <n v="0"/>
  </r>
  <r>
    <n v="32"/>
    <x v="1"/>
    <x v="1"/>
    <x v="0"/>
    <n v="529"/>
    <x v="1"/>
    <n v="2"/>
    <n v="3"/>
    <s v="Technical Degree"/>
    <n v="1"/>
    <n v="2038"/>
    <n v="4"/>
    <x v="1"/>
    <n v="78"/>
    <n v="3"/>
    <n v="1"/>
    <x v="1"/>
    <n v="1"/>
    <s v="Single"/>
    <n v="2439"/>
    <n v="11288"/>
    <n v="1"/>
    <s v="Y"/>
    <x v="1"/>
    <n v="14"/>
    <n v="3"/>
    <n v="4"/>
    <n v="80"/>
    <n v="0"/>
    <n v="4"/>
    <n v="4"/>
    <n v="3"/>
    <n v="4"/>
    <x v="2"/>
    <n v="2"/>
    <n v="1"/>
    <n v="2"/>
    <x v="3"/>
    <n v="0"/>
  </r>
  <r>
    <n v="35"/>
    <x v="1"/>
    <x v="1"/>
    <x v="0"/>
    <n v="1146"/>
    <x v="2"/>
    <n v="26"/>
    <n v="4"/>
    <s v="Life Sciences"/>
    <n v="1"/>
    <n v="2040"/>
    <n v="3"/>
    <x v="0"/>
    <n v="31"/>
    <n v="3"/>
    <n v="3"/>
    <x v="8"/>
    <n v="4"/>
    <s v="Single"/>
    <n v="8837"/>
    <n v="16642"/>
    <n v="1"/>
    <s v="Y"/>
    <x v="0"/>
    <n v="16"/>
    <n v="3"/>
    <n v="3"/>
    <n v="80"/>
    <n v="0"/>
    <n v="9"/>
    <n v="2"/>
    <n v="3"/>
    <n v="9"/>
    <x v="0"/>
    <n v="0"/>
    <n v="1"/>
    <n v="7"/>
    <x v="0"/>
    <n v="0"/>
  </r>
  <r>
    <n v="38"/>
    <x v="1"/>
    <x v="1"/>
    <x v="0"/>
    <n v="345"/>
    <x v="0"/>
    <n v="10"/>
    <n v="2"/>
    <s v="Life Sciences"/>
    <n v="1"/>
    <n v="2041"/>
    <n v="1"/>
    <x v="0"/>
    <n v="100"/>
    <n v="3"/>
    <n v="2"/>
    <x v="0"/>
    <n v="4"/>
    <s v="Married"/>
    <n v="5343"/>
    <n v="5982"/>
    <n v="1"/>
    <s v="Y"/>
    <x v="1"/>
    <n v="11"/>
    <n v="3"/>
    <n v="3"/>
    <n v="80"/>
    <n v="1"/>
    <n v="10"/>
    <n v="1"/>
    <n v="3"/>
    <n v="10"/>
    <x v="0"/>
    <n v="7"/>
    <n v="1"/>
    <n v="9"/>
    <x v="0"/>
    <n v="0"/>
  </r>
  <r>
    <n v="50"/>
    <x v="0"/>
    <x v="0"/>
    <x v="1"/>
    <n v="878"/>
    <x v="0"/>
    <n v="1"/>
    <n v="4"/>
    <s v="Life Sciences"/>
    <n v="1"/>
    <n v="2044"/>
    <n v="2"/>
    <x v="1"/>
    <n v="94"/>
    <n v="3"/>
    <n v="2"/>
    <x v="0"/>
    <n v="3"/>
    <s v="Divorced"/>
    <n v="6728"/>
    <n v="14255"/>
    <n v="7"/>
    <s v="Y"/>
    <x v="1"/>
    <n v="12"/>
    <n v="3"/>
    <n v="4"/>
    <n v="80"/>
    <n v="2"/>
    <n v="12"/>
    <n v="3"/>
    <n v="3"/>
    <n v="6"/>
    <x v="0"/>
    <n v="3"/>
    <n v="0"/>
    <n v="1"/>
    <x v="2"/>
    <n v="1"/>
  </r>
  <r>
    <n v="36"/>
    <x v="1"/>
    <x v="1"/>
    <x v="0"/>
    <n v="1120"/>
    <x v="0"/>
    <n v="11"/>
    <n v="4"/>
    <s v="Marketing"/>
    <n v="1"/>
    <n v="2045"/>
    <n v="2"/>
    <x v="0"/>
    <n v="100"/>
    <n v="2"/>
    <n v="2"/>
    <x v="0"/>
    <n v="4"/>
    <s v="Married"/>
    <n v="6652"/>
    <n v="14369"/>
    <n v="4"/>
    <s v="Y"/>
    <x v="1"/>
    <n v="13"/>
    <n v="3"/>
    <n v="1"/>
    <n v="80"/>
    <n v="1"/>
    <n v="8"/>
    <n v="2"/>
    <n v="2"/>
    <n v="6"/>
    <x v="0"/>
    <n v="3"/>
    <n v="0"/>
    <n v="0"/>
    <x v="0"/>
    <n v="0"/>
  </r>
  <r>
    <n v="45"/>
    <x v="0"/>
    <x v="1"/>
    <x v="0"/>
    <n v="374"/>
    <x v="0"/>
    <n v="20"/>
    <n v="3"/>
    <s v="Life Sciences"/>
    <n v="1"/>
    <n v="2046"/>
    <n v="4"/>
    <x v="0"/>
    <n v="50"/>
    <n v="3"/>
    <n v="2"/>
    <x v="0"/>
    <n v="3"/>
    <s v="Single"/>
    <n v="4850"/>
    <n v="23333"/>
    <n v="8"/>
    <s v="Y"/>
    <x v="1"/>
    <n v="15"/>
    <n v="3"/>
    <n v="3"/>
    <n v="80"/>
    <n v="0"/>
    <n v="8"/>
    <n v="3"/>
    <n v="3"/>
    <n v="5"/>
    <x v="2"/>
    <n v="3"/>
    <n v="0"/>
    <n v="1"/>
    <x v="2"/>
    <n v="0"/>
  </r>
  <r>
    <n v="40"/>
    <x v="1"/>
    <x v="1"/>
    <x v="0"/>
    <n v="1322"/>
    <x v="1"/>
    <n v="2"/>
    <n v="4"/>
    <s v="Life Sciences"/>
    <n v="1"/>
    <n v="2048"/>
    <n v="3"/>
    <x v="1"/>
    <n v="52"/>
    <n v="2"/>
    <n v="1"/>
    <x v="1"/>
    <n v="3"/>
    <s v="Single"/>
    <n v="2809"/>
    <n v="2725"/>
    <n v="2"/>
    <s v="Y"/>
    <x v="1"/>
    <n v="14"/>
    <n v="3"/>
    <n v="4"/>
    <n v="80"/>
    <n v="0"/>
    <n v="8"/>
    <n v="2"/>
    <n v="3"/>
    <n v="2"/>
    <x v="1"/>
    <n v="2"/>
    <n v="2"/>
    <n v="2"/>
    <x v="2"/>
    <n v="0"/>
  </r>
  <r>
    <n v="35"/>
    <x v="1"/>
    <x v="1"/>
    <x v="1"/>
    <n v="1199"/>
    <x v="1"/>
    <n v="18"/>
    <n v="4"/>
    <s v="Life Sciences"/>
    <n v="1"/>
    <n v="2049"/>
    <n v="3"/>
    <x v="1"/>
    <n v="80"/>
    <n v="3"/>
    <n v="2"/>
    <x v="4"/>
    <n v="3"/>
    <s v="Married"/>
    <n v="5689"/>
    <n v="24594"/>
    <n v="1"/>
    <s v="Y"/>
    <x v="0"/>
    <n v="14"/>
    <n v="3"/>
    <n v="4"/>
    <n v="80"/>
    <n v="2"/>
    <n v="10"/>
    <n v="2"/>
    <n v="4"/>
    <n v="10"/>
    <x v="0"/>
    <n v="2"/>
    <n v="0"/>
    <n v="2"/>
    <x v="2"/>
    <n v="0"/>
  </r>
  <r>
    <n v="40"/>
    <x v="1"/>
    <x v="1"/>
    <x v="0"/>
    <n v="1194"/>
    <x v="1"/>
    <n v="2"/>
    <n v="4"/>
    <s v="Medical"/>
    <n v="1"/>
    <n v="2051"/>
    <n v="3"/>
    <x v="0"/>
    <n v="98"/>
    <n v="3"/>
    <n v="1"/>
    <x v="1"/>
    <n v="3"/>
    <s v="Married"/>
    <n v="2001"/>
    <n v="12549"/>
    <n v="2"/>
    <s v="Y"/>
    <x v="1"/>
    <n v="14"/>
    <n v="3"/>
    <n v="2"/>
    <n v="80"/>
    <n v="3"/>
    <n v="20"/>
    <n v="2"/>
    <n v="3"/>
    <n v="5"/>
    <x v="2"/>
    <n v="3"/>
    <n v="0"/>
    <n v="2"/>
    <x v="2"/>
    <n v="0"/>
  </r>
  <r>
    <n v="35"/>
    <x v="1"/>
    <x v="1"/>
    <x v="0"/>
    <n v="287"/>
    <x v="1"/>
    <n v="1"/>
    <n v="4"/>
    <s v="Life Sciences"/>
    <n v="1"/>
    <n v="2052"/>
    <n v="3"/>
    <x v="0"/>
    <n v="62"/>
    <n v="1"/>
    <n v="1"/>
    <x v="1"/>
    <n v="4"/>
    <s v="Married"/>
    <n v="2977"/>
    <n v="8952"/>
    <n v="1"/>
    <s v="Y"/>
    <x v="1"/>
    <n v="12"/>
    <n v="3"/>
    <n v="4"/>
    <n v="80"/>
    <n v="1"/>
    <n v="4"/>
    <n v="5"/>
    <n v="3"/>
    <n v="4"/>
    <x v="2"/>
    <n v="3"/>
    <n v="1"/>
    <n v="1"/>
    <x v="0"/>
    <n v="0"/>
  </r>
  <r>
    <n v="29"/>
    <x v="2"/>
    <x v="1"/>
    <x v="0"/>
    <n v="1378"/>
    <x v="1"/>
    <n v="13"/>
    <n v="2"/>
    <s v="Other"/>
    <n v="1"/>
    <n v="2053"/>
    <n v="4"/>
    <x v="1"/>
    <n v="46"/>
    <n v="2"/>
    <n v="2"/>
    <x v="2"/>
    <n v="2"/>
    <s v="Married"/>
    <n v="4025"/>
    <n v="23679"/>
    <n v="4"/>
    <s v="Y"/>
    <x v="0"/>
    <n v="13"/>
    <n v="3"/>
    <n v="1"/>
    <n v="80"/>
    <n v="1"/>
    <n v="10"/>
    <n v="2"/>
    <n v="3"/>
    <n v="4"/>
    <x v="2"/>
    <n v="3"/>
    <n v="0"/>
    <n v="3"/>
    <x v="1"/>
    <n v="0"/>
  </r>
  <r>
    <n v="29"/>
    <x v="2"/>
    <x v="1"/>
    <x v="0"/>
    <n v="468"/>
    <x v="1"/>
    <n v="28"/>
    <n v="4"/>
    <s v="Medical"/>
    <n v="1"/>
    <n v="2054"/>
    <n v="4"/>
    <x v="0"/>
    <n v="73"/>
    <n v="2"/>
    <n v="1"/>
    <x v="1"/>
    <n v="1"/>
    <s v="Single"/>
    <n v="3785"/>
    <n v="8489"/>
    <n v="1"/>
    <s v="Y"/>
    <x v="1"/>
    <n v="14"/>
    <n v="3"/>
    <n v="2"/>
    <n v="80"/>
    <n v="0"/>
    <n v="5"/>
    <n v="3"/>
    <n v="1"/>
    <n v="5"/>
    <x v="2"/>
    <n v="4"/>
    <n v="0"/>
    <n v="4"/>
    <x v="3"/>
    <n v="0"/>
  </r>
  <r>
    <n v="50"/>
    <x v="0"/>
    <x v="0"/>
    <x v="0"/>
    <n v="410"/>
    <x v="0"/>
    <n v="28"/>
    <n v="3"/>
    <s v="Marketing"/>
    <n v="1"/>
    <n v="2055"/>
    <n v="4"/>
    <x v="1"/>
    <n v="39"/>
    <n v="2"/>
    <n v="3"/>
    <x v="0"/>
    <n v="1"/>
    <s v="Divorced"/>
    <n v="10854"/>
    <n v="16586"/>
    <n v="4"/>
    <s v="Y"/>
    <x v="0"/>
    <n v="13"/>
    <n v="3"/>
    <n v="2"/>
    <n v="80"/>
    <n v="1"/>
    <n v="20"/>
    <n v="3"/>
    <n v="3"/>
    <n v="3"/>
    <x v="2"/>
    <n v="2"/>
    <n v="2"/>
    <n v="0"/>
    <x v="3"/>
    <n v="1"/>
  </r>
  <r>
    <n v="39"/>
    <x v="1"/>
    <x v="1"/>
    <x v="0"/>
    <n v="722"/>
    <x v="0"/>
    <n v="24"/>
    <n v="1"/>
    <s v="Marketing"/>
    <n v="1"/>
    <n v="2056"/>
    <n v="2"/>
    <x v="0"/>
    <n v="60"/>
    <n v="2"/>
    <n v="4"/>
    <x v="0"/>
    <n v="4"/>
    <s v="Married"/>
    <n v="12031"/>
    <n v="8828"/>
    <n v="0"/>
    <s v="Y"/>
    <x v="1"/>
    <n v="11"/>
    <n v="3"/>
    <n v="1"/>
    <n v="80"/>
    <n v="1"/>
    <n v="21"/>
    <n v="2"/>
    <n v="2"/>
    <n v="20"/>
    <x v="3"/>
    <n v="9"/>
    <n v="9"/>
    <n v="6"/>
    <x v="0"/>
    <n v="0"/>
  </r>
  <r>
    <n v="31"/>
    <x v="1"/>
    <x v="1"/>
    <x v="2"/>
    <n v="325"/>
    <x v="1"/>
    <n v="5"/>
    <n v="3"/>
    <s v="Medical"/>
    <n v="1"/>
    <n v="2057"/>
    <n v="2"/>
    <x v="1"/>
    <n v="74"/>
    <n v="3"/>
    <n v="2"/>
    <x v="3"/>
    <n v="1"/>
    <s v="Single"/>
    <n v="9936"/>
    <n v="3787"/>
    <n v="0"/>
    <s v="Y"/>
    <x v="1"/>
    <n v="19"/>
    <n v="3"/>
    <n v="2"/>
    <n v="80"/>
    <n v="0"/>
    <n v="10"/>
    <n v="2"/>
    <n v="3"/>
    <n v="9"/>
    <x v="0"/>
    <n v="4"/>
    <n v="1"/>
    <n v="7"/>
    <x v="3"/>
    <n v="0"/>
  </r>
  <r>
    <n v="26"/>
    <x v="2"/>
    <x v="1"/>
    <x v="0"/>
    <n v="1167"/>
    <x v="0"/>
    <n v="5"/>
    <n v="3"/>
    <s v="Other"/>
    <n v="1"/>
    <n v="2060"/>
    <n v="4"/>
    <x v="0"/>
    <n v="30"/>
    <n v="2"/>
    <n v="1"/>
    <x v="6"/>
    <n v="3"/>
    <s v="Single"/>
    <n v="2966"/>
    <n v="21378"/>
    <n v="0"/>
    <s v="Y"/>
    <x v="1"/>
    <n v="18"/>
    <n v="3"/>
    <n v="4"/>
    <n v="80"/>
    <n v="0"/>
    <n v="5"/>
    <n v="2"/>
    <n v="3"/>
    <n v="4"/>
    <x v="2"/>
    <n v="2"/>
    <n v="0"/>
    <n v="0"/>
    <x v="2"/>
    <n v="0"/>
  </r>
  <r>
    <n v="36"/>
    <x v="1"/>
    <x v="1"/>
    <x v="1"/>
    <n v="884"/>
    <x v="1"/>
    <n v="23"/>
    <n v="2"/>
    <s v="Medical"/>
    <n v="1"/>
    <n v="2061"/>
    <n v="3"/>
    <x v="1"/>
    <n v="41"/>
    <n v="4"/>
    <n v="2"/>
    <x v="2"/>
    <n v="4"/>
    <s v="Married"/>
    <n v="2571"/>
    <n v="12290"/>
    <n v="4"/>
    <s v="Y"/>
    <x v="1"/>
    <n v="17"/>
    <n v="3"/>
    <n v="3"/>
    <n v="80"/>
    <n v="1"/>
    <n v="17"/>
    <n v="3"/>
    <n v="3"/>
    <n v="5"/>
    <x v="2"/>
    <n v="2"/>
    <n v="0"/>
    <n v="3"/>
    <x v="0"/>
    <n v="0"/>
  </r>
  <r>
    <n v="39"/>
    <x v="1"/>
    <x v="1"/>
    <x v="0"/>
    <n v="613"/>
    <x v="1"/>
    <n v="6"/>
    <n v="1"/>
    <s v="Medical"/>
    <n v="1"/>
    <n v="2062"/>
    <n v="4"/>
    <x v="1"/>
    <n v="42"/>
    <n v="2"/>
    <n v="3"/>
    <x v="4"/>
    <n v="1"/>
    <s v="Married"/>
    <n v="9991"/>
    <n v="21457"/>
    <n v="4"/>
    <s v="Y"/>
    <x v="1"/>
    <n v="15"/>
    <n v="3"/>
    <n v="1"/>
    <n v="80"/>
    <n v="1"/>
    <n v="9"/>
    <n v="5"/>
    <n v="3"/>
    <n v="7"/>
    <x v="0"/>
    <n v="7"/>
    <n v="1"/>
    <n v="7"/>
    <x v="3"/>
    <n v="0"/>
  </r>
  <r>
    <n v="27"/>
    <x v="2"/>
    <x v="1"/>
    <x v="0"/>
    <n v="155"/>
    <x v="1"/>
    <n v="4"/>
    <n v="3"/>
    <s v="Life Sciences"/>
    <n v="1"/>
    <n v="2064"/>
    <n v="2"/>
    <x v="1"/>
    <n v="87"/>
    <n v="4"/>
    <n v="2"/>
    <x v="3"/>
    <n v="2"/>
    <s v="Married"/>
    <n v="6142"/>
    <n v="5174"/>
    <n v="1"/>
    <s v="Y"/>
    <x v="0"/>
    <n v="20"/>
    <n v="4"/>
    <n v="2"/>
    <n v="80"/>
    <n v="1"/>
    <n v="6"/>
    <n v="0"/>
    <n v="3"/>
    <n v="6"/>
    <x v="0"/>
    <n v="2"/>
    <n v="0"/>
    <n v="3"/>
    <x v="1"/>
    <n v="0"/>
  </r>
  <r>
    <n v="49"/>
    <x v="0"/>
    <x v="1"/>
    <x v="1"/>
    <n v="1023"/>
    <x v="0"/>
    <n v="2"/>
    <n v="3"/>
    <s v="Medical"/>
    <n v="1"/>
    <n v="2065"/>
    <n v="4"/>
    <x v="1"/>
    <n v="63"/>
    <n v="2"/>
    <n v="2"/>
    <x v="0"/>
    <n v="2"/>
    <s v="Married"/>
    <n v="5390"/>
    <n v="13243"/>
    <n v="2"/>
    <s v="Y"/>
    <x v="1"/>
    <n v="14"/>
    <n v="3"/>
    <n v="4"/>
    <n v="80"/>
    <n v="0"/>
    <n v="17"/>
    <n v="3"/>
    <n v="2"/>
    <n v="9"/>
    <x v="0"/>
    <n v="6"/>
    <n v="0"/>
    <n v="8"/>
    <x v="1"/>
    <n v="0"/>
  </r>
  <r>
    <n v="34"/>
    <x v="1"/>
    <x v="1"/>
    <x v="0"/>
    <n v="628"/>
    <x v="1"/>
    <n v="8"/>
    <n v="3"/>
    <s v="Medical"/>
    <n v="1"/>
    <n v="2068"/>
    <n v="2"/>
    <x v="1"/>
    <n v="82"/>
    <n v="4"/>
    <n v="2"/>
    <x v="2"/>
    <n v="3"/>
    <s v="Married"/>
    <n v="4404"/>
    <n v="10228"/>
    <n v="2"/>
    <s v="Y"/>
    <x v="1"/>
    <n v="12"/>
    <n v="3"/>
    <n v="1"/>
    <n v="80"/>
    <n v="0"/>
    <n v="6"/>
    <n v="3"/>
    <n v="4"/>
    <n v="4"/>
    <x v="2"/>
    <n v="3"/>
    <n v="1"/>
    <n v="2"/>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9E94B9-2AD1-4814-B1B0-7CA19B79D66B}" name="Pivo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7:B62" firstHeaderRow="1" firstDataRow="1" firstDataCol="1"/>
  <pivotFields count="39">
    <pivotField showAll="0"/>
    <pivotField axis="axisRow" showAll="0">
      <items count="5">
        <item x="2"/>
        <item x="1"/>
        <item x="0"/>
        <item x="3"/>
        <item t="default"/>
      </items>
    </pivotField>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Average of AttritionValue" fld="38" subtotal="average" baseField="1" baseItem="0" numFmtId="1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18D09D-4FA7-443E-AB81-172D09DD7AF3}"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B53" firstHeaderRow="1" firstDataRow="1" firstDataCol="1"/>
  <pivotFields count="39">
    <pivotField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dataField="1" showAll="0"/>
  </pivotFields>
  <rowFields count="1">
    <field x="37"/>
  </rowFields>
  <rowItems count="5">
    <i>
      <x/>
    </i>
    <i>
      <x v="1"/>
    </i>
    <i>
      <x v="2"/>
    </i>
    <i>
      <x v="3"/>
    </i>
    <i t="grand">
      <x/>
    </i>
  </rowItems>
  <colItems count="1">
    <i/>
  </colItems>
  <dataFields count="1">
    <dataField name="Average of AttritionValue" fld="38" subtotal="average" baseField="36" baseItem="0" numFmtId="1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FD0F92-DE58-4ECC-B231-10FA11A853C6}" name="PivotTable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9:B44" firstHeaderRow="1" firstDataRow="1" firstDataCol="1"/>
  <pivotFields count="39">
    <pivotField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33"/>
  </rowFields>
  <rowItems count="5">
    <i>
      <x/>
    </i>
    <i>
      <x v="2"/>
    </i>
    <i>
      <x v="3"/>
    </i>
    <i>
      <x v="1"/>
    </i>
    <i t="grand">
      <x/>
    </i>
  </rowItems>
  <colItems count="1">
    <i/>
  </colItems>
  <dataFields count="1">
    <dataField name="Average of AttritionValue" fld="38" subtotal="average" baseField="31"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5DEC96-55D8-4376-833F-421B1834029C}"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B35" firstHeaderRow="1" firstDataRow="1" firstDataCol="1"/>
  <pivotFields count="39">
    <pivotField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3"/>
  </rowFields>
  <rowItems count="3">
    <i>
      <x/>
    </i>
    <i>
      <x v="1"/>
    </i>
    <i t="grand">
      <x/>
    </i>
  </rowItems>
  <colItems count="1">
    <i/>
  </colItems>
  <dataFields count="1">
    <dataField name="Average of AttritionValue" fld="38" subtotal="average" baseField="22"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817033-1EC9-48D5-9FA9-68043DF63515}"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B28" firstHeaderRow="1" firstDataRow="1" firstDataCol="1"/>
  <pivotFields count="39">
    <pivotField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6"/>
  </rowFields>
  <rowItems count="10">
    <i>
      <x v="8"/>
    </i>
    <i>
      <x v="2"/>
    </i>
    <i>
      <x v="1"/>
    </i>
    <i>
      <x v="7"/>
    </i>
    <i>
      <x v="6"/>
    </i>
    <i>
      <x v="4"/>
    </i>
    <i>
      <x/>
    </i>
    <i>
      <x v="3"/>
    </i>
    <i>
      <x v="5"/>
    </i>
    <i t="grand">
      <x/>
    </i>
  </rowItems>
  <colItems count="1">
    <i/>
  </colItems>
  <dataFields count="1">
    <dataField name="Average of AttritionValue" fld="38" subtotal="average" baseField="15" baseItem="0" numFmtId="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4B0F27-3B26-473E-8874-41D34F3E9E6B}"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4" firstHeaderRow="1" firstDataRow="1" firstDataCol="1"/>
  <pivotFields count="39">
    <pivotField showAll="0"/>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Average of AttritionValue" fld="38" subtotal="average" baseField="4"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50D6E9-85CA-4656-BA20-FC2081A2E1C0}"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9">
    <pivotField showAll="0"/>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Sum of EmployeeC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2FE16B-6D7B-4131-BE65-CF86BB1C813E}" name="PivotTable1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39">
    <pivotField showAll="0"/>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3">
    <i>
      <x/>
    </i>
    <i i="1">
      <x v="1"/>
    </i>
    <i i="2">
      <x v="2"/>
    </i>
  </colItems>
  <dataFields count="3">
    <dataField name="Sum of EmployeeCount" fld="9" baseField="0" baseItem="0"/>
    <dataField name="Sum of AttritionValue" fld="38" baseField="0" baseItem="0"/>
    <dataField name="Average of AttritionValue2" fld="38" subtotal="average" baseField="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6F0EA27-4DE5-4D01-A470-B218FAB88BAD}" sourceName="Department">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4684893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E728EB-5647-461C-A753-83D6BC554D4D}" sourceName="Gender">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14684893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E20DEDB7-2012-4DA9-A13E-410D8EFCA808}" sourceName="BusinessTravel">
  <pivotTables>
    <pivotTable tabId="2" name="PivotTable3"/>
    <pivotTable tabId="5" name="PivotTable11"/>
    <pivotTable tabId="2" name="PivotTable1"/>
    <pivotTable tabId="2" name="PivotTable2"/>
    <pivotTable tabId="2" name="PivotTable4"/>
    <pivotTable tabId="2" name="PivotTable5"/>
    <pivotTable tabId="2" name="PivotTable6"/>
    <pivotTable tabId="2" name="PivotTable7"/>
  </pivotTables>
  <data>
    <tabular pivotCacheId="14684893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A193D71-4284-42A4-9919-C7CFF1C50BB7}" cache="Slicer_Department" caption="Department" showCaption="0" style="Slicer Style 1" rowHeight="247650"/>
  <slicer name="Gender" xr10:uid="{D9A90B7A-3E8F-4BFE-B82E-1AE6FE8A4E2D}" cache="Slicer_Gender" caption="Gender" showCaption="0" style="Slicer Style 1" rowHeight="247650"/>
  <slicer name="BusinessTravel" xr10:uid="{7B572DCC-968D-4B6A-9007-8516AA0EC046}" cache="Slicer_BusinessTravel" caption="BusinessTravel" showCaption="0"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04FFD7-7F42-4BB2-A073-C22DEEB14687}" name="Table1" displayName="Table1" ref="A1:AM1471" totalsRowShown="0">
  <autoFilter ref="A1:AM1471" xr:uid="{6904FFD7-7F42-4BB2-A073-C22DEEB14687}"/>
  <tableColumns count="39">
    <tableColumn id="1" xr3:uid="{4842FCE2-965A-4323-9FC9-4C65533AAB02}" name="Age"/>
    <tableColumn id="40" xr3:uid="{A7823089-759C-4800-AFD6-F0A85D6A83D2}" name="AgeGroup" dataDxfId="2">
      <calculatedColumnFormula array="1">_xlfn.IFS(Table1[[#This Row],[Age]]&lt;30,"Under 30",Table1[[#This Row],[Age]]&lt;=40,"30-40",Table1[[#This Row],[Age]]&lt;=50,"41-50",Table1[[#This Row],[Age]]&gt;50,"Over 50")</calculatedColumnFormula>
    </tableColumn>
    <tableColumn id="2" xr3:uid="{8C556B35-625D-4CEC-891F-BCB288663D36}" name="Attrition"/>
    <tableColumn id="3" xr3:uid="{84923A32-A4D6-4CD0-99C9-3F0DAFFF90A9}" name="BusinessTravel"/>
    <tableColumn id="4" xr3:uid="{D2952D2A-1C8D-4593-9B48-AAC0B8BF4CE9}" name="DailyRate"/>
    <tableColumn id="5" xr3:uid="{01D7A466-2610-491C-8928-AC3C1321E1FF}" name="Department"/>
    <tableColumn id="6" xr3:uid="{B21D500A-A0A8-4811-9726-236E0BF6F0F4}" name="DistanceFromHome"/>
    <tableColumn id="7" xr3:uid="{F0282697-4D66-4457-82DA-46534B5CE867}" name="Education"/>
    <tableColumn id="8" xr3:uid="{FC4E2F42-9309-4874-AA71-C5EDFF1C81BC}" name="EducationField"/>
    <tableColumn id="9" xr3:uid="{B38B016F-E492-4DE2-8F65-2FD9C767F671}" name="EmployeeCount"/>
    <tableColumn id="10" xr3:uid="{C3791D1C-559E-4A8B-8B1D-26AB74DBC18E}" name="EmployeeNumber"/>
    <tableColumn id="11" xr3:uid="{FC73E849-23A9-43A2-B1A6-69A4374756B8}" name="EnvironmentSatisfaction"/>
    <tableColumn id="12" xr3:uid="{19D1FEB0-8D40-40DA-A1F3-97EF71FED6C3}" name="Gender"/>
    <tableColumn id="13" xr3:uid="{97246A2C-9EFF-4D85-A56C-27000EE6DED5}" name="HourlyRate"/>
    <tableColumn id="14" xr3:uid="{A33C58C4-F236-49E1-B00D-17C29C59B3CE}" name="JobInvolvement"/>
    <tableColumn id="15" xr3:uid="{6D20F577-277F-4FC7-98D1-FC4A21452D97}" name="JobLevel"/>
    <tableColumn id="16" xr3:uid="{85D836F2-C745-477E-B8AB-41C950988CCE}" name="JobRole"/>
    <tableColumn id="17" xr3:uid="{8FDC9385-46CA-4841-9ECB-A5D126591002}" name="JobSatisfaction"/>
    <tableColumn id="18" xr3:uid="{CF76D4AD-5D53-4A8C-B533-E40AE6061E6D}" name="MaritalStatus"/>
    <tableColumn id="19" xr3:uid="{B70E8991-2E33-4308-B099-64992DBDA74A}" name="MonthlyIncome"/>
    <tableColumn id="20" xr3:uid="{F84C5401-C28D-49F3-B9DF-08383F6755E4}" name="MonthlyRate"/>
    <tableColumn id="21" xr3:uid="{C061A7A4-B336-44FA-B9DC-C4344BD91FEF}" name="NumCompaniesWorked"/>
    <tableColumn id="22" xr3:uid="{67E87369-4B63-4A33-82FE-B4B69C2873AF}" name="Over18"/>
    <tableColumn id="23" xr3:uid="{CA6620A1-B822-42D0-B556-BFC610D0AA29}" name="OverTime"/>
    <tableColumn id="24" xr3:uid="{19F201F9-CA10-4DA9-865D-0307F19DEF8C}" name="PercentSalaryHike"/>
    <tableColumn id="25" xr3:uid="{F9BDF96A-23A2-48DC-995C-BAEA3A849200}" name="PerformanceRating"/>
    <tableColumn id="26" xr3:uid="{586788EB-F090-458E-91C3-EE25D681117B}" name="RelationshipSatisfaction"/>
    <tableColumn id="27" xr3:uid="{C9C573EE-A9C1-4946-98D9-17C541F7D1BC}" name="StandardHours"/>
    <tableColumn id="28" xr3:uid="{E77834BD-89A8-424D-87EF-17B312CE8214}" name="StockOptionLevel"/>
    <tableColumn id="29" xr3:uid="{95AB6B7E-CCFE-43E3-9574-A662E69FEE32}" name="TotalWorkingYears"/>
    <tableColumn id="30" xr3:uid="{DE7E0B43-006E-4C91-96FE-C385DC9CB922}" name="TrainingTimesLastYear"/>
    <tableColumn id="31" xr3:uid="{6A6EF549-4C47-4A32-9AE5-6F187D198433}" name="WorkLifeBalance"/>
    <tableColumn id="32" xr3:uid="{583BDEC7-3A61-45E1-AC08-9EDAED5B0A8B}" name="YearsAtCompany"/>
    <tableColumn id="39" xr3:uid="{C4BB9A85-3B62-4809-921F-B355066D0BB4}" name="TenureBand" dataDxfId="3">
      <calculatedColumnFormula array="1">_xlfn.IFS(Table1[[#This Row],[YearsAtCompany]]&lt;=2,"0-2 years",Table1[[#This Row],[YearsAtCompany]]&lt;=5,"3-5 years",Table1[[#This Row],[YearsAtCompany]]&lt;=10,"6-10 years",Table1[[#This Row],[YearsAtCompany]]&gt;10,"10+ years")</calculatedColumnFormula>
    </tableColumn>
    <tableColumn id="33" xr3:uid="{1624316B-C595-4012-972D-089086974224}" name="YearsInCurrentRole"/>
    <tableColumn id="34" xr3:uid="{902EB9EF-F072-46B9-8D0B-95B635CFCF6C}" name="YearsSinceLastPromotion"/>
    <tableColumn id="35" xr3:uid="{FB025AA4-54DF-4EF7-8263-26F9C32FFC3A}" name="YearsWithCurrManager"/>
    <tableColumn id="38" xr3:uid="{5BA45F43-4E84-46DC-911F-F95B24C0D7AF}" name="JobSatisfaction_Label" dataDxfId="4">
      <calculatedColumnFormula array="1">_xlfn.IFS(Table1[[#This Row],[JobSatisfaction]]=1,"Low",Table1[[#This Row],[JobSatisfaction]]=2,"Medium",Table1[[#This Row],[JobSatisfaction]]=3,"High",Table1[[#This Row],[JobSatisfaction]]=4,"Very High")</calculatedColumnFormula>
    </tableColumn>
    <tableColumn id="36" xr3:uid="{981CC0FF-509D-4427-B604-FAAAC346E9AC}" name="AttritionValue" dataDxfId="5">
      <calculatedColumnFormula>IF(Table1[[#This Row],[Attrition]]="Yes",1,0)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0FA5-800A-490D-A02D-DA0AEFC3E12F}">
  <dimension ref="A3:B62"/>
  <sheetViews>
    <sheetView topLeftCell="A6" workbookViewId="0">
      <selection activeCell="V1" sqref="V1"/>
    </sheetView>
  </sheetViews>
  <sheetFormatPr defaultRowHeight="14.4" x14ac:dyDescent="0.25"/>
  <cols>
    <col min="1" max="1" width="12.59765625" bestFit="1" customWidth="1"/>
    <col min="2" max="2" width="23.19921875" bestFit="1" customWidth="1"/>
    <col min="3" max="3" width="20.296875" customWidth="1"/>
  </cols>
  <sheetData>
    <row r="3" spans="1:2" ht="13.8" x14ac:dyDescent="0.25">
      <c r="A3" s="1" t="s">
        <v>64</v>
      </c>
      <c r="B3" t="s">
        <v>67</v>
      </c>
    </row>
    <row r="4" spans="1:2" ht="13.8" x14ac:dyDescent="0.25">
      <c r="A4" s="2" t="s">
        <v>43</v>
      </c>
      <c r="B4" s="3">
        <v>1233</v>
      </c>
    </row>
    <row r="5" spans="1:2" ht="13.8" x14ac:dyDescent="0.25">
      <c r="A5" s="2" t="s">
        <v>35</v>
      </c>
      <c r="B5" s="3">
        <v>237</v>
      </c>
    </row>
    <row r="6" spans="1:2" ht="13.8" x14ac:dyDescent="0.25">
      <c r="A6" s="2" t="s">
        <v>65</v>
      </c>
      <c r="B6" s="3">
        <v>1470</v>
      </c>
    </row>
    <row r="10" spans="1:2" ht="13.8" x14ac:dyDescent="0.25">
      <c r="A10" s="1" t="s">
        <v>64</v>
      </c>
      <c r="B10" t="s">
        <v>68</v>
      </c>
    </row>
    <row r="11" spans="1:2" ht="13.8" x14ac:dyDescent="0.25">
      <c r="A11" s="2" t="s">
        <v>61</v>
      </c>
      <c r="B11" s="4">
        <v>0.19047619047619047</v>
      </c>
    </row>
    <row r="12" spans="1:2" ht="13.8" x14ac:dyDescent="0.25">
      <c r="A12" s="2" t="s">
        <v>45</v>
      </c>
      <c r="B12" s="4">
        <v>0.13839750260145681</v>
      </c>
    </row>
    <row r="13" spans="1:2" ht="13.8" x14ac:dyDescent="0.25">
      <c r="A13" s="2" t="s">
        <v>37</v>
      </c>
      <c r="B13" s="4">
        <v>0.20627802690582961</v>
      </c>
    </row>
    <row r="14" spans="1:2" ht="13.8" x14ac:dyDescent="0.25">
      <c r="A14" s="2" t="s">
        <v>65</v>
      </c>
      <c r="B14" s="4">
        <v>0.16122448979591836</v>
      </c>
    </row>
    <row r="18" spans="1:2" ht="13.8" x14ac:dyDescent="0.25">
      <c r="A18" s="1" t="s">
        <v>64</v>
      </c>
      <c r="B18" t="s">
        <v>68</v>
      </c>
    </row>
    <row r="19" spans="1:2" ht="13.8" x14ac:dyDescent="0.25">
      <c r="A19" s="2" t="s">
        <v>57</v>
      </c>
      <c r="B19" s="6">
        <v>0.39759036144578314</v>
      </c>
    </row>
    <row r="20" spans="1:2" ht="13.8" x14ac:dyDescent="0.25">
      <c r="A20" s="2" t="s">
        <v>50</v>
      </c>
      <c r="B20" s="6">
        <v>0.23938223938223938</v>
      </c>
    </row>
    <row r="21" spans="1:2" ht="13.8" x14ac:dyDescent="0.25">
      <c r="A21" s="2" t="s">
        <v>61</v>
      </c>
      <c r="B21" s="6">
        <v>0.23076923076923078</v>
      </c>
    </row>
    <row r="22" spans="1:2" ht="13.8" x14ac:dyDescent="0.25">
      <c r="A22" s="2" t="s">
        <v>40</v>
      </c>
      <c r="B22" s="6">
        <v>0.17484662576687116</v>
      </c>
    </row>
    <row r="23" spans="1:2" ht="13.8" x14ac:dyDescent="0.25">
      <c r="A23" s="2" t="s">
        <v>47</v>
      </c>
      <c r="B23" s="6">
        <v>0.16095890410958905</v>
      </c>
    </row>
    <row r="24" spans="1:2" ht="13.8" x14ac:dyDescent="0.25">
      <c r="A24" s="2" t="s">
        <v>53</v>
      </c>
      <c r="B24" s="6">
        <v>6.8965517241379309E-2</v>
      </c>
    </row>
    <row r="25" spans="1:2" ht="13.8" x14ac:dyDescent="0.25">
      <c r="A25" s="2" t="s">
        <v>54</v>
      </c>
      <c r="B25" s="6">
        <v>6.8702290076335881E-2</v>
      </c>
    </row>
    <row r="26" spans="1:2" ht="13.8" x14ac:dyDescent="0.25">
      <c r="A26" s="2" t="s">
        <v>56</v>
      </c>
      <c r="B26" s="6">
        <v>4.9019607843137254E-2</v>
      </c>
    </row>
    <row r="27" spans="1:2" ht="13.8" x14ac:dyDescent="0.25">
      <c r="A27" s="2" t="s">
        <v>58</v>
      </c>
      <c r="B27" s="6">
        <v>2.5000000000000001E-2</v>
      </c>
    </row>
    <row r="28" spans="1:2" ht="13.8" x14ac:dyDescent="0.25">
      <c r="A28" s="2" t="s">
        <v>65</v>
      </c>
      <c r="B28" s="6">
        <v>0.16122448979591836</v>
      </c>
    </row>
    <row r="32" spans="1:2" ht="13.8" x14ac:dyDescent="0.25">
      <c r="A32" s="1" t="s">
        <v>64</v>
      </c>
      <c r="B32" t="s">
        <v>68</v>
      </c>
    </row>
    <row r="33" spans="1:2" ht="13.8" x14ac:dyDescent="0.25">
      <c r="A33" s="2" t="s">
        <v>43</v>
      </c>
      <c r="B33" s="4">
        <v>0.10436432637571158</v>
      </c>
    </row>
    <row r="34" spans="1:2" ht="13.8" x14ac:dyDescent="0.25">
      <c r="A34" s="2" t="s">
        <v>35</v>
      </c>
      <c r="B34" s="4">
        <v>0.30528846153846156</v>
      </c>
    </row>
    <row r="35" spans="1:2" ht="13.8" x14ac:dyDescent="0.25">
      <c r="A35" s="2" t="s">
        <v>65</v>
      </c>
      <c r="B35" s="4">
        <v>0.16122448979591836</v>
      </c>
    </row>
    <row r="39" spans="1:2" ht="13.8" x14ac:dyDescent="0.25">
      <c r="A39" s="1" t="s">
        <v>64</v>
      </c>
      <c r="B39" t="s">
        <v>68</v>
      </c>
    </row>
    <row r="40" spans="1:2" ht="13.8" x14ac:dyDescent="0.25">
      <c r="A40" s="2" t="s">
        <v>70</v>
      </c>
      <c r="B40" s="4">
        <v>0.2982456140350877</v>
      </c>
    </row>
    <row r="41" spans="1:2" ht="13.8" x14ac:dyDescent="0.25">
      <c r="A41" s="2" t="s">
        <v>72</v>
      </c>
      <c r="B41" s="4">
        <v>0.13824884792626729</v>
      </c>
    </row>
    <row r="42" spans="1:2" ht="13.8" x14ac:dyDescent="0.25">
      <c r="A42" s="2" t="s">
        <v>73</v>
      </c>
      <c r="B42" s="4">
        <v>0.12276785714285714</v>
      </c>
    </row>
    <row r="43" spans="1:2" ht="13.8" x14ac:dyDescent="0.25">
      <c r="A43" s="2" t="s">
        <v>71</v>
      </c>
      <c r="B43" s="4">
        <v>8.1300813008130079E-2</v>
      </c>
    </row>
    <row r="44" spans="1:2" ht="13.8" x14ac:dyDescent="0.25">
      <c r="A44" s="2" t="s">
        <v>65</v>
      </c>
      <c r="B44" s="4">
        <v>0.16122448979591836</v>
      </c>
    </row>
    <row r="48" spans="1:2" ht="13.8" x14ac:dyDescent="0.25">
      <c r="A48" s="1" t="s">
        <v>64</v>
      </c>
      <c r="B48" t="s">
        <v>68</v>
      </c>
    </row>
    <row r="49" spans="1:2" ht="13.8" x14ac:dyDescent="0.25">
      <c r="A49" s="2" t="s">
        <v>75</v>
      </c>
      <c r="B49" s="4">
        <v>0.22837370242214533</v>
      </c>
    </row>
    <row r="50" spans="1:2" ht="13.8" x14ac:dyDescent="0.25">
      <c r="A50" s="2" t="s">
        <v>76</v>
      </c>
      <c r="B50" s="4">
        <v>0.16428571428571428</v>
      </c>
    </row>
    <row r="51" spans="1:2" ht="13.8" x14ac:dyDescent="0.25">
      <c r="A51" s="2" t="s">
        <v>74</v>
      </c>
      <c r="B51" s="4">
        <v>0.16515837104072398</v>
      </c>
    </row>
    <row r="52" spans="1:2" ht="13.8" x14ac:dyDescent="0.25">
      <c r="A52" s="2" t="s">
        <v>77</v>
      </c>
      <c r="B52" s="4">
        <v>0.11328976034858387</v>
      </c>
    </row>
    <row r="53" spans="1:2" ht="13.8" x14ac:dyDescent="0.25">
      <c r="A53" s="2" t="s">
        <v>65</v>
      </c>
      <c r="B53" s="4">
        <v>0.16122448979591836</v>
      </c>
    </row>
    <row r="57" spans="1:2" ht="13.8" x14ac:dyDescent="0.25">
      <c r="A57" s="1" t="s">
        <v>64</v>
      </c>
      <c r="B57" t="s">
        <v>68</v>
      </c>
    </row>
    <row r="58" spans="1:2" ht="13.8" x14ac:dyDescent="0.25">
      <c r="A58" s="2" t="s">
        <v>82</v>
      </c>
      <c r="B58" s="4">
        <v>0.27914110429447853</v>
      </c>
    </row>
    <row r="59" spans="1:2" ht="13.8" x14ac:dyDescent="0.25">
      <c r="A59" s="2" t="s">
        <v>79</v>
      </c>
      <c r="B59" s="4">
        <v>0.13843888070692195</v>
      </c>
    </row>
    <row r="60" spans="1:2" ht="13.8" x14ac:dyDescent="0.25">
      <c r="A60" s="2" t="s">
        <v>80</v>
      </c>
      <c r="B60" s="4">
        <v>0.10559006211180125</v>
      </c>
    </row>
    <row r="61" spans="1:2" ht="13.8" x14ac:dyDescent="0.25">
      <c r="A61" s="2" t="s">
        <v>81</v>
      </c>
      <c r="B61" s="4">
        <v>0.12587412587412589</v>
      </c>
    </row>
    <row r="62" spans="1:2" ht="13.8" x14ac:dyDescent="0.25">
      <c r="A62" s="2" t="s">
        <v>65</v>
      </c>
      <c r="B62" s="4">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BDE9F-5683-41BD-A94F-272D842F913E}">
  <dimension ref="B3:D9"/>
  <sheetViews>
    <sheetView workbookViewId="0">
      <selection activeCell="V1" sqref="V1"/>
    </sheetView>
  </sheetViews>
  <sheetFormatPr defaultRowHeight="13.8" x14ac:dyDescent="0.25"/>
  <cols>
    <col min="2" max="2" width="21.69921875" bestFit="1" customWidth="1"/>
    <col min="3" max="3" width="19.09765625" bestFit="1" customWidth="1"/>
    <col min="4" max="4" width="24.19921875" bestFit="1" customWidth="1"/>
  </cols>
  <sheetData>
    <row r="3" spans="2:4" x14ac:dyDescent="0.25">
      <c r="B3" t="s">
        <v>67</v>
      </c>
      <c r="C3" t="s">
        <v>66</v>
      </c>
      <c r="D3" t="s">
        <v>84</v>
      </c>
    </row>
    <row r="4" spans="2:4" x14ac:dyDescent="0.25">
      <c r="B4" s="3">
        <v>1470</v>
      </c>
      <c r="C4" s="3">
        <v>237</v>
      </c>
      <c r="D4" s="4">
        <v>0.16122448979591836</v>
      </c>
    </row>
    <row r="7" spans="2:4" x14ac:dyDescent="0.25">
      <c r="B7" s="7" t="s">
        <v>85</v>
      </c>
    </row>
    <row r="8" spans="2:4" x14ac:dyDescent="0.25">
      <c r="B8" t="s">
        <v>83</v>
      </c>
      <c r="C8" t="s">
        <v>86</v>
      </c>
      <c r="D8" t="s">
        <v>87</v>
      </c>
    </row>
    <row r="9" spans="2:4" x14ac:dyDescent="0.25">
      <c r="B9">
        <f>GETPIVOTDATA("Sum of EmployeeCount",$B$3)</f>
        <v>1470</v>
      </c>
      <c r="C9">
        <f>GETPIVOTDATA("Sum of AttritionValue",$B$3)</f>
        <v>237</v>
      </c>
      <c r="D9" s="4">
        <f>GETPIVOTDATA("Average of AttritionValue2",$B$3)</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B6755-937A-4C6D-B13B-C7450BBEDEC9}">
  <dimension ref="A1:AM1471"/>
  <sheetViews>
    <sheetView workbookViewId="0">
      <selection activeCell="V1" sqref="V1"/>
    </sheetView>
  </sheetViews>
  <sheetFormatPr defaultRowHeight="14.4" x14ac:dyDescent="0.25"/>
  <cols>
    <col min="2" max="2" width="9.69921875" customWidth="1"/>
    <col min="3" max="3" width="15.09765625" customWidth="1"/>
    <col min="4" max="4" width="10.796875" customWidth="1"/>
    <col min="5" max="5" width="12.796875" customWidth="1"/>
    <col min="6" max="6" width="19.5" customWidth="1"/>
    <col min="7" max="7" width="11.09765625" customWidth="1"/>
    <col min="8" max="8" width="15.3984375" customWidth="1"/>
    <col min="9" max="9" width="15.8984375" customWidth="1"/>
    <col min="10" max="10" width="17.796875" customWidth="1"/>
    <col min="11" max="11" width="23.296875" customWidth="1"/>
    <col min="12" max="12" width="8.8984375" customWidth="1"/>
    <col min="13" max="13" width="12" customWidth="1"/>
    <col min="14" max="14" width="15.796875" customWidth="1"/>
    <col min="15" max="15" width="9.8984375" customWidth="1"/>
    <col min="16" max="16" width="9.296875" customWidth="1"/>
    <col min="17" max="17" width="15.59765625" customWidth="1"/>
    <col min="18" max="18" width="14" customWidth="1"/>
    <col min="19" max="19" width="15.59765625" customWidth="1"/>
    <col min="20" max="20" width="13.09765625" customWidth="1"/>
    <col min="21" max="21" width="22.69921875" customWidth="1"/>
    <col min="23" max="23" width="10.796875" customWidth="1"/>
    <col min="24" max="24" width="18.3984375" customWidth="1"/>
    <col min="25" max="25" width="18.69921875" customWidth="1"/>
    <col min="26" max="26" width="23.296875" customWidth="1"/>
    <col min="27" max="27" width="15.3984375" customWidth="1"/>
    <col min="28" max="28" width="17.59765625" customWidth="1"/>
    <col min="29" max="29" width="18.296875" customWidth="1"/>
    <col min="30" max="30" width="21.5" customWidth="1"/>
    <col min="31" max="31" width="16.796875" customWidth="1"/>
    <col min="32" max="32" width="17" customWidth="1"/>
    <col min="33" max="33" width="18.796875" customWidth="1"/>
    <col min="34" max="34" width="24.09765625" customWidth="1"/>
    <col min="35" max="35" width="21.796875" customWidth="1"/>
    <col min="36" max="36" width="14" customWidth="1"/>
  </cols>
  <sheetData>
    <row r="1" spans="1:39" ht="13.8" x14ac:dyDescent="0.25">
      <c r="A1" t="s">
        <v>0</v>
      </c>
      <c r="B1" t="s">
        <v>78</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69</v>
      </c>
      <c r="AI1" t="s">
        <v>32</v>
      </c>
      <c r="AJ1" t="s">
        <v>33</v>
      </c>
      <c r="AK1" t="s">
        <v>34</v>
      </c>
      <c r="AL1" t="s">
        <v>63</v>
      </c>
      <c r="AM1" t="s">
        <v>62</v>
      </c>
    </row>
    <row r="2" spans="1:39" ht="13.8" x14ac:dyDescent="0.25">
      <c r="A2">
        <v>41</v>
      </c>
      <c r="B2" t="str" cm="1">
        <f t="array" ref="B2">_xlfn.IFS(Table1[[#This Row],[Age]]&lt;30,"Under 30",Table1[[#This Row],[Age]]&lt;=40,"30-40",Table1[[#This Row],[Age]]&lt;=50,"41-50",Table1[[#This Row],[Age]]&gt;50,"Over 50")</f>
        <v>41-50</v>
      </c>
      <c r="C2" t="s">
        <v>35</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t="str" cm="1">
        <f t="array" ref="AH2">_xlfn.IFS(Table1[[#This Row],[YearsAtCompany]]&lt;=2,"0-2 years",Table1[[#This Row],[YearsAtCompany]]&lt;=5,"3-5 years",Table1[[#This Row],[YearsAtCompany]]&lt;=10,"6-10 years",Table1[[#This Row],[YearsAtCompany]]&gt;10,"10+ years")</f>
        <v>6-10 years</v>
      </c>
      <c r="AI2">
        <v>4</v>
      </c>
      <c r="AJ2">
        <v>0</v>
      </c>
      <c r="AK2">
        <v>5</v>
      </c>
      <c r="AL2" t="str" cm="1">
        <f t="array" ref="AL2">_xlfn.IFS(Table1[[#This Row],[JobSatisfaction]]=1,"Low",Table1[[#This Row],[JobSatisfaction]]=2,"Medium",Table1[[#This Row],[JobSatisfaction]]=3,"High",Table1[[#This Row],[JobSatisfaction]]=4,"Very High")</f>
        <v>Very High</v>
      </c>
      <c r="AM2">
        <f>IF(Table1[[#This Row],[Attrition]]="Yes",1,0)</f>
        <v>1</v>
      </c>
    </row>
    <row r="3" spans="1:39" ht="13.8" x14ac:dyDescent="0.25">
      <c r="A3">
        <v>49</v>
      </c>
      <c r="B3" t="str" cm="1">
        <f t="array" ref="B3">_xlfn.IFS(Table1[[#This Row],[Age]]&lt;30,"Under 30",Table1[[#This Row],[Age]]&lt;=40,"30-40",Table1[[#This Row],[Age]]&lt;=50,"41-50",Table1[[#This Row],[Age]]&gt;50,"Over 50")</f>
        <v>41-50</v>
      </c>
      <c r="C3" t="s">
        <v>43</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t="str" cm="1">
        <f t="array" ref="AH3">_xlfn.IFS(Table1[[#This Row],[YearsAtCompany]]&lt;=2,"0-2 years",Table1[[#This Row],[YearsAtCompany]]&lt;=5,"3-5 years",Table1[[#This Row],[YearsAtCompany]]&lt;=10,"6-10 years",Table1[[#This Row],[YearsAtCompany]]&gt;10,"10+ years")</f>
        <v>6-10 years</v>
      </c>
      <c r="AI3">
        <v>7</v>
      </c>
      <c r="AJ3">
        <v>1</v>
      </c>
      <c r="AK3">
        <v>7</v>
      </c>
      <c r="AL3" t="str" cm="1">
        <f t="array" ref="AL3">_xlfn.IFS(Table1[[#This Row],[JobSatisfaction]]=1,"Low",Table1[[#This Row],[JobSatisfaction]]=2,"Medium",Table1[[#This Row],[JobSatisfaction]]=3,"High",Table1[[#This Row],[JobSatisfaction]]=4,"Very High")</f>
        <v>Medium</v>
      </c>
      <c r="AM3">
        <f>IF(Table1[[#This Row],[Attrition]]="Yes",1,0)</f>
        <v>0</v>
      </c>
    </row>
    <row r="4" spans="1:39" ht="13.8" x14ac:dyDescent="0.25">
      <c r="A4">
        <v>37</v>
      </c>
      <c r="B4" t="str" cm="1">
        <f t="array" ref="B4">_xlfn.IFS(Table1[[#This Row],[Age]]&lt;30,"Under 30",Table1[[#This Row],[Age]]&lt;=40,"30-40",Table1[[#This Row],[Age]]&lt;=50,"41-50",Table1[[#This Row],[Age]]&gt;50,"Over 50")</f>
        <v>30-40</v>
      </c>
      <c r="C4" t="s">
        <v>35</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t="str" cm="1">
        <f t="array" ref="AH4">_xlfn.IFS(Table1[[#This Row],[YearsAtCompany]]&lt;=2,"0-2 years",Table1[[#This Row],[YearsAtCompany]]&lt;=5,"3-5 years",Table1[[#This Row],[YearsAtCompany]]&lt;=10,"6-10 years",Table1[[#This Row],[YearsAtCompany]]&gt;10,"10+ years")</f>
        <v>0-2 years</v>
      </c>
      <c r="AI4">
        <v>0</v>
      </c>
      <c r="AJ4">
        <v>0</v>
      </c>
      <c r="AK4">
        <v>0</v>
      </c>
      <c r="AL4" t="str" cm="1">
        <f t="array" ref="AL4">_xlfn.IFS(Table1[[#This Row],[JobSatisfaction]]=1,"Low",Table1[[#This Row],[JobSatisfaction]]=2,"Medium",Table1[[#This Row],[JobSatisfaction]]=3,"High",Table1[[#This Row],[JobSatisfaction]]=4,"Very High")</f>
        <v>High</v>
      </c>
      <c r="AM4">
        <f>IF(Table1[[#This Row],[Attrition]]="Yes",1,0)</f>
        <v>1</v>
      </c>
    </row>
    <row r="5" spans="1:39" ht="13.8" x14ac:dyDescent="0.25">
      <c r="A5">
        <v>33</v>
      </c>
      <c r="B5" t="str" cm="1">
        <f t="array" ref="B5">_xlfn.IFS(Table1[[#This Row],[Age]]&lt;30,"Under 30",Table1[[#This Row],[Age]]&lt;=40,"30-40",Table1[[#This Row],[Age]]&lt;=50,"41-50",Table1[[#This Row],[Age]]&gt;50,"Over 50")</f>
        <v>30-40</v>
      </c>
      <c r="C5" t="s">
        <v>43</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t="str" cm="1">
        <f t="array" ref="AH5">_xlfn.IFS(Table1[[#This Row],[YearsAtCompany]]&lt;=2,"0-2 years",Table1[[#This Row],[YearsAtCompany]]&lt;=5,"3-5 years",Table1[[#This Row],[YearsAtCompany]]&lt;=10,"6-10 years",Table1[[#This Row],[YearsAtCompany]]&gt;10,"10+ years")</f>
        <v>6-10 years</v>
      </c>
      <c r="AI5">
        <v>7</v>
      </c>
      <c r="AJ5">
        <v>3</v>
      </c>
      <c r="AK5">
        <v>0</v>
      </c>
      <c r="AL5" t="str" cm="1">
        <f t="array" ref="AL5">_xlfn.IFS(Table1[[#This Row],[JobSatisfaction]]=1,"Low",Table1[[#This Row],[JobSatisfaction]]=2,"Medium",Table1[[#This Row],[JobSatisfaction]]=3,"High",Table1[[#This Row],[JobSatisfaction]]=4,"Very High")</f>
        <v>High</v>
      </c>
      <c r="AM5">
        <f>IF(Table1[[#This Row],[Attrition]]="Yes",1,0)</f>
        <v>0</v>
      </c>
    </row>
    <row r="6" spans="1:39" ht="13.8" x14ac:dyDescent="0.25">
      <c r="A6">
        <v>27</v>
      </c>
      <c r="B6" t="str" cm="1">
        <f t="array" ref="B6">_xlfn.IFS(Table1[[#This Row],[Age]]&lt;30,"Under 30",Table1[[#This Row],[Age]]&lt;=40,"30-40",Table1[[#This Row],[Age]]&lt;=50,"41-50",Table1[[#This Row],[Age]]&gt;50,"Over 50")</f>
        <v>Under 30</v>
      </c>
      <c r="C6" t="s">
        <v>43</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t="str" cm="1">
        <f t="array" ref="AH6">_xlfn.IFS(Table1[[#This Row],[YearsAtCompany]]&lt;=2,"0-2 years",Table1[[#This Row],[YearsAtCompany]]&lt;=5,"3-5 years",Table1[[#This Row],[YearsAtCompany]]&lt;=10,"6-10 years",Table1[[#This Row],[YearsAtCompany]]&gt;10,"10+ years")</f>
        <v>0-2 years</v>
      </c>
      <c r="AI6">
        <v>2</v>
      </c>
      <c r="AJ6">
        <v>2</v>
      </c>
      <c r="AK6">
        <v>2</v>
      </c>
      <c r="AL6" t="str" cm="1">
        <f t="array" ref="AL6">_xlfn.IFS(Table1[[#This Row],[JobSatisfaction]]=1,"Low",Table1[[#This Row],[JobSatisfaction]]=2,"Medium",Table1[[#This Row],[JobSatisfaction]]=3,"High",Table1[[#This Row],[JobSatisfaction]]=4,"Very High")</f>
        <v>Medium</v>
      </c>
      <c r="AM6">
        <f>IF(Table1[[#This Row],[Attrition]]="Yes",1,0)</f>
        <v>0</v>
      </c>
    </row>
    <row r="7" spans="1:39" ht="13.8" x14ac:dyDescent="0.25">
      <c r="A7">
        <v>32</v>
      </c>
      <c r="B7" t="str" cm="1">
        <f t="array" ref="B7">_xlfn.IFS(Table1[[#This Row],[Age]]&lt;30,"Under 30",Table1[[#This Row],[Age]]&lt;=40,"30-40",Table1[[#This Row],[Age]]&lt;=50,"41-50",Table1[[#This Row],[Age]]&gt;50,"Over 50")</f>
        <v>30-40</v>
      </c>
      <c r="C7" t="s">
        <v>43</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t="str" cm="1">
        <f t="array" ref="AH7">_xlfn.IFS(Table1[[#This Row],[YearsAtCompany]]&lt;=2,"0-2 years",Table1[[#This Row],[YearsAtCompany]]&lt;=5,"3-5 years",Table1[[#This Row],[YearsAtCompany]]&lt;=10,"6-10 years",Table1[[#This Row],[YearsAtCompany]]&gt;10,"10+ years")</f>
        <v>6-10 years</v>
      </c>
      <c r="AI7">
        <v>7</v>
      </c>
      <c r="AJ7">
        <v>3</v>
      </c>
      <c r="AK7">
        <v>6</v>
      </c>
      <c r="AL7" t="str" cm="1">
        <f t="array" ref="AL7">_xlfn.IFS(Table1[[#This Row],[JobSatisfaction]]=1,"Low",Table1[[#This Row],[JobSatisfaction]]=2,"Medium",Table1[[#This Row],[JobSatisfaction]]=3,"High",Table1[[#This Row],[JobSatisfaction]]=4,"Very High")</f>
        <v>Very High</v>
      </c>
      <c r="AM7">
        <f>IF(Table1[[#This Row],[Attrition]]="Yes",1,0)</f>
        <v>0</v>
      </c>
    </row>
    <row r="8" spans="1:39" ht="13.8" x14ac:dyDescent="0.25">
      <c r="A8">
        <v>59</v>
      </c>
      <c r="B8" t="str" cm="1">
        <f t="array" ref="B8">_xlfn.IFS(Table1[[#This Row],[Age]]&lt;30,"Under 30",Table1[[#This Row],[Age]]&lt;=40,"30-40",Table1[[#This Row],[Age]]&lt;=50,"41-50",Table1[[#This Row],[Age]]&gt;50,"Over 50")</f>
        <v>Over 50</v>
      </c>
      <c r="C8" t="s">
        <v>43</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t="str" cm="1">
        <f t="array" ref="AH8">_xlfn.IFS(Table1[[#This Row],[YearsAtCompany]]&lt;=2,"0-2 years",Table1[[#This Row],[YearsAtCompany]]&lt;=5,"3-5 years",Table1[[#This Row],[YearsAtCompany]]&lt;=10,"6-10 years",Table1[[#This Row],[YearsAtCompany]]&gt;10,"10+ years")</f>
        <v>0-2 years</v>
      </c>
      <c r="AI8">
        <v>0</v>
      </c>
      <c r="AJ8">
        <v>0</v>
      </c>
      <c r="AK8">
        <v>0</v>
      </c>
      <c r="AL8" t="str" cm="1">
        <f t="array" ref="AL8">_xlfn.IFS(Table1[[#This Row],[JobSatisfaction]]=1,"Low",Table1[[#This Row],[JobSatisfaction]]=2,"Medium",Table1[[#This Row],[JobSatisfaction]]=3,"High",Table1[[#This Row],[JobSatisfaction]]=4,"Very High")</f>
        <v>Low</v>
      </c>
      <c r="AM8">
        <f>IF(Table1[[#This Row],[Attrition]]="Yes",1,0)</f>
        <v>0</v>
      </c>
    </row>
    <row r="9" spans="1:39" ht="13.8" x14ac:dyDescent="0.25">
      <c r="A9">
        <v>30</v>
      </c>
      <c r="B9" t="str" cm="1">
        <f t="array" ref="B9">_xlfn.IFS(Table1[[#This Row],[Age]]&lt;30,"Under 30",Table1[[#This Row],[Age]]&lt;=40,"30-40",Table1[[#This Row],[Age]]&lt;=50,"41-50",Table1[[#This Row],[Age]]&gt;50,"Over 50")</f>
        <v>30-40</v>
      </c>
      <c r="C9" t="s">
        <v>43</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t="str" cm="1">
        <f t="array" ref="AH9">_xlfn.IFS(Table1[[#This Row],[YearsAtCompany]]&lt;=2,"0-2 years",Table1[[#This Row],[YearsAtCompany]]&lt;=5,"3-5 years",Table1[[#This Row],[YearsAtCompany]]&lt;=10,"6-10 years",Table1[[#This Row],[YearsAtCompany]]&gt;10,"10+ years")</f>
        <v>0-2 years</v>
      </c>
      <c r="AI9">
        <v>0</v>
      </c>
      <c r="AJ9">
        <v>0</v>
      </c>
      <c r="AK9">
        <v>0</v>
      </c>
      <c r="AL9" t="str" cm="1">
        <f t="array" ref="AL9">_xlfn.IFS(Table1[[#This Row],[JobSatisfaction]]=1,"Low",Table1[[#This Row],[JobSatisfaction]]=2,"Medium",Table1[[#This Row],[JobSatisfaction]]=3,"High",Table1[[#This Row],[JobSatisfaction]]=4,"Very High")</f>
        <v>High</v>
      </c>
      <c r="AM9">
        <f>IF(Table1[[#This Row],[Attrition]]="Yes",1,0)</f>
        <v>0</v>
      </c>
    </row>
    <row r="10" spans="1:39" ht="13.8" x14ac:dyDescent="0.25">
      <c r="A10">
        <v>38</v>
      </c>
      <c r="B10" t="str" cm="1">
        <f t="array" ref="B10">_xlfn.IFS(Table1[[#This Row],[Age]]&lt;30,"Under 30",Table1[[#This Row],[Age]]&lt;=40,"30-40",Table1[[#This Row],[Age]]&lt;=50,"41-50",Table1[[#This Row],[Age]]&gt;50,"Over 50")</f>
        <v>30-40</v>
      </c>
      <c r="C10" t="s">
        <v>43</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t="str" cm="1">
        <f t="array" ref="AH10">_xlfn.IFS(Table1[[#This Row],[YearsAtCompany]]&lt;=2,"0-2 years",Table1[[#This Row],[YearsAtCompany]]&lt;=5,"3-5 years",Table1[[#This Row],[YearsAtCompany]]&lt;=10,"6-10 years",Table1[[#This Row],[YearsAtCompany]]&gt;10,"10+ years")</f>
        <v>6-10 years</v>
      </c>
      <c r="AI10">
        <v>7</v>
      </c>
      <c r="AJ10">
        <v>1</v>
      </c>
      <c r="AK10">
        <v>8</v>
      </c>
      <c r="AL10" t="str" cm="1">
        <f t="array" ref="AL10">_xlfn.IFS(Table1[[#This Row],[JobSatisfaction]]=1,"Low",Table1[[#This Row],[JobSatisfaction]]=2,"Medium",Table1[[#This Row],[JobSatisfaction]]=3,"High",Table1[[#This Row],[JobSatisfaction]]=4,"Very High")</f>
        <v>High</v>
      </c>
      <c r="AM10">
        <f>IF(Table1[[#This Row],[Attrition]]="Yes",1,0)</f>
        <v>0</v>
      </c>
    </row>
    <row r="11" spans="1:39" ht="13.8" x14ac:dyDescent="0.25">
      <c r="A11">
        <v>36</v>
      </c>
      <c r="B11" t="str" cm="1">
        <f t="array" ref="B11">_xlfn.IFS(Table1[[#This Row],[Age]]&lt;30,"Under 30",Table1[[#This Row],[Age]]&lt;=40,"30-40",Table1[[#This Row],[Age]]&lt;=50,"41-50",Table1[[#This Row],[Age]]&gt;50,"Over 50")</f>
        <v>30-40</v>
      </c>
      <c r="C11" t="s">
        <v>43</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t="str" cm="1">
        <f t="array" ref="AH11">_xlfn.IFS(Table1[[#This Row],[YearsAtCompany]]&lt;=2,"0-2 years",Table1[[#This Row],[YearsAtCompany]]&lt;=5,"3-5 years",Table1[[#This Row],[YearsAtCompany]]&lt;=10,"6-10 years",Table1[[#This Row],[YearsAtCompany]]&gt;10,"10+ years")</f>
        <v>6-10 years</v>
      </c>
      <c r="AI11">
        <v>7</v>
      </c>
      <c r="AJ11">
        <v>7</v>
      </c>
      <c r="AK11">
        <v>7</v>
      </c>
      <c r="AL11" t="str" cm="1">
        <f t="array" ref="AL11">_xlfn.IFS(Table1[[#This Row],[JobSatisfaction]]=1,"Low",Table1[[#This Row],[JobSatisfaction]]=2,"Medium",Table1[[#This Row],[JobSatisfaction]]=3,"High",Table1[[#This Row],[JobSatisfaction]]=4,"Very High")</f>
        <v>High</v>
      </c>
      <c r="AM11">
        <f>IF(Table1[[#This Row],[Attrition]]="Yes",1,0)</f>
        <v>0</v>
      </c>
    </row>
    <row r="12" spans="1:39" ht="13.8" x14ac:dyDescent="0.25">
      <c r="A12">
        <v>35</v>
      </c>
      <c r="B12" t="str" cm="1">
        <f t="array" ref="B12">_xlfn.IFS(Table1[[#This Row],[Age]]&lt;30,"Under 30",Table1[[#This Row],[Age]]&lt;=40,"30-40",Table1[[#This Row],[Age]]&lt;=50,"41-50",Table1[[#This Row],[Age]]&gt;50,"Over 50")</f>
        <v>30-40</v>
      </c>
      <c r="C12" t="s">
        <v>43</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t="str" cm="1">
        <f t="array" ref="AH12">_xlfn.IFS(Table1[[#This Row],[YearsAtCompany]]&lt;=2,"0-2 years",Table1[[#This Row],[YearsAtCompany]]&lt;=5,"3-5 years",Table1[[#This Row],[YearsAtCompany]]&lt;=10,"6-10 years",Table1[[#This Row],[YearsAtCompany]]&gt;10,"10+ years")</f>
        <v>3-5 years</v>
      </c>
      <c r="AI12">
        <v>4</v>
      </c>
      <c r="AJ12">
        <v>0</v>
      </c>
      <c r="AK12">
        <v>3</v>
      </c>
      <c r="AL12" t="str" cm="1">
        <f t="array" ref="AL12">_xlfn.IFS(Table1[[#This Row],[JobSatisfaction]]=1,"Low",Table1[[#This Row],[JobSatisfaction]]=2,"Medium",Table1[[#This Row],[JobSatisfaction]]=3,"High",Table1[[#This Row],[JobSatisfaction]]=4,"Very High")</f>
        <v>Medium</v>
      </c>
      <c r="AM12">
        <f>IF(Table1[[#This Row],[Attrition]]="Yes",1,0)</f>
        <v>0</v>
      </c>
    </row>
    <row r="13" spans="1:39" ht="13.8" x14ac:dyDescent="0.25">
      <c r="A13">
        <v>29</v>
      </c>
      <c r="B13" t="str" cm="1">
        <f t="array" ref="B13">_xlfn.IFS(Table1[[#This Row],[Age]]&lt;30,"Under 30",Table1[[#This Row],[Age]]&lt;=40,"30-40",Table1[[#This Row],[Age]]&lt;=50,"41-50",Table1[[#This Row],[Age]]&gt;50,"Over 50")</f>
        <v>Under 30</v>
      </c>
      <c r="C13" t="s">
        <v>43</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t="str" cm="1">
        <f t="array" ref="AH13">_xlfn.IFS(Table1[[#This Row],[YearsAtCompany]]&lt;=2,"0-2 years",Table1[[#This Row],[YearsAtCompany]]&lt;=5,"3-5 years",Table1[[#This Row],[YearsAtCompany]]&lt;=10,"6-10 years",Table1[[#This Row],[YearsAtCompany]]&gt;10,"10+ years")</f>
        <v>6-10 years</v>
      </c>
      <c r="AI13">
        <v>5</v>
      </c>
      <c r="AJ13">
        <v>0</v>
      </c>
      <c r="AK13">
        <v>8</v>
      </c>
      <c r="AL13" t="str" cm="1">
        <f t="array" ref="AL13">_xlfn.IFS(Table1[[#This Row],[JobSatisfaction]]=1,"Low",Table1[[#This Row],[JobSatisfaction]]=2,"Medium",Table1[[#This Row],[JobSatisfaction]]=3,"High",Table1[[#This Row],[JobSatisfaction]]=4,"Very High")</f>
        <v>High</v>
      </c>
      <c r="AM13">
        <f>IF(Table1[[#This Row],[Attrition]]="Yes",1,0)</f>
        <v>0</v>
      </c>
    </row>
    <row r="14" spans="1:39" ht="13.8" x14ac:dyDescent="0.25">
      <c r="A14">
        <v>31</v>
      </c>
      <c r="B14" t="str" cm="1">
        <f t="array" ref="B14">_xlfn.IFS(Table1[[#This Row],[Age]]&lt;30,"Under 30",Table1[[#This Row],[Age]]&lt;=40,"30-40",Table1[[#This Row],[Age]]&lt;=50,"41-50",Table1[[#This Row],[Age]]&gt;50,"Over 50")</f>
        <v>30-40</v>
      </c>
      <c r="C14" t="s">
        <v>43</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t="str" cm="1">
        <f t="array" ref="AH14">_xlfn.IFS(Table1[[#This Row],[YearsAtCompany]]&lt;=2,"0-2 years",Table1[[#This Row],[YearsAtCompany]]&lt;=5,"3-5 years",Table1[[#This Row],[YearsAtCompany]]&lt;=10,"6-10 years",Table1[[#This Row],[YearsAtCompany]]&gt;10,"10+ years")</f>
        <v>3-5 years</v>
      </c>
      <c r="AI14">
        <v>2</v>
      </c>
      <c r="AJ14">
        <v>4</v>
      </c>
      <c r="AK14">
        <v>3</v>
      </c>
      <c r="AL14" t="str" cm="1">
        <f t="array" ref="AL14">_xlfn.IFS(Table1[[#This Row],[JobSatisfaction]]=1,"Low",Table1[[#This Row],[JobSatisfaction]]=2,"Medium",Table1[[#This Row],[JobSatisfaction]]=3,"High",Table1[[#This Row],[JobSatisfaction]]=4,"Very High")</f>
        <v>High</v>
      </c>
      <c r="AM14">
        <f>IF(Table1[[#This Row],[Attrition]]="Yes",1,0)</f>
        <v>0</v>
      </c>
    </row>
    <row r="15" spans="1:39" ht="13.8" x14ac:dyDescent="0.25">
      <c r="A15">
        <v>34</v>
      </c>
      <c r="B15" t="str" cm="1">
        <f t="array" ref="B15">_xlfn.IFS(Table1[[#This Row],[Age]]&lt;30,"Under 30",Table1[[#This Row],[Age]]&lt;=40,"30-40",Table1[[#This Row],[Age]]&lt;=50,"41-50",Table1[[#This Row],[Age]]&gt;50,"Over 50")</f>
        <v>30-40</v>
      </c>
      <c r="C15" t="s">
        <v>43</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t="str" cm="1">
        <f t="array" ref="AH15">_xlfn.IFS(Table1[[#This Row],[YearsAtCompany]]&lt;=2,"0-2 years",Table1[[#This Row],[YearsAtCompany]]&lt;=5,"3-5 years",Table1[[#This Row],[YearsAtCompany]]&lt;=10,"6-10 years",Table1[[#This Row],[YearsAtCompany]]&gt;10,"10+ years")</f>
        <v>0-2 years</v>
      </c>
      <c r="AI15">
        <v>2</v>
      </c>
      <c r="AJ15">
        <v>1</v>
      </c>
      <c r="AK15">
        <v>2</v>
      </c>
      <c r="AL15" t="str" cm="1">
        <f t="array" ref="AL15">_xlfn.IFS(Table1[[#This Row],[JobSatisfaction]]=1,"Low",Table1[[#This Row],[JobSatisfaction]]=2,"Medium",Table1[[#This Row],[JobSatisfaction]]=3,"High",Table1[[#This Row],[JobSatisfaction]]=4,"Very High")</f>
        <v>Very High</v>
      </c>
      <c r="AM15">
        <f>IF(Table1[[#This Row],[Attrition]]="Yes",1,0)</f>
        <v>0</v>
      </c>
    </row>
    <row r="16" spans="1:39" ht="13.8" x14ac:dyDescent="0.25">
      <c r="A16">
        <v>28</v>
      </c>
      <c r="B16" t="str" cm="1">
        <f t="array" ref="B16">_xlfn.IFS(Table1[[#This Row],[Age]]&lt;30,"Under 30",Table1[[#This Row],[Age]]&lt;=40,"30-40",Table1[[#This Row],[Age]]&lt;=50,"41-50",Table1[[#This Row],[Age]]&gt;50,"Over 50")</f>
        <v>Under 30</v>
      </c>
      <c r="C16" t="s">
        <v>35</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t="str" cm="1">
        <f t="array" ref="AH16">_xlfn.IFS(Table1[[#This Row],[YearsAtCompany]]&lt;=2,"0-2 years",Table1[[#This Row],[YearsAtCompany]]&lt;=5,"3-5 years",Table1[[#This Row],[YearsAtCompany]]&lt;=10,"6-10 years",Table1[[#This Row],[YearsAtCompany]]&gt;10,"10+ years")</f>
        <v>3-5 years</v>
      </c>
      <c r="AI16">
        <v>2</v>
      </c>
      <c r="AJ16">
        <v>0</v>
      </c>
      <c r="AK16">
        <v>3</v>
      </c>
      <c r="AL16" t="str" cm="1">
        <f t="array" ref="AL16">_xlfn.IFS(Table1[[#This Row],[JobSatisfaction]]=1,"Low",Table1[[#This Row],[JobSatisfaction]]=2,"Medium",Table1[[#This Row],[JobSatisfaction]]=3,"High",Table1[[#This Row],[JobSatisfaction]]=4,"Very High")</f>
        <v>High</v>
      </c>
      <c r="AM16">
        <f>IF(Table1[[#This Row],[Attrition]]="Yes",1,0)</f>
        <v>1</v>
      </c>
    </row>
    <row r="17" spans="1:39" ht="13.8" x14ac:dyDescent="0.25">
      <c r="A17">
        <v>29</v>
      </c>
      <c r="B17" t="str" cm="1">
        <f t="array" ref="B17">_xlfn.IFS(Table1[[#This Row],[Age]]&lt;30,"Under 30",Table1[[#This Row],[Age]]&lt;=40,"30-40",Table1[[#This Row],[Age]]&lt;=50,"41-50",Table1[[#This Row],[Age]]&gt;50,"Over 50")</f>
        <v>Under 30</v>
      </c>
      <c r="C17" t="s">
        <v>43</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t="str" cm="1">
        <f t="array" ref="AH17">_xlfn.IFS(Table1[[#This Row],[YearsAtCompany]]&lt;=2,"0-2 years",Table1[[#This Row],[YearsAtCompany]]&lt;=5,"3-5 years",Table1[[#This Row],[YearsAtCompany]]&lt;=10,"6-10 years",Table1[[#This Row],[YearsAtCompany]]&gt;10,"10+ years")</f>
        <v>6-10 years</v>
      </c>
      <c r="AI17">
        <v>9</v>
      </c>
      <c r="AJ17">
        <v>8</v>
      </c>
      <c r="AK17">
        <v>8</v>
      </c>
      <c r="AL17" t="str" cm="1">
        <f t="array" ref="AL17">_xlfn.IFS(Table1[[#This Row],[JobSatisfaction]]=1,"Low",Table1[[#This Row],[JobSatisfaction]]=2,"Medium",Table1[[#This Row],[JobSatisfaction]]=3,"High",Table1[[#This Row],[JobSatisfaction]]=4,"Very High")</f>
        <v>Low</v>
      </c>
      <c r="AM17">
        <f>IF(Table1[[#This Row],[Attrition]]="Yes",1,0)</f>
        <v>0</v>
      </c>
    </row>
    <row r="18" spans="1:39" ht="13.8" x14ac:dyDescent="0.25">
      <c r="A18">
        <v>32</v>
      </c>
      <c r="B18" t="str" cm="1">
        <f t="array" ref="B18">_xlfn.IFS(Table1[[#This Row],[Age]]&lt;30,"Under 30",Table1[[#This Row],[Age]]&lt;=40,"30-40",Table1[[#This Row],[Age]]&lt;=50,"41-50",Table1[[#This Row],[Age]]&gt;50,"Over 50")</f>
        <v>30-40</v>
      </c>
      <c r="C18" t="s">
        <v>43</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t="str" cm="1">
        <f t="array" ref="AH18">_xlfn.IFS(Table1[[#This Row],[YearsAtCompany]]&lt;=2,"0-2 years",Table1[[#This Row],[YearsAtCompany]]&lt;=5,"3-5 years",Table1[[#This Row],[YearsAtCompany]]&lt;=10,"6-10 years",Table1[[#This Row],[YearsAtCompany]]&gt;10,"10+ years")</f>
        <v>6-10 years</v>
      </c>
      <c r="AI18">
        <v>2</v>
      </c>
      <c r="AJ18">
        <v>0</v>
      </c>
      <c r="AK18">
        <v>5</v>
      </c>
      <c r="AL18" t="str" cm="1">
        <f t="array" ref="AL18">_xlfn.IFS(Table1[[#This Row],[JobSatisfaction]]=1,"Low",Table1[[#This Row],[JobSatisfaction]]=2,"Medium",Table1[[#This Row],[JobSatisfaction]]=3,"High",Table1[[#This Row],[JobSatisfaction]]=4,"Very High")</f>
        <v>Medium</v>
      </c>
      <c r="AM18">
        <f>IF(Table1[[#This Row],[Attrition]]="Yes",1,0)</f>
        <v>0</v>
      </c>
    </row>
    <row r="19" spans="1:39" ht="13.8" x14ac:dyDescent="0.25">
      <c r="A19">
        <v>22</v>
      </c>
      <c r="B19" t="str" cm="1">
        <f t="array" ref="B19">_xlfn.IFS(Table1[[#This Row],[Age]]&lt;30,"Under 30",Table1[[#This Row],[Age]]&lt;=40,"30-40",Table1[[#This Row],[Age]]&lt;=50,"41-50",Table1[[#This Row],[Age]]&gt;50,"Over 50")</f>
        <v>Under 30</v>
      </c>
      <c r="C19" t="s">
        <v>43</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t="str" cm="1">
        <f t="array" ref="AH19">_xlfn.IFS(Table1[[#This Row],[YearsAtCompany]]&lt;=2,"0-2 years",Table1[[#This Row],[YearsAtCompany]]&lt;=5,"3-5 years",Table1[[#This Row],[YearsAtCompany]]&lt;=10,"6-10 years",Table1[[#This Row],[YearsAtCompany]]&gt;10,"10+ years")</f>
        <v>0-2 years</v>
      </c>
      <c r="AI19">
        <v>0</v>
      </c>
      <c r="AJ19">
        <v>0</v>
      </c>
      <c r="AK19">
        <v>0</v>
      </c>
      <c r="AL19" t="str" cm="1">
        <f t="array" ref="AL19">_xlfn.IFS(Table1[[#This Row],[JobSatisfaction]]=1,"Low",Table1[[#This Row],[JobSatisfaction]]=2,"Medium",Table1[[#This Row],[JobSatisfaction]]=3,"High",Table1[[#This Row],[JobSatisfaction]]=4,"Very High")</f>
        <v>Very High</v>
      </c>
      <c r="AM19">
        <f>IF(Table1[[#This Row],[Attrition]]="Yes",1,0)</f>
        <v>0</v>
      </c>
    </row>
    <row r="20" spans="1:39" ht="13.8" x14ac:dyDescent="0.25">
      <c r="A20">
        <v>53</v>
      </c>
      <c r="B20" t="str" cm="1">
        <f t="array" ref="B20">_xlfn.IFS(Table1[[#This Row],[Age]]&lt;30,"Under 30",Table1[[#This Row],[Age]]&lt;=40,"30-40",Table1[[#This Row],[Age]]&lt;=50,"41-50",Table1[[#This Row],[Age]]&gt;50,"Over 50")</f>
        <v>Over 50</v>
      </c>
      <c r="C20" t="s">
        <v>43</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t="str" cm="1">
        <f t="array" ref="AH20">_xlfn.IFS(Table1[[#This Row],[YearsAtCompany]]&lt;=2,"0-2 years",Table1[[#This Row],[YearsAtCompany]]&lt;=5,"3-5 years",Table1[[#This Row],[YearsAtCompany]]&lt;=10,"6-10 years",Table1[[#This Row],[YearsAtCompany]]&gt;10,"10+ years")</f>
        <v>10+ years</v>
      </c>
      <c r="AI20">
        <v>8</v>
      </c>
      <c r="AJ20">
        <v>3</v>
      </c>
      <c r="AK20">
        <v>7</v>
      </c>
      <c r="AL20" t="str" cm="1">
        <f t="array" ref="AL20">_xlfn.IFS(Table1[[#This Row],[JobSatisfaction]]=1,"Low",Table1[[#This Row],[JobSatisfaction]]=2,"Medium",Table1[[#This Row],[JobSatisfaction]]=3,"High",Table1[[#This Row],[JobSatisfaction]]=4,"Very High")</f>
        <v>Very High</v>
      </c>
      <c r="AM20">
        <f>IF(Table1[[#This Row],[Attrition]]="Yes",1,0)</f>
        <v>0</v>
      </c>
    </row>
    <row r="21" spans="1:39" ht="13.8" x14ac:dyDescent="0.25">
      <c r="A21">
        <v>38</v>
      </c>
      <c r="B21" t="str" cm="1">
        <f t="array" ref="B21">_xlfn.IFS(Table1[[#This Row],[Age]]&lt;30,"Under 30",Table1[[#This Row],[Age]]&lt;=40,"30-40",Table1[[#This Row],[Age]]&lt;=50,"41-50",Table1[[#This Row],[Age]]&gt;50,"Over 50")</f>
        <v>30-40</v>
      </c>
      <c r="C21" t="s">
        <v>43</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t="str" cm="1">
        <f t="array" ref="AH21">_xlfn.IFS(Table1[[#This Row],[YearsAtCompany]]&lt;=2,"0-2 years",Table1[[#This Row],[YearsAtCompany]]&lt;=5,"3-5 years",Table1[[#This Row],[YearsAtCompany]]&lt;=10,"6-10 years",Table1[[#This Row],[YearsAtCompany]]&gt;10,"10+ years")</f>
        <v>3-5 years</v>
      </c>
      <c r="AI21">
        <v>2</v>
      </c>
      <c r="AJ21">
        <v>1</v>
      </c>
      <c r="AK21">
        <v>2</v>
      </c>
      <c r="AL21" t="str" cm="1">
        <f t="array" ref="AL21">_xlfn.IFS(Table1[[#This Row],[JobSatisfaction]]=1,"Low",Table1[[#This Row],[JobSatisfaction]]=2,"Medium",Table1[[#This Row],[JobSatisfaction]]=3,"High",Table1[[#This Row],[JobSatisfaction]]=4,"Very High")</f>
        <v>Very High</v>
      </c>
      <c r="AM21">
        <f>IF(Table1[[#This Row],[Attrition]]="Yes",1,0)</f>
        <v>0</v>
      </c>
    </row>
    <row r="22" spans="1:39" ht="13.8" x14ac:dyDescent="0.25">
      <c r="A22">
        <v>24</v>
      </c>
      <c r="B22" t="str" cm="1">
        <f t="array" ref="B22">_xlfn.IFS(Table1[[#This Row],[Age]]&lt;30,"Under 30",Table1[[#This Row],[Age]]&lt;=40,"30-40",Table1[[#This Row],[Age]]&lt;=50,"41-50",Table1[[#This Row],[Age]]&gt;50,"Over 50")</f>
        <v>Under 30</v>
      </c>
      <c r="C22" t="s">
        <v>43</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t="str" cm="1">
        <f t="array" ref="AH22">_xlfn.IFS(Table1[[#This Row],[YearsAtCompany]]&lt;=2,"0-2 years",Table1[[#This Row],[YearsAtCompany]]&lt;=5,"3-5 years",Table1[[#This Row],[YearsAtCompany]]&lt;=10,"6-10 years",Table1[[#This Row],[YearsAtCompany]]&gt;10,"10+ years")</f>
        <v>3-5 years</v>
      </c>
      <c r="AI22">
        <v>2</v>
      </c>
      <c r="AJ22">
        <v>1</v>
      </c>
      <c r="AK22">
        <v>3</v>
      </c>
      <c r="AL22" t="str" cm="1">
        <f t="array" ref="AL22">_xlfn.IFS(Table1[[#This Row],[JobSatisfaction]]=1,"Low",Table1[[#This Row],[JobSatisfaction]]=2,"Medium",Table1[[#This Row],[JobSatisfaction]]=3,"High",Table1[[#This Row],[JobSatisfaction]]=4,"Very High")</f>
        <v>High</v>
      </c>
      <c r="AM22">
        <f>IF(Table1[[#This Row],[Attrition]]="Yes",1,0)</f>
        <v>0</v>
      </c>
    </row>
    <row r="23" spans="1:39" ht="13.8" x14ac:dyDescent="0.25">
      <c r="A23">
        <v>36</v>
      </c>
      <c r="B23" t="str" cm="1">
        <f t="array" ref="B23">_xlfn.IFS(Table1[[#This Row],[Age]]&lt;30,"Under 30",Table1[[#This Row],[Age]]&lt;=40,"30-40",Table1[[#This Row],[Age]]&lt;=50,"41-50",Table1[[#This Row],[Age]]&gt;50,"Over 50")</f>
        <v>30-40</v>
      </c>
      <c r="C23" t="s">
        <v>35</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t="str" cm="1">
        <f t="array" ref="AH23">_xlfn.IFS(Table1[[#This Row],[YearsAtCompany]]&lt;=2,"0-2 years",Table1[[#This Row],[YearsAtCompany]]&lt;=5,"3-5 years",Table1[[#This Row],[YearsAtCompany]]&lt;=10,"6-10 years",Table1[[#This Row],[YearsAtCompany]]&gt;10,"10+ years")</f>
        <v>3-5 years</v>
      </c>
      <c r="AI23">
        <v>3</v>
      </c>
      <c r="AJ23">
        <v>0</v>
      </c>
      <c r="AK23">
        <v>3</v>
      </c>
      <c r="AL23" t="str" cm="1">
        <f t="array" ref="AL23">_xlfn.IFS(Table1[[#This Row],[JobSatisfaction]]=1,"Low",Table1[[#This Row],[JobSatisfaction]]=2,"Medium",Table1[[#This Row],[JobSatisfaction]]=3,"High",Table1[[#This Row],[JobSatisfaction]]=4,"Very High")</f>
        <v>Low</v>
      </c>
      <c r="AM23">
        <f>IF(Table1[[#This Row],[Attrition]]="Yes",1,0)</f>
        <v>1</v>
      </c>
    </row>
    <row r="24" spans="1:39" ht="13.8" x14ac:dyDescent="0.25">
      <c r="A24">
        <v>34</v>
      </c>
      <c r="B24" t="str" cm="1">
        <f t="array" ref="B24">_xlfn.IFS(Table1[[#This Row],[Age]]&lt;30,"Under 30",Table1[[#This Row],[Age]]&lt;=40,"30-40",Table1[[#This Row],[Age]]&lt;=50,"41-50",Table1[[#This Row],[Age]]&gt;50,"Over 50")</f>
        <v>30-40</v>
      </c>
      <c r="C24" t="s">
        <v>43</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t="str" cm="1">
        <f t="array" ref="AH24">_xlfn.IFS(Table1[[#This Row],[YearsAtCompany]]&lt;=2,"0-2 years",Table1[[#This Row],[YearsAtCompany]]&lt;=5,"3-5 years",Table1[[#This Row],[YearsAtCompany]]&lt;=10,"6-10 years",Table1[[#This Row],[YearsAtCompany]]&gt;10,"10+ years")</f>
        <v>10+ years</v>
      </c>
      <c r="AI24">
        <v>6</v>
      </c>
      <c r="AJ24">
        <v>2</v>
      </c>
      <c r="AK24">
        <v>11</v>
      </c>
      <c r="AL24" t="str" cm="1">
        <f t="array" ref="AL24">_xlfn.IFS(Table1[[#This Row],[JobSatisfaction]]=1,"Low",Table1[[#This Row],[JobSatisfaction]]=2,"Medium",Table1[[#This Row],[JobSatisfaction]]=3,"High",Table1[[#This Row],[JobSatisfaction]]=4,"Very High")</f>
        <v>Medium</v>
      </c>
      <c r="AM24">
        <f>IF(Table1[[#This Row],[Attrition]]="Yes",1,0)</f>
        <v>0</v>
      </c>
    </row>
    <row r="25" spans="1:39" ht="13.8" x14ac:dyDescent="0.25">
      <c r="A25">
        <v>21</v>
      </c>
      <c r="B25" t="str" cm="1">
        <f t="array" ref="B25">_xlfn.IFS(Table1[[#This Row],[Age]]&lt;30,"Under 30",Table1[[#This Row],[Age]]&lt;=40,"30-40",Table1[[#This Row],[Age]]&lt;=50,"41-50",Table1[[#This Row],[Age]]&gt;50,"Over 50")</f>
        <v>Under 30</v>
      </c>
      <c r="C25" t="s">
        <v>43</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t="str" cm="1">
        <f t="array" ref="AH25">_xlfn.IFS(Table1[[#This Row],[YearsAtCompany]]&lt;=2,"0-2 years",Table1[[#This Row],[YearsAtCompany]]&lt;=5,"3-5 years",Table1[[#This Row],[YearsAtCompany]]&lt;=10,"6-10 years",Table1[[#This Row],[YearsAtCompany]]&gt;10,"10+ years")</f>
        <v>0-2 years</v>
      </c>
      <c r="AI25">
        <v>0</v>
      </c>
      <c r="AJ25">
        <v>0</v>
      </c>
      <c r="AK25">
        <v>0</v>
      </c>
      <c r="AL25" t="str" cm="1">
        <f t="array" ref="AL25">_xlfn.IFS(Table1[[#This Row],[JobSatisfaction]]=1,"Low",Table1[[#This Row],[JobSatisfaction]]=2,"Medium",Table1[[#This Row],[JobSatisfaction]]=3,"High",Table1[[#This Row],[JobSatisfaction]]=4,"Very High")</f>
        <v>Very High</v>
      </c>
      <c r="AM25">
        <f>IF(Table1[[#This Row],[Attrition]]="Yes",1,0)</f>
        <v>0</v>
      </c>
    </row>
    <row r="26" spans="1:39" ht="13.8" x14ac:dyDescent="0.25">
      <c r="A26">
        <v>34</v>
      </c>
      <c r="B26" t="str" cm="1">
        <f t="array" ref="B26">_xlfn.IFS(Table1[[#This Row],[Age]]&lt;30,"Under 30",Table1[[#This Row],[Age]]&lt;=40,"30-40",Table1[[#This Row],[Age]]&lt;=50,"41-50",Table1[[#This Row],[Age]]&gt;50,"Over 50")</f>
        <v>30-40</v>
      </c>
      <c r="C26" t="s">
        <v>35</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t="str" cm="1">
        <f t="array" ref="AH26">_xlfn.IFS(Table1[[#This Row],[YearsAtCompany]]&lt;=2,"0-2 years",Table1[[#This Row],[YearsAtCompany]]&lt;=5,"3-5 years",Table1[[#This Row],[YearsAtCompany]]&lt;=10,"6-10 years",Table1[[#This Row],[YearsAtCompany]]&gt;10,"10+ years")</f>
        <v>3-5 years</v>
      </c>
      <c r="AI26">
        <v>2</v>
      </c>
      <c r="AJ26">
        <v>1</v>
      </c>
      <c r="AK26">
        <v>3</v>
      </c>
      <c r="AL26" t="str" cm="1">
        <f t="array" ref="AL26">_xlfn.IFS(Table1[[#This Row],[JobSatisfaction]]=1,"Low",Table1[[#This Row],[JobSatisfaction]]=2,"Medium",Table1[[#This Row],[JobSatisfaction]]=3,"High",Table1[[#This Row],[JobSatisfaction]]=4,"Very High")</f>
        <v>Low</v>
      </c>
      <c r="AM26">
        <f>IF(Table1[[#This Row],[Attrition]]="Yes",1,0)</f>
        <v>1</v>
      </c>
    </row>
    <row r="27" spans="1:39" ht="13.8" x14ac:dyDescent="0.25">
      <c r="A27">
        <v>53</v>
      </c>
      <c r="B27" t="str" cm="1">
        <f t="array" ref="B27">_xlfn.IFS(Table1[[#This Row],[Age]]&lt;30,"Under 30",Table1[[#This Row],[Age]]&lt;=40,"30-40",Table1[[#This Row],[Age]]&lt;=50,"41-50",Table1[[#This Row],[Age]]&gt;50,"Over 50")</f>
        <v>Over 50</v>
      </c>
      <c r="C27" t="s">
        <v>43</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t="str" cm="1">
        <f t="array" ref="AH27">_xlfn.IFS(Table1[[#This Row],[YearsAtCompany]]&lt;=2,"0-2 years",Table1[[#This Row],[YearsAtCompany]]&lt;=5,"3-5 years",Table1[[#This Row],[YearsAtCompany]]&lt;=10,"6-10 years",Table1[[#This Row],[YearsAtCompany]]&gt;10,"10+ years")</f>
        <v>10+ years</v>
      </c>
      <c r="AI27">
        <v>13</v>
      </c>
      <c r="AJ27">
        <v>4</v>
      </c>
      <c r="AK27">
        <v>8</v>
      </c>
      <c r="AL27" t="str" cm="1">
        <f t="array" ref="AL27">_xlfn.IFS(Table1[[#This Row],[JobSatisfaction]]=1,"Low",Table1[[#This Row],[JobSatisfaction]]=2,"Medium",Table1[[#This Row],[JobSatisfaction]]=3,"High",Table1[[#This Row],[JobSatisfaction]]=4,"Very High")</f>
        <v>High</v>
      </c>
      <c r="AM27">
        <f>IF(Table1[[#This Row],[Attrition]]="Yes",1,0)</f>
        <v>0</v>
      </c>
    </row>
    <row r="28" spans="1:39" ht="13.8" x14ac:dyDescent="0.25">
      <c r="A28">
        <v>32</v>
      </c>
      <c r="B28" t="str" cm="1">
        <f t="array" ref="B28">_xlfn.IFS(Table1[[#This Row],[Age]]&lt;30,"Under 30",Table1[[#This Row],[Age]]&lt;=40,"30-40",Table1[[#This Row],[Age]]&lt;=50,"41-50",Table1[[#This Row],[Age]]&gt;50,"Over 50")</f>
        <v>30-40</v>
      </c>
      <c r="C28" t="s">
        <v>35</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t="str" cm="1">
        <f t="array" ref="AH28">_xlfn.IFS(Table1[[#This Row],[YearsAtCompany]]&lt;=2,"0-2 years",Table1[[#This Row],[YearsAtCompany]]&lt;=5,"3-5 years",Table1[[#This Row],[YearsAtCompany]]&lt;=10,"6-10 years",Table1[[#This Row],[YearsAtCompany]]&gt;10,"10+ years")</f>
        <v>6-10 years</v>
      </c>
      <c r="AI28">
        <v>2</v>
      </c>
      <c r="AJ28">
        <v>6</v>
      </c>
      <c r="AK28">
        <v>7</v>
      </c>
      <c r="AL28" t="str" cm="1">
        <f t="array" ref="AL28">_xlfn.IFS(Table1[[#This Row],[JobSatisfaction]]=1,"Low",Table1[[#This Row],[JobSatisfaction]]=2,"Medium",Table1[[#This Row],[JobSatisfaction]]=3,"High",Table1[[#This Row],[JobSatisfaction]]=4,"Very High")</f>
        <v>Low</v>
      </c>
      <c r="AM28">
        <f>IF(Table1[[#This Row],[Attrition]]="Yes",1,0)</f>
        <v>1</v>
      </c>
    </row>
    <row r="29" spans="1:39" ht="13.8" x14ac:dyDescent="0.25">
      <c r="A29">
        <v>42</v>
      </c>
      <c r="B29" t="str" cm="1">
        <f t="array" ref="B29">_xlfn.IFS(Table1[[#This Row],[Age]]&lt;30,"Under 30",Table1[[#This Row],[Age]]&lt;=40,"30-40",Table1[[#This Row],[Age]]&lt;=50,"41-50",Table1[[#This Row],[Age]]&gt;50,"Over 50")</f>
        <v>41-50</v>
      </c>
      <c r="C29" t="s">
        <v>43</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t="str" cm="1">
        <f t="array" ref="AH29">_xlfn.IFS(Table1[[#This Row],[YearsAtCompany]]&lt;=2,"0-2 years",Table1[[#This Row],[YearsAtCompany]]&lt;=5,"3-5 years",Table1[[#This Row],[YearsAtCompany]]&lt;=10,"6-10 years",Table1[[#This Row],[YearsAtCompany]]&gt;10,"10+ years")</f>
        <v>6-10 years</v>
      </c>
      <c r="AI29">
        <v>7</v>
      </c>
      <c r="AJ29">
        <v>4</v>
      </c>
      <c r="AK29">
        <v>2</v>
      </c>
      <c r="AL29" t="str" cm="1">
        <f t="array" ref="AL29">_xlfn.IFS(Table1[[#This Row],[JobSatisfaction]]=1,"Low",Table1[[#This Row],[JobSatisfaction]]=2,"Medium",Table1[[#This Row],[JobSatisfaction]]=3,"High",Table1[[#This Row],[JobSatisfaction]]=4,"Very High")</f>
        <v>Medium</v>
      </c>
      <c r="AM29">
        <f>IF(Table1[[#This Row],[Attrition]]="Yes",1,0)</f>
        <v>0</v>
      </c>
    </row>
    <row r="30" spans="1:39" ht="13.8" x14ac:dyDescent="0.25">
      <c r="A30">
        <v>44</v>
      </c>
      <c r="B30" t="str" cm="1">
        <f t="array" ref="B30">_xlfn.IFS(Table1[[#This Row],[Age]]&lt;30,"Under 30",Table1[[#This Row],[Age]]&lt;=40,"30-40",Table1[[#This Row],[Age]]&lt;=50,"41-50",Table1[[#This Row],[Age]]&gt;50,"Over 50")</f>
        <v>41-50</v>
      </c>
      <c r="C30" t="s">
        <v>43</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t="str" cm="1">
        <f t="array" ref="AH30">_xlfn.IFS(Table1[[#This Row],[YearsAtCompany]]&lt;=2,"0-2 years",Table1[[#This Row],[YearsAtCompany]]&lt;=5,"3-5 years",Table1[[#This Row],[YearsAtCompany]]&lt;=10,"6-10 years",Table1[[#This Row],[YearsAtCompany]]&gt;10,"10+ years")</f>
        <v>10+ years</v>
      </c>
      <c r="AI30">
        <v>6</v>
      </c>
      <c r="AJ30">
        <v>5</v>
      </c>
      <c r="AK30">
        <v>17</v>
      </c>
      <c r="AL30" t="str" cm="1">
        <f t="array" ref="AL30">_xlfn.IFS(Table1[[#This Row],[JobSatisfaction]]=1,"Low",Table1[[#This Row],[JobSatisfaction]]=2,"Medium",Table1[[#This Row],[JobSatisfaction]]=3,"High",Table1[[#This Row],[JobSatisfaction]]=4,"Very High")</f>
        <v>Very High</v>
      </c>
      <c r="AM30">
        <f>IF(Table1[[#This Row],[Attrition]]="Yes",1,0)</f>
        <v>0</v>
      </c>
    </row>
    <row r="31" spans="1:39" ht="13.8" x14ac:dyDescent="0.25">
      <c r="A31">
        <v>46</v>
      </c>
      <c r="B31" t="str" cm="1">
        <f t="array" ref="B31">_xlfn.IFS(Table1[[#This Row],[Age]]&lt;30,"Under 30",Table1[[#This Row],[Age]]&lt;=40,"30-40",Table1[[#This Row],[Age]]&lt;=50,"41-50",Table1[[#This Row],[Age]]&gt;50,"Over 50")</f>
        <v>41-50</v>
      </c>
      <c r="C31" t="s">
        <v>43</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t="str" cm="1">
        <f t="array" ref="AH31">_xlfn.IFS(Table1[[#This Row],[YearsAtCompany]]&lt;=2,"0-2 years",Table1[[#This Row],[YearsAtCompany]]&lt;=5,"3-5 years",Table1[[#This Row],[YearsAtCompany]]&lt;=10,"6-10 years",Table1[[#This Row],[YearsAtCompany]]&gt;10,"10+ years")</f>
        <v>0-2 years</v>
      </c>
      <c r="AI31">
        <v>2</v>
      </c>
      <c r="AJ31">
        <v>2</v>
      </c>
      <c r="AK31">
        <v>1</v>
      </c>
      <c r="AL31" t="str" cm="1">
        <f t="array" ref="AL31">_xlfn.IFS(Table1[[#This Row],[JobSatisfaction]]=1,"Low",Table1[[#This Row],[JobSatisfaction]]=2,"Medium",Table1[[#This Row],[JobSatisfaction]]=3,"High",Table1[[#This Row],[JobSatisfaction]]=4,"Very High")</f>
        <v>Low</v>
      </c>
      <c r="AM31">
        <f>IF(Table1[[#This Row],[Attrition]]="Yes",1,0)</f>
        <v>0</v>
      </c>
    </row>
    <row r="32" spans="1:39" ht="13.8" x14ac:dyDescent="0.25">
      <c r="A32">
        <v>33</v>
      </c>
      <c r="B32" t="str" cm="1">
        <f t="array" ref="B32">_xlfn.IFS(Table1[[#This Row],[Age]]&lt;30,"Under 30",Table1[[#This Row],[Age]]&lt;=40,"30-40",Table1[[#This Row],[Age]]&lt;=50,"41-50",Table1[[#This Row],[Age]]&gt;50,"Over 50")</f>
        <v>30-40</v>
      </c>
      <c r="C32" t="s">
        <v>43</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t="str" cm="1">
        <f t="array" ref="AH32">_xlfn.IFS(Table1[[#This Row],[YearsAtCompany]]&lt;=2,"0-2 years",Table1[[#This Row],[YearsAtCompany]]&lt;=5,"3-5 years",Table1[[#This Row],[YearsAtCompany]]&lt;=10,"6-10 years",Table1[[#This Row],[YearsAtCompany]]&gt;10,"10+ years")</f>
        <v>0-2 years</v>
      </c>
      <c r="AI32">
        <v>1</v>
      </c>
      <c r="AJ32">
        <v>0</v>
      </c>
      <c r="AK32">
        <v>0</v>
      </c>
      <c r="AL32" t="str" cm="1">
        <f t="array" ref="AL32">_xlfn.IFS(Table1[[#This Row],[JobSatisfaction]]=1,"Low",Table1[[#This Row],[JobSatisfaction]]=2,"Medium",Table1[[#This Row],[JobSatisfaction]]=3,"High",Table1[[#This Row],[JobSatisfaction]]=4,"Very High")</f>
        <v>Very High</v>
      </c>
      <c r="AM32">
        <f>IF(Table1[[#This Row],[Attrition]]="Yes",1,0)</f>
        <v>0</v>
      </c>
    </row>
    <row r="33" spans="1:39" ht="13.8" x14ac:dyDescent="0.25">
      <c r="A33">
        <v>44</v>
      </c>
      <c r="B33" t="str" cm="1">
        <f t="array" ref="B33">_xlfn.IFS(Table1[[#This Row],[Age]]&lt;30,"Under 30",Table1[[#This Row],[Age]]&lt;=40,"30-40",Table1[[#This Row],[Age]]&lt;=50,"41-50",Table1[[#This Row],[Age]]&gt;50,"Over 50")</f>
        <v>41-50</v>
      </c>
      <c r="C33" t="s">
        <v>43</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t="str" cm="1">
        <f t="array" ref="AH33">_xlfn.IFS(Table1[[#This Row],[YearsAtCompany]]&lt;=2,"0-2 years",Table1[[#This Row],[YearsAtCompany]]&lt;=5,"3-5 years",Table1[[#This Row],[YearsAtCompany]]&lt;=10,"6-10 years",Table1[[#This Row],[YearsAtCompany]]&gt;10,"10+ years")</f>
        <v>3-5 years</v>
      </c>
      <c r="AI33">
        <v>2</v>
      </c>
      <c r="AJ33">
        <v>1</v>
      </c>
      <c r="AK33">
        <v>3</v>
      </c>
      <c r="AL33" t="str" cm="1">
        <f t="array" ref="AL33">_xlfn.IFS(Table1[[#This Row],[JobSatisfaction]]=1,"Low",Table1[[#This Row],[JobSatisfaction]]=2,"Medium",Table1[[#This Row],[JobSatisfaction]]=3,"High",Table1[[#This Row],[JobSatisfaction]]=4,"Very High")</f>
        <v>Very High</v>
      </c>
      <c r="AM33">
        <f>IF(Table1[[#This Row],[Attrition]]="Yes",1,0)</f>
        <v>0</v>
      </c>
    </row>
    <row r="34" spans="1:39" ht="13.8" x14ac:dyDescent="0.25">
      <c r="A34">
        <v>30</v>
      </c>
      <c r="B34" t="str" cm="1">
        <f t="array" ref="B34">_xlfn.IFS(Table1[[#This Row],[Age]]&lt;30,"Under 30",Table1[[#This Row],[Age]]&lt;=40,"30-40",Table1[[#This Row],[Age]]&lt;=50,"41-50",Table1[[#This Row],[Age]]&gt;50,"Over 50")</f>
        <v>30-40</v>
      </c>
      <c r="C34" t="s">
        <v>43</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t="str" cm="1">
        <f t="array" ref="AH34">_xlfn.IFS(Table1[[#This Row],[YearsAtCompany]]&lt;=2,"0-2 years",Table1[[#This Row],[YearsAtCompany]]&lt;=5,"3-5 years",Table1[[#This Row],[YearsAtCompany]]&lt;=10,"6-10 years",Table1[[#This Row],[YearsAtCompany]]&gt;10,"10+ years")</f>
        <v>6-10 years</v>
      </c>
      <c r="AI34">
        <v>0</v>
      </c>
      <c r="AJ34">
        <v>1</v>
      </c>
      <c r="AK34">
        <v>8</v>
      </c>
      <c r="AL34" t="str" cm="1">
        <f t="array" ref="AL34">_xlfn.IFS(Table1[[#This Row],[JobSatisfaction]]=1,"Low",Table1[[#This Row],[JobSatisfaction]]=2,"Medium",Table1[[#This Row],[JobSatisfaction]]=3,"High",Table1[[#This Row],[JobSatisfaction]]=4,"Very High")</f>
        <v>High</v>
      </c>
      <c r="AM34">
        <f>IF(Table1[[#This Row],[Attrition]]="Yes",1,0)</f>
        <v>0</v>
      </c>
    </row>
    <row r="35" spans="1:39" ht="13.8" x14ac:dyDescent="0.25">
      <c r="A35">
        <v>39</v>
      </c>
      <c r="B35" t="str" cm="1">
        <f t="array" ref="B35">_xlfn.IFS(Table1[[#This Row],[Age]]&lt;30,"Under 30",Table1[[#This Row],[Age]]&lt;=40,"30-40",Table1[[#This Row],[Age]]&lt;=50,"41-50",Table1[[#This Row],[Age]]&gt;50,"Over 50")</f>
        <v>30-40</v>
      </c>
      <c r="C35" t="s">
        <v>35</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t="str" cm="1">
        <f t="array" ref="AH35">_xlfn.IFS(Table1[[#This Row],[YearsAtCompany]]&lt;=2,"0-2 years",Table1[[#This Row],[YearsAtCompany]]&lt;=5,"3-5 years",Table1[[#This Row],[YearsAtCompany]]&lt;=10,"6-10 years",Table1[[#This Row],[YearsAtCompany]]&gt;10,"10+ years")</f>
        <v>0-2 years</v>
      </c>
      <c r="AI35">
        <v>0</v>
      </c>
      <c r="AJ35">
        <v>0</v>
      </c>
      <c r="AK35">
        <v>0</v>
      </c>
      <c r="AL35" t="str" cm="1">
        <f t="array" ref="AL35">_xlfn.IFS(Table1[[#This Row],[JobSatisfaction]]=1,"Low",Table1[[#This Row],[JobSatisfaction]]=2,"Medium",Table1[[#This Row],[JobSatisfaction]]=3,"High",Table1[[#This Row],[JobSatisfaction]]=4,"Very High")</f>
        <v>Very High</v>
      </c>
      <c r="AM35">
        <f>IF(Table1[[#This Row],[Attrition]]="Yes",1,0)</f>
        <v>1</v>
      </c>
    </row>
    <row r="36" spans="1:39" ht="13.8" x14ac:dyDescent="0.25">
      <c r="A36">
        <v>24</v>
      </c>
      <c r="B36" t="str" cm="1">
        <f t="array" ref="B36">_xlfn.IFS(Table1[[#This Row],[Age]]&lt;30,"Under 30",Table1[[#This Row],[Age]]&lt;=40,"30-40",Table1[[#This Row],[Age]]&lt;=50,"41-50",Table1[[#This Row],[Age]]&gt;50,"Over 50")</f>
        <v>Under 30</v>
      </c>
      <c r="C36" t="s">
        <v>35</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t="str" cm="1">
        <f t="array" ref="AH36">_xlfn.IFS(Table1[[#This Row],[YearsAtCompany]]&lt;=2,"0-2 years",Table1[[#This Row],[YearsAtCompany]]&lt;=5,"3-5 years",Table1[[#This Row],[YearsAtCompany]]&lt;=10,"6-10 years",Table1[[#This Row],[YearsAtCompany]]&gt;10,"10+ years")</f>
        <v>0-2 years</v>
      </c>
      <c r="AI36">
        <v>0</v>
      </c>
      <c r="AJ36">
        <v>2</v>
      </c>
      <c r="AK36">
        <v>0</v>
      </c>
      <c r="AL36" t="str" cm="1">
        <f t="array" ref="AL36">_xlfn.IFS(Table1[[#This Row],[JobSatisfaction]]=1,"Low",Table1[[#This Row],[JobSatisfaction]]=2,"Medium",Table1[[#This Row],[JobSatisfaction]]=3,"High",Table1[[#This Row],[JobSatisfaction]]=4,"Very High")</f>
        <v>Very High</v>
      </c>
      <c r="AM36">
        <f>IF(Table1[[#This Row],[Attrition]]="Yes",1,0)</f>
        <v>1</v>
      </c>
    </row>
    <row r="37" spans="1:39" ht="13.8" x14ac:dyDescent="0.25">
      <c r="A37">
        <v>43</v>
      </c>
      <c r="B37" t="str" cm="1">
        <f t="array" ref="B37">_xlfn.IFS(Table1[[#This Row],[Age]]&lt;30,"Under 30",Table1[[#This Row],[Age]]&lt;=40,"30-40",Table1[[#This Row],[Age]]&lt;=50,"41-50",Table1[[#This Row],[Age]]&gt;50,"Over 50")</f>
        <v>41-50</v>
      </c>
      <c r="C37" t="s">
        <v>43</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t="str" cm="1">
        <f t="array" ref="AH37">_xlfn.IFS(Table1[[#This Row],[YearsAtCompany]]&lt;=2,"0-2 years",Table1[[#This Row],[YearsAtCompany]]&lt;=5,"3-5 years",Table1[[#This Row],[YearsAtCompany]]&lt;=10,"6-10 years",Table1[[#This Row],[YearsAtCompany]]&gt;10,"10+ years")</f>
        <v>3-5 years</v>
      </c>
      <c r="AI37">
        <v>3</v>
      </c>
      <c r="AJ37">
        <v>1</v>
      </c>
      <c r="AK37">
        <v>4</v>
      </c>
      <c r="AL37" t="str" cm="1">
        <f t="array" ref="AL37">_xlfn.IFS(Table1[[#This Row],[JobSatisfaction]]=1,"Low",Table1[[#This Row],[JobSatisfaction]]=2,"Medium",Table1[[#This Row],[JobSatisfaction]]=3,"High",Table1[[#This Row],[JobSatisfaction]]=4,"Very High")</f>
        <v>High</v>
      </c>
      <c r="AM37">
        <f>IF(Table1[[#This Row],[Attrition]]="Yes",1,0)</f>
        <v>0</v>
      </c>
    </row>
    <row r="38" spans="1:39" ht="13.8" x14ac:dyDescent="0.25">
      <c r="A38">
        <v>50</v>
      </c>
      <c r="B38" t="str" cm="1">
        <f t="array" ref="B38">_xlfn.IFS(Table1[[#This Row],[Age]]&lt;30,"Under 30",Table1[[#This Row],[Age]]&lt;=40,"30-40",Table1[[#This Row],[Age]]&lt;=50,"41-50",Table1[[#This Row],[Age]]&gt;50,"Over 50")</f>
        <v>41-50</v>
      </c>
      <c r="C38" t="s">
        <v>35</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t="str" cm="1">
        <f t="array" ref="AH38">_xlfn.IFS(Table1[[#This Row],[YearsAtCompany]]&lt;=2,"0-2 years",Table1[[#This Row],[YearsAtCompany]]&lt;=5,"3-5 years",Table1[[#This Row],[YearsAtCompany]]&lt;=10,"6-10 years",Table1[[#This Row],[YearsAtCompany]]&gt;10,"10+ years")</f>
        <v>3-5 years</v>
      </c>
      <c r="AI38">
        <v>2</v>
      </c>
      <c r="AJ38">
        <v>0</v>
      </c>
      <c r="AK38">
        <v>2</v>
      </c>
      <c r="AL38" t="str" cm="1">
        <f t="array" ref="AL38">_xlfn.IFS(Table1[[#This Row],[JobSatisfaction]]=1,"Low",Table1[[#This Row],[JobSatisfaction]]=2,"Medium",Table1[[#This Row],[JobSatisfaction]]=3,"High",Table1[[#This Row],[JobSatisfaction]]=4,"Very High")</f>
        <v>High</v>
      </c>
      <c r="AM38">
        <f>IF(Table1[[#This Row],[Attrition]]="Yes",1,0)</f>
        <v>1</v>
      </c>
    </row>
    <row r="39" spans="1:39" ht="13.8" x14ac:dyDescent="0.25">
      <c r="A39">
        <v>35</v>
      </c>
      <c r="B39" t="str" cm="1">
        <f t="array" ref="B39">_xlfn.IFS(Table1[[#This Row],[Age]]&lt;30,"Under 30",Table1[[#This Row],[Age]]&lt;=40,"30-40",Table1[[#This Row],[Age]]&lt;=50,"41-50",Table1[[#This Row],[Age]]&gt;50,"Over 50")</f>
        <v>30-40</v>
      </c>
      <c r="C39" t="s">
        <v>43</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t="str" cm="1">
        <f t="array" ref="AH39">_xlfn.IFS(Table1[[#This Row],[YearsAtCompany]]&lt;=2,"0-2 years",Table1[[#This Row],[YearsAtCompany]]&lt;=5,"3-5 years",Table1[[#This Row],[YearsAtCompany]]&lt;=10,"6-10 years",Table1[[#This Row],[YearsAtCompany]]&gt;10,"10+ years")</f>
        <v>0-2 years</v>
      </c>
      <c r="AI39">
        <v>2</v>
      </c>
      <c r="AJ39">
        <v>2</v>
      </c>
      <c r="AK39">
        <v>2</v>
      </c>
      <c r="AL39" t="str" cm="1">
        <f t="array" ref="AL39">_xlfn.IFS(Table1[[#This Row],[JobSatisfaction]]=1,"Low",Table1[[#This Row],[JobSatisfaction]]=2,"Medium",Table1[[#This Row],[JobSatisfaction]]=3,"High",Table1[[#This Row],[JobSatisfaction]]=4,"Very High")</f>
        <v>Very High</v>
      </c>
      <c r="AM39">
        <f>IF(Table1[[#This Row],[Attrition]]="Yes",1,0)</f>
        <v>0</v>
      </c>
    </row>
    <row r="40" spans="1:39" ht="13.8" x14ac:dyDescent="0.25">
      <c r="A40">
        <v>36</v>
      </c>
      <c r="B40" t="str" cm="1">
        <f t="array" ref="B40">_xlfn.IFS(Table1[[#This Row],[Age]]&lt;30,"Under 30",Table1[[#This Row],[Age]]&lt;=40,"30-40",Table1[[#This Row],[Age]]&lt;=50,"41-50",Table1[[#This Row],[Age]]&gt;50,"Over 50")</f>
        <v>30-40</v>
      </c>
      <c r="C40" t="s">
        <v>43</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t="str" cm="1">
        <f t="array" ref="AH40">_xlfn.IFS(Table1[[#This Row],[YearsAtCompany]]&lt;=2,"0-2 years",Table1[[#This Row],[YearsAtCompany]]&lt;=5,"3-5 years",Table1[[#This Row],[YearsAtCompany]]&lt;=10,"6-10 years",Table1[[#This Row],[YearsAtCompany]]&gt;10,"10+ years")</f>
        <v>0-2 years</v>
      </c>
      <c r="AI40">
        <v>1</v>
      </c>
      <c r="AJ40">
        <v>0</v>
      </c>
      <c r="AK40">
        <v>0</v>
      </c>
      <c r="AL40" t="str" cm="1">
        <f t="array" ref="AL40">_xlfn.IFS(Table1[[#This Row],[JobSatisfaction]]=1,"Low",Table1[[#This Row],[JobSatisfaction]]=2,"Medium",Table1[[#This Row],[JobSatisfaction]]=3,"High",Table1[[#This Row],[JobSatisfaction]]=4,"Very High")</f>
        <v>Low</v>
      </c>
      <c r="AM40">
        <f>IF(Table1[[#This Row],[Attrition]]="Yes",1,0)</f>
        <v>0</v>
      </c>
    </row>
    <row r="41" spans="1:39" ht="13.8" x14ac:dyDescent="0.25">
      <c r="A41">
        <v>33</v>
      </c>
      <c r="B41" t="str" cm="1">
        <f t="array" ref="B41">_xlfn.IFS(Table1[[#This Row],[Age]]&lt;30,"Under 30",Table1[[#This Row],[Age]]&lt;=40,"30-40",Table1[[#This Row],[Age]]&lt;=50,"41-50",Table1[[#This Row],[Age]]&gt;50,"Over 50")</f>
        <v>30-40</v>
      </c>
      <c r="C41" t="s">
        <v>43</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t="str" cm="1">
        <f t="array" ref="AH41">_xlfn.IFS(Table1[[#This Row],[YearsAtCompany]]&lt;=2,"0-2 years",Table1[[#This Row],[YearsAtCompany]]&lt;=5,"3-5 years",Table1[[#This Row],[YearsAtCompany]]&lt;=10,"6-10 years",Table1[[#This Row],[YearsAtCompany]]&gt;10,"10+ years")</f>
        <v>3-5 years</v>
      </c>
      <c r="AI41">
        <v>3</v>
      </c>
      <c r="AJ41">
        <v>1</v>
      </c>
      <c r="AK41">
        <v>3</v>
      </c>
      <c r="AL41" t="str" cm="1">
        <f t="array" ref="AL41">_xlfn.IFS(Table1[[#This Row],[JobSatisfaction]]=1,"Low",Table1[[#This Row],[JobSatisfaction]]=2,"Medium",Table1[[#This Row],[JobSatisfaction]]=3,"High",Table1[[#This Row],[JobSatisfaction]]=4,"Very High")</f>
        <v>Low</v>
      </c>
      <c r="AM41">
        <f>IF(Table1[[#This Row],[Attrition]]="Yes",1,0)</f>
        <v>0</v>
      </c>
    </row>
    <row r="42" spans="1:39" ht="13.8" x14ac:dyDescent="0.25">
      <c r="A42">
        <v>35</v>
      </c>
      <c r="B42" t="str" cm="1">
        <f t="array" ref="B42">_xlfn.IFS(Table1[[#This Row],[Age]]&lt;30,"Under 30",Table1[[#This Row],[Age]]&lt;=40,"30-40",Table1[[#This Row],[Age]]&lt;=50,"41-50",Table1[[#This Row],[Age]]&gt;50,"Over 50")</f>
        <v>30-40</v>
      </c>
      <c r="C42" t="s">
        <v>43</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t="str" cm="1">
        <f t="array" ref="AH42">_xlfn.IFS(Table1[[#This Row],[YearsAtCompany]]&lt;=2,"0-2 years",Table1[[#This Row],[YearsAtCompany]]&lt;=5,"3-5 years",Table1[[#This Row],[YearsAtCompany]]&lt;=10,"6-10 years",Table1[[#This Row],[YearsAtCompany]]&gt;10,"10+ years")</f>
        <v>0-2 years</v>
      </c>
      <c r="AI42">
        <v>0</v>
      </c>
      <c r="AJ42">
        <v>0</v>
      </c>
      <c r="AK42">
        <v>0</v>
      </c>
      <c r="AL42" t="str" cm="1">
        <f t="array" ref="AL42">_xlfn.IFS(Table1[[#This Row],[JobSatisfaction]]=1,"Low",Table1[[#This Row],[JobSatisfaction]]=2,"Medium",Table1[[#This Row],[JobSatisfaction]]=3,"High",Table1[[#This Row],[JobSatisfaction]]=4,"Very High")</f>
        <v>Very High</v>
      </c>
      <c r="AM42">
        <f>IF(Table1[[#This Row],[Attrition]]="Yes",1,0)</f>
        <v>0</v>
      </c>
    </row>
    <row r="43" spans="1:39" ht="13.8" x14ac:dyDescent="0.25">
      <c r="A43">
        <v>27</v>
      </c>
      <c r="B43" t="str" cm="1">
        <f t="array" ref="B43">_xlfn.IFS(Table1[[#This Row],[Age]]&lt;30,"Under 30",Table1[[#This Row],[Age]]&lt;=40,"30-40",Table1[[#This Row],[Age]]&lt;=50,"41-50",Table1[[#This Row],[Age]]&gt;50,"Over 50")</f>
        <v>Under 30</v>
      </c>
      <c r="C43" t="s">
        <v>43</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t="str" cm="1">
        <f t="array" ref="AH43">_xlfn.IFS(Table1[[#This Row],[YearsAtCompany]]&lt;=2,"0-2 years",Table1[[#This Row],[YearsAtCompany]]&lt;=5,"3-5 years",Table1[[#This Row],[YearsAtCompany]]&lt;=10,"6-10 years",Table1[[#This Row],[YearsAtCompany]]&gt;10,"10+ years")</f>
        <v>0-2 years</v>
      </c>
      <c r="AI43">
        <v>0</v>
      </c>
      <c r="AJ43">
        <v>0</v>
      </c>
      <c r="AK43">
        <v>0</v>
      </c>
      <c r="AL43" t="str" cm="1">
        <f t="array" ref="AL43">_xlfn.IFS(Table1[[#This Row],[JobSatisfaction]]=1,"Low",Table1[[#This Row],[JobSatisfaction]]=2,"Medium",Table1[[#This Row],[JobSatisfaction]]=3,"High",Table1[[#This Row],[JobSatisfaction]]=4,"Very High")</f>
        <v>Low</v>
      </c>
      <c r="AM43">
        <f>IF(Table1[[#This Row],[Attrition]]="Yes",1,0)</f>
        <v>0</v>
      </c>
    </row>
    <row r="44" spans="1:39" ht="13.8" x14ac:dyDescent="0.25">
      <c r="A44">
        <v>26</v>
      </c>
      <c r="B44" t="str" cm="1">
        <f t="array" ref="B44">_xlfn.IFS(Table1[[#This Row],[Age]]&lt;30,"Under 30",Table1[[#This Row],[Age]]&lt;=40,"30-40",Table1[[#This Row],[Age]]&lt;=50,"41-50",Table1[[#This Row],[Age]]&gt;50,"Over 50")</f>
        <v>Under 30</v>
      </c>
      <c r="C44" t="s">
        <v>35</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t="str" cm="1">
        <f t="array" ref="AH44">_xlfn.IFS(Table1[[#This Row],[YearsAtCompany]]&lt;=2,"0-2 years",Table1[[#This Row],[YearsAtCompany]]&lt;=5,"3-5 years",Table1[[#This Row],[YearsAtCompany]]&lt;=10,"6-10 years",Table1[[#This Row],[YearsAtCompany]]&gt;10,"10+ years")</f>
        <v>0-2 years</v>
      </c>
      <c r="AI44">
        <v>0</v>
      </c>
      <c r="AJ44">
        <v>0</v>
      </c>
      <c r="AK44">
        <v>1</v>
      </c>
      <c r="AL44" t="str" cm="1">
        <f t="array" ref="AL44">_xlfn.IFS(Table1[[#This Row],[JobSatisfaction]]=1,"Low",Table1[[#This Row],[JobSatisfaction]]=2,"Medium",Table1[[#This Row],[JobSatisfaction]]=3,"High",Table1[[#This Row],[JobSatisfaction]]=4,"Very High")</f>
        <v>High</v>
      </c>
      <c r="AM44">
        <f>IF(Table1[[#This Row],[Attrition]]="Yes",1,0)</f>
        <v>1</v>
      </c>
    </row>
    <row r="45" spans="1:39" ht="13.8" x14ac:dyDescent="0.25">
      <c r="A45">
        <v>27</v>
      </c>
      <c r="B45" t="str" cm="1">
        <f t="array" ref="B45">_xlfn.IFS(Table1[[#This Row],[Age]]&lt;30,"Under 30",Table1[[#This Row],[Age]]&lt;=40,"30-40",Table1[[#This Row],[Age]]&lt;=50,"41-50",Table1[[#This Row],[Age]]&gt;50,"Over 50")</f>
        <v>Under 30</v>
      </c>
      <c r="C45" t="s">
        <v>43</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t="str" cm="1">
        <f t="array" ref="AH45">_xlfn.IFS(Table1[[#This Row],[YearsAtCompany]]&lt;=2,"0-2 years",Table1[[#This Row],[YearsAtCompany]]&lt;=5,"3-5 years",Table1[[#This Row],[YearsAtCompany]]&lt;=10,"6-10 years",Table1[[#This Row],[YearsAtCompany]]&gt;10,"10+ years")</f>
        <v>6-10 years</v>
      </c>
      <c r="AI45">
        <v>8</v>
      </c>
      <c r="AJ45">
        <v>1</v>
      </c>
      <c r="AK45">
        <v>7</v>
      </c>
      <c r="AL45" t="str" cm="1">
        <f t="array" ref="AL45">_xlfn.IFS(Table1[[#This Row],[JobSatisfaction]]=1,"Low",Table1[[#This Row],[JobSatisfaction]]=2,"Medium",Table1[[#This Row],[JobSatisfaction]]=3,"High",Table1[[#This Row],[JobSatisfaction]]=4,"Very High")</f>
        <v>High</v>
      </c>
      <c r="AM45">
        <f>IF(Table1[[#This Row],[Attrition]]="Yes",1,0)</f>
        <v>0</v>
      </c>
    </row>
    <row r="46" spans="1:39" ht="13.8" x14ac:dyDescent="0.25">
      <c r="A46">
        <v>30</v>
      </c>
      <c r="B46" t="str" cm="1">
        <f t="array" ref="B46">_xlfn.IFS(Table1[[#This Row],[Age]]&lt;30,"Under 30",Table1[[#This Row],[Age]]&lt;=40,"30-40",Table1[[#This Row],[Age]]&lt;=50,"41-50",Table1[[#This Row],[Age]]&gt;50,"Over 50")</f>
        <v>30-40</v>
      </c>
      <c r="C46" t="s">
        <v>43</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t="str" cm="1">
        <f t="array" ref="AH46">_xlfn.IFS(Table1[[#This Row],[YearsAtCompany]]&lt;=2,"0-2 years",Table1[[#This Row],[YearsAtCompany]]&lt;=5,"3-5 years",Table1[[#This Row],[YearsAtCompany]]&lt;=10,"6-10 years",Table1[[#This Row],[YearsAtCompany]]&gt;10,"10+ years")</f>
        <v>10+ years</v>
      </c>
      <c r="AI46">
        <v>8</v>
      </c>
      <c r="AJ46">
        <v>3</v>
      </c>
      <c r="AK46">
        <v>7</v>
      </c>
      <c r="AL46" t="str" cm="1">
        <f t="array" ref="AL46">_xlfn.IFS(Table1[[#This Row],[JobSatisfaction]]=1,"Low",Table1[[#This Row],[JobSatisfaction]]=2,"Medium",Table1[[#This Row],[JobSatisfaction]]=3,"High",Table1[[#This Row],[JobSatisfaction]]=4,"Very High")</f>
        <v>Very High</v>
      </c>
      <c r="AM46">
        <f>IF(Table1[[#This Row],[Attrition]]="Yes",1,0)</f>
        <v>0</v>
      </c>
    </row>
    <row r="47" spans="1:39" ht="13.8" x14ac:dyDescent="0.25">
      <c r="A47">
        <v>41</v>
      </c>
      <c r="B47" t="str" cm="1">
        <f t="array" ref="B47">_xlfn.IFS(Table1[[#This Row],[Age]]&lt;30,"Under 30",Table1[[#This Row],[Age]]&lt;=40,"30-40",Table1[[#This Row],[Age]]&lt;=50,"41-50",Table1[[#This Row],[Age]]&gt;50,"Over 50")</f>
        <v>41-50</v>
      </c>
      <c r="C47" t="s">
        <v>35</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t="str" cm="1">
        <f t="array" ref="AH47">_xlfn.IFS(Table1[[#This Row],[YearsAtCompany]]&lt;=2,"0-2 years",Table1[[#This Row],[YearsAtCompany]]&lt;=5,"3-5 years",Table1[[#This Row],[YearsAtCompany]]&lt;=10,"6-10 years",Table1[[#This Row],[YearsAtCompany]]&gt;10,"10+ years")</f>
        <v>10+ years</v>
      </c>
      <c r="AI47">
        <v>15</v>
      </c>
      <c r="AJ47">
        <v>15</v>
      </c>
      <c r="AK47">
        <v>8</v>
      </c>
      <c r="AL47" t="str" cm="1">
        <f t="array" ref="AL47">_xlfn.IFS(Table1[[#This Row],[JobSatisfaction]]=1,"Low",Table1[[#This Row],[JobSatisfaction]]=2,"Medium",Table1[[#This Row],[JobSatisfaction]]=3,"High",Table1[[#This Row],[JobSatisfaction]]=4,"Very High")</f>
        <v>High</v>
      </c>
      <c r="AM47">
        <f>IF(Table1[[#This Row],[Attrition]]="Yes",1,0)</f>
        <v>1</v>
      </c>
    </row>
    <row r="48" spans="1:39" ht="13.8" x14ac:dyDescent="0.25">
      <c r="A48">
        <v>34</v>
      </c>
      <c r="B48" t="str" cm="1">
        <f t="array" ref="B48">_xlfn.IFS(Table1[[#This Row],[Age]]&lt;30,"Under 30",Table1[[#This Row],[Age]]&lt;=40,"30-40",Table1[[#This Row],[Age]]&lt;=50,"41-50",Table1[[#This Row],[Age]]&gt;50,"Over 50")</f>
        <v>30-40</v>
      </c>
      <c r="C48" t="s">
        <v>43</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t="str" cm="1">
        <f t="array" ref="AH48">_xlfn.IFS(Table1[[#This Row],[YearsAtCompany]]&lt;=2,"0-2 years",Table1[[#This Row],[YearsAtCompany]]&lt;=5,"3-5 years",Table1[[#This Row],[YearsAtCompany]]&lt;=10,"6-10 years",Table1[[#This Row],[YearsAtCompany]]&gt;10,"10+ years")</f>
        <v>6-10 years</v>
      </c>
      <c r="AI48">
        <v>5</v>
      </c>
      <c r="AJ48">
        <v>8</v>
      </c>
      <c r="AK48">
        <v>7</v>
      </c>
      <c r="AL48" t="str" cm="1">
        <f t="array" ref="AL48">_xlfn.IFS(Table1[[#This Row],[JobSatisfaction]]=1,"Low",Table1[[#This Row],[JobSatisfaction]]=2,"Medium",Table1[[#This Row],[JobSatisfaction]]=3,"High",Table1[[#This Row],[JobSatisfaction]]=4,"Very High")</f>
        <v>High</v>
      </c>
      <c r="AM48">
        <f>IF(Table1[[#This Row],[Attrition]]="Yes",1,0)</f>
        <v>0</v>
      </c>
    </row>
    <row r="49" spans="1:39" ht="13.8" x14ac:dyDescent="0.25">
      <c r="A49">
        <v>37</v>
      </c>
      <c r="B49" t="str" cm="1">
        <f t="array" ref="B49">_xlfn.IFS(Table1[[#This Row],[Age]]&lt;30,"Under 30",Table1[[#This Row],[Age]]&lt;=40,"30-40",Table1[[#This Row],[Age]]&lt;=50,"41-50",Table1[[#This Row],[Age]]&gt;50,"Over 50")</f>
        <v>30-40</v>
      </c>
      <c r="C49" t="s">
        <v>43</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t="str" cm="1">
        <f t="array" ref="AH49">_xlfn.IFS(Table1[[#This Row],[YearsAtCompany]]&lt;=2,"0-2 years",Table1[[#This Row],[YearsAtCompany]]&lt;=5,"3-5 years",Table1[[#This Row],[YearsAtCompany]]&lt;=10,"6-10 years",Table1[[#This Row],[YearsAtCompany]]&gt;10,"10+ years")</f>
        <v>0-2 years</v>
      </c>
      <c r="AI49">
        <v>0</v>
      </c>
      <c r="AJ49">
        <v>0</v>
      </c>
      <c r="AK49">
        <v>0</v>
      </c>
      <c r="AL49" t="str" cm="1">
        <f t="array" ref="AL49">_xlfn.IFS(Table1[[#This Row],[JobSatisfaction]]=1,"Low",Table1[[#This Row],[JobSatisfaction]]=2,"Medium",Table1[[#This Row],[JobSatisfaction]]=3,"High",Table1[[#This Row],[JobSatisfaction]]=4,"Very High")</f>
        <v>Medium</v>
      </c>
      <c r="AM49">
        <f>IF(Table1[[#This Row],[Attrition]]="Yes",1,0)</f>
        <v>0</v>
      </c>
    </row>
    <row r="50" spans="1:39" ht="13.8" x14ac:dyDescent="0.25">
      <c r="A50">
        <v>46</v>
      </c>
      <c r="B50" t="str" cm="1">
        <f t="array" ref="B50">_xlfn.IFS(Table1[[#This Row],[Age]]&lt;30,"Under 30",Table1[[#This Row],[Age]]&lt;=40,"30-40",Table1[[#This Row],[Age]]&lt;=50,"41-50",Table1[[#This Row],[Age]]&gt;50,"Over 50")</f>
        <v>41-50</v>
      </c>
      <c r="C50" t="s">
        <v>43</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t="str" cm="1">
        <f t="array" ref="AH50">_xlfn.IFS(Table1[[#This Row],[YearsAtCompany]]&lt;=2,"0-2 years",Table1[[#This Row],[YearsAtCompany]]&lt;=5,"3-5 years",Table1[[#This Row],[YearsAtCompany]]&lt;=10,"6-10 years",Table1[[#This Row],[YearsAtCompany]]&gt;10,"10+ years")</f>
        <v>6-10 years</v>
      </c>
      <c r="AI50">
        <v>6</v>
      </c>
      <c r="AJ50">
        <v>0</v>
      </c>
      <c r="AK50">
        <v>8</v>
      </c>
      <c r="AL50" t="str" cm="1">
        <f t="array" ref="AL50">_xlfn.IFS(Table1[[#This Row],[JobSatisfaction]]=1,"Low",Table1[[#This Row],[JobSatisfaction]]=2,"Medium",Table1[[#This Row],[JobSatisfaction]]=3,"High",Table1[[#This Row],[JobSatisfaction]]=4,"Very High")</f>
        <v>Very High</v>
      </c>
      <c r="AM50">
        <f>IF(Table1[[#This Row],[Attrition]]="Yes",1,0)</f>
        <v>0</v>
      </c>
    </row>
    <row r="51" spans="1:39" ht="13.8" x14ac:dyDescent="0.25">
      <c r="A51">
        <v>35</v>
      </c>
      <c r="B51" t="str" cm="1">
        <f t="array" ref="B51">_xlfn.IFS(Table1[[#This Row],[Age]]&lt;30,"Under 30",Table1[[#This Row],[Age]]&lt;=40,"30-40",Table1[[#This Row],[Age]]&lt;=50,"41-50",Table1[[#This Row],[Age]]&gt;50,"Over 50")</f>
        <v>30-40</v>
      </c>
      <c r="C51" t="s">
        <v>43</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t="str" cm="1">
        <f t="array" ref="AH51">_xlfn.IFS(Table1[[#This Row],[YearsAtCompany]]&lt;=2,"0-2 years",Table1[[#This Row],[YearsAtCompany]]&lt;=5,"3-5 years",Table1[[#This Row],[YearsAtCompany]]&lt;=10,"6-10 years",Table1[[#This Row],[YearsAtCompany]]&gt;10,"10+ years")</f>
        <v>0-2 years</v>
      </c>
      <c r="AI51">
        <v>0</v>
      </c>
      <c r="AJ51">
        <v>0</v>
      </c>
      <c r="AK51">
        <v>1</v>
      </c>
      <c r="AL51" t="str" cm="1">
        <f t="array" ref="AL51">_xlfn.IFS(Table1[[#This Row],[JobSatisfaction]]=1,"Low",Table1[[#This Row],[JobSatisfaction]]=2,"Medium",Table1[[#This Row],[JobSatisfaction]]=3,"High",Table1[[#This Row],[JobSatisfaction]]=4,"Very High")</f>
        <v>Very High</v>
      </c>
      <c r="AM51">
        <f>IF(Table1[[#This Row],[Attrition]]="Yes",1,0)</f>
        <v>0</v>
      </c>
    </row>
    <row r="52" spans="1:39" ht="13.8" x14ac:dyDescent="0.25">
      <c r="A52">
        <v>48</v>
      </c>
      <c r="B52" t="str" cm="1">
        <f t="array" ref="B52">_xlfn.IFS(Table1[[#This Row],[Age]]&lt;30,"Under 30",Table1[[#This Row],[Age]]&lt;=40,"30-40",Table1[[#This Row],[Age]]&lt;=50,"41-50",Table1[[#This Row],[Age]]&gt;50,"Over 50")</f>
        <v>41-50</v>
      </c>
      <c r="C52" t="s">
        <v>35</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t="str" cm="1">
        <f t="array" ref="AH52">_xlfn.IFS(Table1[[#This Row],[YearsAtCompany]]&lt;=2,"0-2 years",Table1[[#This Row],[YearsAtCompany]]&lt;=5,"3-5 years",Table1[[#This Row],[YearsAtCompany]]&lt;=10,"6-10 years",Table1[[#This Row],[YearsAtCompany]]&gt;10,"10+ years")</f>
        <v>0-2 years</v>
      </c>
      <c r="AI52">
        <v>0</v>
      </c>
      <c r="AJ52">
        <v>0</v>
      </c>
      <c r="AK52">
        <v>0</v>
      </c>
      <c r="AL52" t="str" cm="1">
        <f t="array" ref="AL52">_xlfn.IFS(Table1[[#This Row],[JobSatisfaction]]=1,"Low",Table1[[#This Row],[JobSatisfaction]]=2,"Medium",Table1[[#This Row],[JobSatisfaction]]=3,"High",Table1[[#This Row],[JobSatisfaction]]=4,"Very High")</f>
        <v>High</v>
      </c>
      <c r="AM52">
        <f>IF(Table1[[#This Row],[Attrition]]="Yes",1,0)</f>
        <v>1</v>
      </c>
    </row>
    <row r="53" spans="1:39" ht="13.8" x14ac:dyDescent="0.25">
      <c r="A53">
        <v>28</v>
      </c>
      <c r="B53" t="str" cm="1">
        <f t="array" ref="B53">_xlfn.IFS(Table1[[#This Row],[Age]]&lt;30,"Under 30",Table1[[#This Row],[Age]]&lt;=40,"30-40",Table1[[#This Row],[Age]]&lt;=50,"41-50",Table1[[#This Row],[Age]]&gt;50,"Over 50")</f>
        <v>Under 30</v>
      </c>
      <c r="C53" t="s">
        <v>35</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t="str" cm="1">
        <f t="array" ref="AH53">_xlfn.IFS(Table1[[#This Row],[YearsAtCompany]]&lt;=2,"0-2 years",Table1[[#This Row],[YearsAtCompany]]&lt;=5,"3-5 years",Table1[[#This Row],[YearsAtCompany]]&lt;=10,"6-10 years",Table1[[#This Row],[YearsAtCompany]]&gt;10,"10+ years")</f>
        <v>0-2 years</v>
      </c>
      <c r="AI53">
        <v>2</v>
      </c>
      <c r="AJ53">
        <v>2</v>
      </c>
      <c r="AK53">
        <v>2</v>
      </c>
      <c r="AL53" t="str" cm="1">
        <f t="array" ref="AL53">_xlfn.IFS(Table1[[#This Row],[JobSatisfaction]]=1,"Low",Table1[[#This Row],[JobSatisfaction]]=2,"Medium",Table1[[#This Row],[JobSatisfaction]]=3,"High",Table1[[#This Row],[JobSatisfaction]]=4,"Very High")</f>
        <v>High</v>
      </c>
      <c r="AM53">
        <f>IF(Table1[[#This Row],[Attrition]]="Yes",1,0)</f>
        <v>1</v>
      </c>
    </row>
    <row r="54" spans="1:39" ht="13.8" x14ac:dyDescent="0.25">
      <c r="A54">
        <v>44</v>
      </c>
      <c r="B54" t="str" cm="1">
        <f t="array" ref="B54">_xlfn.IFS(Table1[[#This Row],[Age]]&lt;30,"Under 30",Table1[[#This Row],[Age]]&lt;=40,"30-40",Table1[[#This Row],[Age]]&lt;=50,"41-50",Table1[[#This Row],[Age]]&gt;50,"Over 50")</f>
        <v>41-50</v>
      </c>
      <c r="C54" t="s">
        <v>43</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t="str" cm="1">
        <f t="array" ref="AH54">_xlfn.IFS(Table1[[#This Row],[YearsAtCompany]]&lt;=2,"0-2 years",Table1[[#This Row],[YearsAtCompany]]&lt;=5,"3-5 years",Table1[[#This Row],[YearsAtCompany]]&lt;=10,"6-10 years",Table1[[#This Row],[YearsAtCompany]]&gt;10,"10+ years")</f>
        <v>3-5 years</v>
      </c>
      <c r="AI54">
        <v>3</v>
      </c>
      <c r="AJ54">
        <v>1</v>
      </c>
      <c r="AK54">
        <v>3</v>
      </c>
      <c r="AL54" t="str" cm="1">
        <f t="array" ref="AL54">_xlfn.IFS(Table1[[#This Row],[JobSatisfaction]]=1,"Low",Table1[[#This Row],[JobSatisfaction]]=2,"Medium",Table1[[#This Row],[JobSatisfaction]]=3,"High",Table1[[#This Row],[JobSatisfaction]]=4,"Very High")</f>
        <v>Low</v>
      </c>
      <c r="AM54">
        <f>IF(Table1[[#This Row],[Attrition]]="Yes",1,0)</f>
        <v>0</v>
      </c>
    </row>
    <row r="55" spans="1:39" ht="13.8" x14ac:dyDescent="0.25">
      <c r="A55">
        <v>35</v>
      </c>
      <c r="B55" t="str" cm="1">
        <f t="array" ref="B55">_xlfn.IFS(Table1[[#This Row],[Age]]&lt;30,"Under 30",Table1[[#This Row],[Age]]&lt;=40,"30-40",Table1[[#This Row],[Age]]&lt;=50,"41-50",Table1[[#This Row],[Age]]&gt;50,"Over 50")</f>
        <v>30-40</v>
      </c>
      <c r="C55" t="s">
        <v>43</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t="str" cm="1">
        <f t="array" ref="AH55">_xlfn.IFS(Table1[[#This Row],[YearsAtCompany]]&lt;=2,"0-2 years",Table1[[#This Row],[YearsAtCompany]]&lt;=5,"3-5 years",Table1[[#This Row],[YearsAtCompany]]&lt;=10,"6-10 years",Table1[[#This Row],[YearsAtCompany]]&gt;10,"10+ years")</f>
        <v>3-5 years</v>
      </c>
      <c r="AI55">
        <v>0</v>
      </c>
      <c r="AJ55">
        <v>2</v>
      </c>
      <c r="AK55">
        <v>3</v>
      </c>
      <c r="AL55" t="str" cm="1">
        <f t="array" ref="AL55">_xlfn.IFS(Table1[[#This Row],[JobSatisfaction]]=1,"Low",Table1[[#This Row],[JobSatisfaction]]=2,"Medium",Table1[[#This Row],[JobSatisfaction]]=3,"High",Table1[[#This Row],[JobSatisfaction]]=4,"Very High")</f>
        <v>Low</v>
      </c>
      <c r="AM55">
        <f>IF(Table1[[#This Row],[Attrition]]="Yes",1,0)</f>
        <v>0</v>
      </c>
    </row>
    <row r="56" spans="1:39" ht="13.8" x14ac:dyDescent="0.25">
      <c r="A56">
        <v>26</v>
      </c>
      <c r="B56" t="str" cm="1">
        <f t="array" ref="B56">_xlfn.IFS(Table1[[#This Row],[Age]]&lt;30,"Under 30",Table1[[#This Row],[Age]]&lt;=40,"30-40",Table1[[#This Row],[Age]]&lt;=50,"41-50",Table1[[#This Row],[Age]]&gt;50,"Over 50")</f>
        <v>Under 30</v>
      </c>
      <c r="C56" t="s">
        <v>43</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t="str" cm="1">
        <f t="array" ref="AH56">_xlfn.IFS(Table1[[#This Row],[YearsAtCompany]]&lt;=2,"0-2 years",Table1[[#This Row],[YearsAtCompany]]&lt;=5,"3-5 years",Table1[[#This Row],[YearsAtCompany]]&lt;=10,"6-10 years",Table1[[#This Row],[YearsAtCompany]]&gt;10,"10+ years")</f>
        <v>0-2 years</v>
      </c>
      <c r="AI56">
        <v>2</v>
      </c>
      <c r="AJ56">
        <v>0</v>
      </c>
      <c r="AK56">
        <v>0</v>
      </c>
      <c r="AL56" t="str" cm="1">
        <f t="array" ref="AL56">_xlfn.IFS(Table1[[#This Row],[JobSatisfaction]]=1,"Low",Table1[[#This Row],[JobSatisfaction]]=2,"Medium",Table1[[#This Row],[JobSatisfaction]]=3,"High",Table1[[#This Row],[JobSatisfaction]]=4,"Very High")</f>
        <v>Very High</v>
      </c>
      <c r="AM56">
        <f>IF(Table1[[#This Row],[Attrition]]="Yes",1,0)</f>
        <v>0</v>
      </c>
    </row>
    <row r="57" spans="1:39" ht="13.8" x14ac:dyDescent="0.25">
      <c r="A57">
        <v>33</v>
      </c>
      <c r="B57" t="str" cm="1">
        <f t="array" ref="B57">_xlfn.IFS(Table1[[#This Row],[Age]]&lt;30,"Under 30",Table1[[#This Row],[Age]]&lt;=40,"30-40",Table1[[#This Row],[Age]]&lt;=50,"41-50",Table1[[#This Row],[Age]]&gt;50,"Over 50")</f>
        <v>30-40</v>
      </c>
      <c r="C57" t="s">
        <v>43</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t="str" cm="1">
        <f t="array" ref="AH57">_xlfn.IFS(Table1[[#This Row],[YearsAtCompany]]&lt;=2,"0-2 years",Table1[[#This Row],[YearsAtCompany]]&lt;=5,"3-5 years",Table1[[#This Row],[YearsAtCompany]]&lt;=10,"6-10 years",Table1[[#This Row],[YearsAtCompany]]&gt;10,"10+ years")</f>
        <v>10+ years</v>
      </c>
      <c r="AI57">
        <v>14</v>
      </c>
      <c r="AJ57">
        <v>8</v>
      </c>
      <c r="AK57">
        <v>12</v>
      </c>
      <c r="AL57" t="str" cm="1">
        <f t="array" ref="AL57">_xlfn.IFS(Table1[[#This Row],[JobSatisfaction]]=1,"Low",Table1[[#This Row],[JobSatisfaction]]=2,"Medium",Table1[[#This Row],[JobSatisfaction]]=3,"High",Table1[[#This Row],[JobSatisfaction]]=4,"Very High")</f>
        <v>Very High</v>
      </c>
      <c r="AM57">
        <f>IF(Table1[[#This Row],[Attrition]]="Yes",1,0)</f>
        <v>0</v>
      </c>
    </row>
    <row r="58" spans="1:39" ht="13.8" x14ac:dyDescent="0.25">
      <c r="A58">
        <v>35</v>
      </c>
      <c r="B58" t="str" cm="1">
        <f t="array" ref="B58">_xlfn.IFS(Table1[[#This Row],[Age]]&lt;30,"Under 30",Table1[[#This Row],[Age]]&lt;=40,"30-40",Table1[[#This Row],[Age]]&lt;=50,"41-50",Table1[[#This Row],[Age]]&gt;50,"Over 50")</f>
        <v>30-40</v>
      </c>
      <c r="C58" t="s">
        <v>43</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t="str" cm="1">
        <f t="array" ref="AH58">_xlfn.IFS(Table1[[#This Row],[YearsAtCompany]]&lt;=2,"0-2 years",Table1[[#This Row],[YearsAtCompany]]&lt;=5,"3-5 years",Table1[[#This Row],[YearsAtCompany]]&lt;=10,"6-10 years",Table1[[#This Row],[YearsAtCompany]]&gt;10,"10+ years")</f>
        <v>6-10 years</v>
      </c>
      <c r="AI58">
        <v>8</v>
      </c>
      <c r="AJ58">
        <v>1</v>
      </c>
      <c r="AK58">
        <v>8</v>
      </c>
      <c r="AL58" t="str" cm="1">
        <f t="array" ref="AL58">_xlfn.IFS(Table1[[#This Row],[JobSatisfaction]]=1,"Low",Table1[[#This Row],[JobSatisfaction]]=2,"Medium",Table1[[#This Row],[JobSatisfaction]]=3,"High",Table1[[#This Row],[JobSatisfaction]]=4,"Very High")</f>
        <v>Low</v>
      </c>
      <c r="AM58">
        <f>IF(Table1[[#This Row],[Attrition]]="Yes",1,0)</f>
        <v>0</v>
      </c>
    </row>
    <row r="59" spans="1:39" ht="13.8" x14ac:dyDescent="0.25">
      <c r="A59">
        <v>35</v>
      </c>
      <c r="B59" t="str" cm="1">
        <f t="array" ref="B59">_xlfn.IFS(Table1[[#This Row],[Age]]&lt;30,"Under 30",Table1[[#This Row],[Age]]&lt;=40,"30-40",Table1[[#This Row],[Age]]&lt;=50,"41-50",Table1[[#This Row],[Age]]&gt;50,"Over 50")</f>
        <v>30-40</v>
      </c>
      <c r="C59" t="s">
        <v>43</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t="str" cm="1">
        <f t="array" ref="AH59">_xlfn.IFS(Table1[[#This Row],[YearsAtCompany]]&lt;=2,"0-2 years",Table1[[#This Row],[YearsAtCompany]]&lt;=5,"3-5 years",Table1[[#This Row],[YearsAtCompany]]&lt;=10,"6-10 years",Table1[[#This Row],[YearsAtCompany]]&gt;10,"10+ years")</f>
        <v>0-2 years</v>
      </c>
      <c r="AI59">
        <v>2</v>
      </c>
      <c r="AJ59">
        <v>2</v>
      </c>
      <c r="AK59">
        <v>2</v>
      </c>
      <c r="AL59" t="str" cm="1">
        <f t="array" ref="AL59">_xlfn.IFS(Table1[[#This Row],[JobSatisfaction]]=1,"Low",Table1[[#This Row],[JobSatisfaction]]=2,"Medium",Table1[[#This Row],[JobSatisfaction]]=3,"High",Table1[[#This Row],[JobSatisfaction]]=4,"Very High")</f>
        <v>Low</v>
      </c>
      <c r="AM59">
        <f>IF(Table1[[#This Row],[Attrition]]="Yes",1,0)</f>
        <v>0</v>
      </c>
    </row>
    <row r="60" spans="1:39" ht="13.8" x14ac:dyDescent="0.25">
      <c r="A60">
        <v>31</v>
      </c>
      <c r="B60" t="str" cm="1">
        <f t="array" ref="B60">_xlfn.IFS(Table1[[#This Row],[Age]]&lt;30,"Under 30",Table1[[#This Row],[Age]]&lt;=40,"30-40",Table1[[#This Row],[Age]]&lt;=50,"41-50",Table1[[#This Row],[Age]]&gt;50,"Over 50")</f>
        <v>30-40</v>
      </c>
      <c r="C60" t="s">
        <v>43</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t="str" cm="1">
        <f t="array" ref="AH60">_xlfn.IFS(Table1[[#This Row],[YearsAtCompany]]&lt;=2,"0-2 years",Table1[[#This Row],[YearsAtCompany]]&lt;=5,"3-5 years",Table1[[#This Row],[YearsAtCompany]]&lt;=10,"6-10 years",Table1[[#This Row],[YearsAtCompany]]&gt;10,"10+ years")</f>
        <v>6-10 years</v>
      </c>
      <c r="AI60">
        <v>7</v>
      </c>
      <c r="AJ60">
        <v>1</v>
      </c>
      <c r="AK60">
        <v>7</v>
      </c>
      <c r="AL60" t="str" cm="1">
        <f t="array" ref="AL60">_xlfn.IFS(Table1[[#This Row],[JobSatisfaction]]=1,"Low",Table1[[#This Row],[JobSatisfaction]]=2,"Medium",Table1[[#This Row],[JobSatisfaction]]=3,"High",Table1[[#This Row],[JobSatisfaction]]=4,"Very High")</f>
        <v>Very High</v>
      </c>
      <c r="AM60">
        <f>IF(Table1[[#This Row],[Attrition]]="Yes",1,0)</f>
        <v>0</v>
      </c>
    </row>
    <row r="61" spans="1:39" ht="13.8" x14ac:dyDescent="0.25">
      <c r="A61">
        <v>37</v>
      </c>
      <c r="B61" t="str" cm="1">
        <f t="array" ref="B61">_xlfn.IFS(Table1[[#This Row],[Age]]&lt;30,"Under 30",Table1[[#This Row],[Age]]&lt;=40,"30-40",Table1[[#This Row],[Age]]&lt;=50,"41-50",Table1[[#This Row],[Age]]&gt;50,"Over 50")</f>
        <v>30-40</v>
      </c>
      <c r="C61" t="s">
        <v>43</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t="str" cm="1">
        <f t="array" ref="AH61">_xlfn.IFS(Table1[[#This Row],[YearsAtCompany]]&lt;=2,"0-2 years",Table1[[#This Row],[YearsAtCompany]]&lt;=5,"3-5 years",Table1[[#This Row],[YearsAtCompany]]&lt;=10,"6-10 years",Table1[[#This Row],[YearsAtCompany]]&gt;10,"10+ years")</f>
        <v>6-10 years</v>
      </c>
      <c r="AI61">
        <v>5</v>
      </c>
      <c r="AJ61">
        <v>0</v>
      </c>
      <c r="AK61">
        <v>7</v>
      </c>
      <c r="AL61" t="str" cm="1">
        <f t="array" ref="AL61">_xlfn.IFS(Table1[[#This Row],[JobSatisfaction]]=1,"Low",Table1[[#This Row],[JobSatisfaction]]=2,"Medium",Table1[[#This Row],[JobSatisfaction]]=3,"High",Table1[[#This Row],[JobSatisfaction]]=4,"Very High")</f>
        <v>High</v>
      </c>
      <c r="AM61">
        <f>IF(Table1[[#This Row],[Attrition]]="Yes",1,0)</f>
        <v>0</v>
      </c>
    </row>
    <row r="62" spans="1:39" ht="13.8" x14ac:dyDescent="0.25">
      <c r="A62">
        <v>32</v>
      </c>
      <c r="B62" t="str" cm="1">
        <f t="array" ref="B62">_xlfn.IFS(Table1[[#This Row],[Age]]&lt;30,"Under 30",Table1[[#This Row],[Age]]&lt;=40,"30-40",Table1[[#This Row],[Age]]&lt;=50,"41-50",Table1[[#This Row],[Age]]&gt;50,"Over 50")</f>
        <v>30-40</v>
      </c>
      <c r="C62" t="s">
        <v>43</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t="str" cm="1">
        <f t="array" ref="AH62">_xlfn.IFS(Table1[[#This Row],[YearsAtCompany]]&lt;=2,"0-2 years",Table1[[#This Row],[YearsAtCompany]]&lt;=5,"3-5 years",Table1[[#This Row],[YearsAtCompany]]&lt;=10,"6-10 years",Table1[[#This Row],[YearsAtCompany]]&gt;10,"10+ years")</f>
        <v>6-10 years</v>
      </c>
      <c r="AI62">
        <v>8</v>
      </c>
      <c r="AJ62">
        <v>7</v>
      </c>
      <c r="AK62">
        <v>8</v>
      </c>
      <c r="AL62" t="str" cm="1">
        <f t="array" ref="AL62">_xlfn.IFS(Table1[[#This Row],[JobSatisfaction]]=1,"Low",Table1[[#This Row],[JobSatisfaction]]=2,"Medium",Table1[[#This Row],[JobSatisfaction]]=3,"High",Table1[[#This Row],[JobSatisfaction]]=4,"Very High")</f>
        <v>Very High</v>
      </c>
      <c r="AM62">
        <f>IF(Table1[[#This Row],[Attrition]]="Yes",1,0)</f>
        <v>0</v>
      </c>
    </row>
    <row r="63" spans="1:39" ht="13.8" x14ac:dyDescent="0.25">
      <c r="A63">
        <v>38</v>
      </c>
      <c r="B63" t="str" cm="1">
        <f t="array" ref="B63">_xlfn.IFS(Table1[[#This Row],[Age]]&lt;30,"Under 30",Table1[[#This Row],[Age]]&lt;=40,"30-40",Table1[[#This Row],[Age]]&lt;=50,"41-50",Table1[[#This Row],[Age]]&gt;50,"Over 50")</f>
        <v>30-40</v>
      </c>
      <c r="C63" t="s">
        <v>43</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t="str" cm="1">
        <f t="array" ref="AH63">_xlfn.IFS(Table1[[#This Row],[YearsAtCompany]]&lt;=2,"0-2 years",Table1[[#This Row],[YearsAtCompany]]&lt;=5,"3-5 years",Table1[[#This Row],[YearsAtCompany]]&lt;=10,"6-10 years",Table1[[#This Row],[YearsAtCompany]]&gt;10,"10+ years")</f>
        <v>6-10 years</v>
      </c>
      <c r="AI63">
        <v>3</v>
      </c>
      <c r="AJ63">
        <v>9</v>
      </c>
      <c r="AK63">
        <v>9</v>
      </c>
      <c r="AL63" t="str" cm="1">
        <f t="array" ref="AL63">_xlfn.IFS(Table1[[#This Row],[JobSatisfaction]]=1,"Low",Table1[[#This Row],[JobSatisfaction]]=2,"Medium",Table1[[#This Row],[JobSatisfaction]]=3,"High",Table1[[#This Row],[JobSatisfaction]]=4,"Very High")</f>
        <v>Very High</v>
      </c>
      <c r="AM63">
        <f>IF(Table1[[#This Row],[Attrition]]="Yes",1,0)</f>
        <v>0</v>
      </c>
    </row>
    <row r="64" spans="1:39" ht="13.8" x14ac:dyDescent="0.25">
      <c r="A64">
        <v>50</v>
      </c>
      <c r="B64" t="str" cm="1">
        <f t="array" ref="B64">_xlfn.IFS(Table1[[#This Row],[Age]]&lt;30,"Under 30",Table1[[#This Row],[Age]]&lt;=40,"30-40",Table1[[#This Row],[Age]]&lt;=50,"41-50",Table1[[#This Row],[Age]]&gt;50,"Over 50")</f>
        <v>41-50</v>
      </c>
      <c r="C64" t="s">
        <v>43</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t="str" cm="1">
        <f t="array" ref="AH64">_xlfn.IFS(Table1[[#This Row],[YearsAtCompany]]&lt;=2,"0-2 years",Table1[[#This Row],[YearsAtCompany]]&lt;=5,"3-5 years",Table1[[#This Row],[YearsAtCompany]]&lt;=10,"6-10 years",Table1[[#This Row],[YearsAtCompany]]&gt;10,"10+ years")</f>
        <v>10+ years</v>
      </c>
      <c r="AI64">
        <v>3</v>
      </c>
      <c r="AJ64">
        <v>13</v>
      </c>
      <c r="AK64">
        <v>8</v>
      </c>
      <c r="AL64" t="str" cm="1">
        <f t="array" ref="AL64">_xlfn.IFS(Table1[[#This Row],[JobSatisfaction]]=1,"Low",Table1[[#This Row],[JobSatisfaction]]=2,"Medium",Table1[[#This Row],[JobSatisfaction]]=3,"High",Table1[[#This Row],[JobSatisfaction]]=4,"Very High")</f>
        <v>High</v>
      </c>
      <c r="AM64">
        <f>IF(Table1[[#This Row],[Attrition]]="Yes",1,0)</f>
        <v>0</v>
      </c>
    </row>
    <row r="65" spans="1:39" ht="13.8" x14ac:dyDescent="0.25">
      <c r="A65">
        <v>59</v>
      </c>
      <c r="B65" t="str" cm="1">
        <f t="array" ref="B65">_xlfn.IFS(Table1[[#This Row],[Age]]&lt;30,"Under 30",Table1[[#This Row],[Age]]&lt;=40,"30-40",Table1[[#This Row],[Age]]&lt;=50,"41-50",Table1[[#This Row],[Age]]&gt;50,"Over 50")</f>
        <v>Over 50</v>
      </c>
      <c r="C65" t="s">
        <v>43</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t="str" cm="1">
        <f t="array" ref="AH65">_xlfn.IFS(Table1[[#This Row],[YearsAtCompany]]&lt;=2,"0-2 years",Table1[[#This Row],[YearsAtCompany]]&lt;=5,"3-5 years",Table1[[#This Row],[YearsAtCompany]]&lt;=10,"6-10 years",Table1[[#This Row],[YearsAtCompany]]&gt;10,"10+ years")</f>
        <v>10+ years</v>
      </c>
      <c r="AI65">
        <v>16</v>
      </c>
      <c r="AJ65">
        <v>7</v>
      </c>
      <c r="AK65">
        <v>9</v>
      </c>
      <c r="AL65" t="str" cm="1">
        <f t="array" ref="AL65">_xlfn.IFS(Table1[[#This Row],[JobSatisfaction]]=1,"Low",Table1[[#This Row],[JobSatisfaction]]=2,"Medium",Table1[[#This Row],[JobSatisfaction]]=3,"High",Table1[[#This Row],[JobSatisfaction]]=4,"Very High")</f>
        <v>Low</v>
      </c>
      <c r="AM65">
        <f>IF(Table1[[#This Row],[Attrition]]="Yes",1,0)</f>
        <v>0</v>
      </c>
    </row>
    <row r="66" spans="1:39" ht="13.8" x14ac:dyDescent="0.25">
      <c r="A66">
        <v>36</v>
      </c>
      <c r="B66" t="str" cm="1">
        <f t="array" ref="B66">_xlfn.IFS(Table1[[#This Row],[Age]]&lt;30,"Under 30",Table1[[#This Row],[Age]]&lt;=40,"30-40",Table1[[#This Row],[Age]]&lt;=50,"41-50",Table1[[#This Row],[Age]]&gt;50,"Over 50")</f>
        <v>30-40</v>
      </c>
      <c r="C66" t="s">
        <v>43</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t="str" cm="1">
        <f t="array" ref="AH66">_xlfn.IFS(Table1[[#This Row],[YearsAtCompany]]&lt;=2,"0-2 years",Table1[[#This Row],[YearsAtCompany]]&lt;=5,"3-5 years",Table1[[#This Row],[YearsAtCompany]]&lt;=10,"6-10 years",Table1[[#This Row],[YearsAtCompany]]&gt;10,"10+ years")</f>
        <v>10+ years</v>
      </c>
      <c r="AI66">
        <v>14</v>
      </c>
      <c r="AJ66">
        <v>12</v>
      </c>
      <c r="AK66">
        <v>8</v>
      </c>
      <c r="AL66" t="str" cm="1">
        <f t="array" ref="AL66">_xlfn.IFS(Table1[[#This Row],[JobSatisfaction]]=1,"Low",Table1[[#This Row],[JobSatisfaction]]=2,"Medium",Table1[[#This Row],[JobSatisfaction]]=3,"High",Table1[[#This Row],[JobSatisfaction]]=4,"Very High")</f>
        <v>High</v>
      </c>
      <c r="AM66">
        <f>IF(Table1[[#This Row],[Attrition]]="Yes",1,0)</f>
        <v>0</v>
      </c>
    </row>
    <row r="67" spans="1:39" ht="13.8" x14ac:dyDescent="0.25">
      <c r="A67">
        <v>55</v>
      </c>
      <c r="B67" t="str" cm="1">
        <f t="array" ref="B67">_xlfn.IFS(Table1[[#This Row],[Age]]&lt;30,"Under 30",Table1[[#This Row],[Age]]&lt;=40,"30-40",Table1[[#This Row],[Age]]&lt;=50,"41-50",Table1[[#This Row],[Age]]&gt;50,"Over 50")</f>
        <v>Over 50</v>
      </c>
      <c r="C67" t="s">
        <v>43</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t="str" cm="1">
        <f t="array" ref="AH67">_xlfn.IFS(Table1[[#This Row],[YearsAtCompany]]&lt;=2,"0-2 years",Table1[[#This Row],[YearsAtCompany]]&lt;=5,"3-5 years",Table1[[#This Row],[YearsAtCompany]]&lt;=10,"6-10 years",Table1[[#This Row],[YearsAtCompany]]&gt;10,"10+ years")</f>
        <v>3-5 years</v>
      </c>
      <c r="AI67">
        <v>0</v>
      </c>
      <c r="AJ67">
        <v>0</v>
      </c>
      <c r="AK67">
        <v>2</v>
      </c>
      <c r="AL67" t="str" cm="1">
        <f t="array" ref="AL67">_xlfn.IFS(Table1[[#This Row],[JobSatisfaction]]=1,"Low",Table1[[#This Row],[JobSatisfaction]]=2,"Medium",Table1[[#This Row],[JobSatisfaction]]=3,"High",Table1[[#This Row],[JobSatisfaction]]=4,"Very High")</f>
        <v>High</v>
      </c>
      <c r="AM67">
        <f>IF(Table1[[#This Row],[Attrition]]="Yes",1,0)</f>
        <v>0</v>
      </c>
    </row>
    <row r="68" spans="1:39" ht="13.8" x14ac:dyDescent="0.25">
      <c r="A68">
        <v>36</v>
      </c>
      <c r="B68" t="str" cm="1">
        <f t="array" ref="B68">_xlfn.IFS(Table1[[#This Row],[Age]]&lt;30,"Under 30",Table1[[#This Row],[Age]]&lt;=40,"30-40",Table1[[#This Row],[Age]]&lt;=50,"41-50",Table1[[#This Row],[Age]]&gt;50,"Over 50")</f>
        <v>30-40</v>
      </c>
      <c r="C68" t="s">
        <v>43</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t="str" cm="1">
        <f t="array" ref="AH68">_xlfn.IFS(Table1[[#This Row],[YearsAtCompany]]&lt;=2,"0-2 years",Table1[[#This Row],[YearsAtCompany]]&lt;=5,"3-5 years",Table1[[#This Row],[YearsAtCompany]]&lt;=10,"6-10 years",Table1[[#This Row],[YearsAtCompany]]&gt;10,"10+ years")</f>
        <v>6-10 years</v>
      </c>
      <c r="AI68">
        <v>5</v>
      </c>
      <c r="AJ68">
        <v>0</v>
      </c>
      <c r="AK68">
        <v>3</v>
      </c>
      <c r="AL68" t="str" cm="1">
        <f t="array" ref="AL68">_xlfn.IFS(Table1[[#This Row],[JobSatisfaction]]=1,"Low",Table1[[#This Row],[JobSatisfaction]]=2,"Medium",Table1[[#This Row],[JobSatisfaction]]=3,"High",Table1[[#This Row],[JobSatisfaction]]=4,"Very High")</f>
        <v>Medium</v>
      </c>
      <c r="AM68">
        <f>IF(Table1[[#This Row],[Attrition]]="Yes",1,0)</f>
        <v>0</v>
      </c>
    </row>
    <row r="69" spans="1:39" ht="13.8" x14ac:dyDescent="0.25">
      <c r="A69">
        <v>45</v>
      </c>
      <c r="B69" t="str" cm="1">
        <f t="array" ref="B69">_xlfn.IFS(Table1[[#This Row],[Age]]&lt;30,"Under 30",Table1[[#This Row],[Age]]&lt;=40,"30-40",Table1[[#This Row],[Age]]&lt;=50,"41-50",Table1[[#This Row],[Age]]&gt;50,"Over 50")</f>
        <v>41-50</v>
      </c>
      <c r="C69" t="s">
        <v>43</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t="str" cm="1">
        <f t="array" ref="AH69">_xlfn.IFS(Table1[[#This Row],[YearsAtCompany]]&lt;=2,"0-2 years",Table1[[#This Row],[YearsAtCompany]]&lt;=5,"3-5 years",Table1[[#This Row],[YearsAtCompany]]&lt;=10,"6-10 years",Table1[[#This Row],[YearsAtCompany]]&gt;10,"10+ years")</f>
        <v>0-2 years</v>
      </c>
      <c r="AI69">
        <v>0</v>
      </c>
      <c r="AJ69">
        <v>0</v>
      </c>
      <c r="AK69">
        <v>0</v>
      </c>
      <c r="AL69" t="str" cm="1">
        <f t="array" ref="AL69">_xlfn.IFS(Table1[[#This Row],[JobSatisfaction]]=1,"Low",Table1[[#This Row],[JobSatisfaction]]=2,"Medium",Table1[[#This Row],[JobSatisfaction]]=3,"High",Table1[[#This Row],[JobSatisfaction]]=4,"Very High")</f>
        <v>Low</v>
      </c>
      <c r="AM69">
        <f>IF(Table1[[#This Row],[Attrition]]="Yes",1,0)</f>
        <v>0</v>
      </c>
    </row>
    <row r="70" spans="1:39" ht="13.8" x14ac:dyDescent="0.25">
      <c r="A70">
        <v>35</v>
      </c>
      <c r="B70" t="str" cm="1">
        <f t="array" ref="B70">_xlfn.IFS(Table1[[#This Row],[Age]]&lt;30,"Under 30",Table1[[#This Row],[Age]]&lt;=40,"30-40",Table1[[#This Row],[Age]]&lt;=50,"41-50",Table1[[#This Row],[Age]]&gt;50,"Over 50")</f>
        <v>30-40</v>
      </c>
      <c r="C70" t="s">
        <v>43</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t="str" cm="1">
        <f t="array" ref="AH70">_xlfn.IFS(Table1[[#This Row],[YearsAtCompany]]&lt;=2,"0-2 years",Table1[[#This Row],[YearsAtCompany]]&lt;=5,"3-5 years",Table1[[#This Row],[YearsAtCompany]]&lt;=10,"6-10 years",Table1[[#This Row],[YearsAtCompany]]&gt;10,"10+ years")</f>
        <v>3-5 years</v>
      </c>
      <c r="AI70">
        <v>2</v>
      </c>
      <c r="AJ70">
        <v>1</v>
      </c>
      <c r="AK70">
        <v>2</v>
      </c>
      <c r="AL70" t="str" cm="1">
        <f t="array" ref="AL70">_xlfn.IFS(Table1[[#This Row],[JobSatisfaction]]=1,"Low",Table1[[#This Row],[JobSatisfaction]]=2,"Medium",Table1[[#This Row],[JobSatisfaction]]=3,"High",Table1[[#This Row],[JobSatisfaction]]=4,"Very High")</f>
        <v>Low</v>
      </c>
      <c r="AM70">
        <f>IF(Table1[[#This Row],[Attrition]]="Yes",1,0)</f>
        <v>0</v>
      </c>
    </row>
    <row r="71" spans="1:39" ht="13.8" x14ac:dyDescent="0.25">
      <c r="A71">
        <v>36</v>
      </c>
      <c r="B71" t="str" cm="1">
        <f t="array" ref="B71">_xlfn.IFS(Table1[[#This Row],[Age]]&lt;30,"Under 30",Table1[[#This Row],[Age]]&lt;=40,"30-40",Table1[[#This Row],[Age]]&lt;=50,"41-50",Table1[[#This Row],[Age]]&gt;50,"Over 50")</f>
        <v>30-40</v>
      </c>
      <c r="C71" t="s">
        <v>35</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t="str" cm="1">
        <f t="array" ref="AH71">_xlfn.IFS(Table1[[#This Row],[YearsAtCompany]]&lt;=2,"0-2 years",Table1[[#This Row],[YearsAtCompany]]&lt;=5,"3-5 years",Table1[[#This Row],[YearsAtCompany]]&lt;=10,"6-10 years",Table1[[#This Row],[YearsAtCompany]]&gt;10,"10+ years")</f>
        <v>0-2 years</v>
      </c>
      <c r="AI71">
        <v>0</v>
      </c>
      <c r="AJ71">
        <v>0</v>
      </c>
      <c r="AK71">
        <v>0</v>
      </c>
      <c r="AL71" t="str" cm="1">
        <f t="array" ref="AL71">_xlfn.IFS(Table1[[#This Row],[JobSatisfaction]]=1,"Low",Table1[[#This Row],[JobSatisfaction]]=2,"Medium",Table1[[#This Row],[JobSatisfaction]]=3,"High",Table1[[#This Row],[JobSatisfaction]]=4,"Very High")</f>
        <v>High</v>
      </c>
      <c r="AM71">
        <f>IF(Table1[[#This Row],[Attrition]]="Yes",1,0)</f>
        <v>1</v>
      </c>
    </row>
    <row r="72" spans="1:39" ht="13.8" x14ac:dyDescent="0.25">
      <c r="A72">
        <v>59</v>
      </c>
      <c r="B72" t="str" cm="1">
        <f t="array" ref="B72">_xlfn.IFS(Table1[[#This Row],[Age]]&lt;30,"Under 30",Table1[[#This Row],[Age]]&lt;=40,"30-40",Table1[[#This Row],[Age]]&lt;=50,"41-50",Table1[[#This Row],[Age]]&gt;50,"Over 50")</f>
        <v>Over 50</v>
      </c>
      <c r="C72" t="s">
        <v>43</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t="str" cm="1">
        <f t="array" ref="AH72">_xlfn.IFS(Table1[[#This Row],[YearsAtCompany]]&lt;=2,"0-2 years",Table1[[#This Row],[YearsAtCompany]]&lt;=5,"3-5 years",Table1[[#This Row],[YearsAtCompany]]&lt;=10,"6-10 years",Table1[[#This Row],[YearsAtCompany]]&gt;10,"10+ years")</f>
        <v>3-5 years</v>
      </c>
      <c r="AI72">
        <v>3</v>
      </c>
      <c r="AJ72">
        <v>1</v>
      </c>
      <c r="AK72">
        <v>3</v>
      </c>
      <c r="AL72" t="str" cm="1">
        <f t="array" ref="AL72">_xlfn.IFS(Table1[[#This Row],[JobSatisfaction]]=1,"Low",Table1[[#This Row],[JobSatisfaction]]=2,"Medium",Table1[[#This Row],[JobSatisfaction]]=3,"High",Table1[[#This Row],[JobSatisfaction]]=4,"Very High")</f>
        <v>High</v>
      </c>
      <c r="AM72">
        <f>IF(Table1[[#This Row],[Attrition]]="Yes",1,0)</f>
        <v>0</v>
      </c>
    </row>
    <row r="73" spans="1:39" ht="13.8" x14ac:dyDescent="0.25">
      <c r="A73">
        <v>29</v>
      </c>
      <c r="B73" t="str" cm="1">
        <f t="array" ref="B73">_xlfn.IFS(Table1[[#This Row],[Age]]&lt;30,"Under 30",Table1[[#This Row],[Age]]&lt;=40,"30-40",Table1[[#This Row],[Age]]&lt;=50,"41-50",Table1[[#This Row],[Age]]&gt;50,"Over 50")</f>
        <v>Under 30</v>
      </c>
      <c r="C73" t="s">
        <v>43</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t="str" cm="1">
        <f t="array" ref="AH73">_xlfn.IFS(Table1[[#This Row],[YearsAtCompany]]&lt;=2,"0-2 years",Table1[[#This Row],[YearsAtCompany]]&lt;=5,"3-5 years",Table1[[#This Row],[YearsAtCompany]]&lt;=10,"6-10 years",Table1[[#This Row],[YearsAtCompany]]&gt;10,"10+ years")</f>
        <v>3-5 years</v>
      </c>
      <c r="AI73">
        <v>4</v>
      </c>
      <c r="AJ73">
        <v>0</v>
      </c>
      <c r="AK73">
        <v>4</v>
      </c>
      <c r="AL73" t="str" cm="1">
        <f t="array" ref="AL73">_xlfn.IFS(Table1[[#This Row],[JobSatisfaction]]=1,"Low",Table1[[#This Row],[JobSatisfaction]]=2,"Medium",Table1[[#This Row],[JobSatisfaction]]=3,"High",Table1[[#This Row],[JobSatisfaction]]=4,"Very High")</f>
        <v>Medium</v>
      </c>
      <c r="AM73">
        <f>IF(Table1[[#This Row],[Attrition]]="Yes",1,0)</f>
        <v>0</v>
      </c>
    </row>
    <row r="74" spans="1:39" ht="13.8" x14ac:dyDescent="0.25">
      <c r="A74">
        <v>31</v>
      </c>
      <c r="B74" t="str" cm="1">
        <f t="array" ref="B74">_xlfn.IFS(Table1[[#This Row],[Age]]&lt;30,"Under 30",Table1[[#This Row],[Age]]&lt;=40,"30-40",Table1[[#This Row],[Age]]&lt;=50,"41-50",Table1[[#This Row],[Age]]&gt;50,"Over 50")</f>
        <v>30-40</v>
      </c>
      <c r="C74" t="s">
        <v>43</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t="str" cm="1">
        <f t="array" ref="AH74">_xlfn.IFS(Table1[[#This Row],[YearsAtCompany]]&lt;=2,"0-2 years",Table1[[#This Row],[YearsAtCompany]]&lt;=5,"3-5 years",Table1[[#This Row],[YearsAtCompany]]&lt;=10,"6-10 years",Table1[[#This Row],[YearsAtCompany]]&gt;10,"10+ years")</f>
        <v>0-2 years</v>
      </c>
      <c r="AI74">
        <v>1</v>
      </c>
      <c r="AJ74">
        <v>1</v>
      </c>
      <c r="AK74">
        <v>0</v>
      </c>
      <c r="AL74" t="str" cm="1">
        <f t="array" ref="AL74">_xlfn.IFS(Table1[[#This Row],[JobSatisfaction]]=1,"Low",Table1[[#This Row],[JobSatisfaction]]=2,"Medium",Table1[[#This Row],[JobSatisfaction]]=3,"High",Table1[[#This Row],[JobSatisfaction]]=4,"Very High")</f>
        <v>Medium</v>
      </c>
      <c r="AM74">
        <f>IF(Table1[[#This Row],[Attrition]]="Yes",1,0)</f>
        <v>0</v>
      </c>
    </row>
    <row r="75" spans="1:39" ht="13.8" x14ac:dyDescent="0.25">
      <c r="A75">
        <v>32</v>
      </c>
      <c r="B75" t="str" cm="1">
        <f t="array" ref="B75">_xlfn.IFS(Table1[[#This Row],[Age]]&lt;30,"Under 30",Table1[[#This Row],[Age]]&lt;=40,"30-40",Table1[[#This Row],[Age]]&lt;=50,"41-50",Table1[[#This Row],[Age]]&gt;50,"Over 50")</f>
        <v>30-40</v>
      </c>
      <c r="C75" t="s">
        <v>43</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t="str" cm="1">
        <f t="array" ref="AH75">_xlfn.IFS(Table1[[#This Row],[YearsAtCompany]]&lt;=2,"0-2 years",Table1[[#This Row],[YearsAtCompany]]&lt;=5,"3-5 years",Table1[[#This Row],[YearsAtCompany]]&lt;=10,"6-10 years",Table1[[#This Row],[YearsAtCompany]]&gt;10,"10+ years")</f>
        <v>6-10 years</v>
      </c>
      <c r="AI75">
        <v>4</v>
      </c>
      <c r="AJ75">
        <v>0</v>
      </c>
      <c r="AK75">
        <v>9</v>
      </c>
      <c r="AL75" t="str" cm="1">
        <f t="array" ref="AL75">_xlfn.IFS(Table1[[#This Row],[JobSatisfaction]]=1,"Low",Table1[[#This Row],[JobSatisfaction]]=2,"Medium",Table1[[#This Row],[JobSatisfaction]]=3,"High",Table1[[#This Row],[JobSatisfaction]]=4,"Very High")</f>
        <v>Medium</v>
      </c>
      <c r="AM75">
        <f>IF(Table1[[#This Row],[Attrition]]="Yes",1,0)</f>
        <v>0</v>
      </c>
    </row>
    <row r="76" spans="1:39" ht="13.8" x14ac:dyDescent="0.25">
      <c r="A76">
        <v>36</v>
      </c>
      <c r="B76" t="str" cm="1">
        <f t="array" ref="B76">_xlfn.IFS(Table1[[#This Row],[Age]]&lt;30,"Under 30",Table1[[#This Row],[Age]]&lt;=40,"30-40",Table1[[#This Row],[Age]]&lt;=50,"41-50",Table1[[#This Row],[Age]]&gt;50,"Over 50")</f>
        <v>30-40</v>
      </c>
      <c r="C76" t="s">
        <v>43</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t="str" cm="1">
        <f t="array" ref="AH76">_xlfn.IFS(Table1[[#This Row],[YearsAtCompany]]&lt;=2,"0-2 years",Table1[[#This Row],[YearsAtCompany]]&lt;=5,"3-5 years",Table1[[#This Row],[YearsAtCompany]]&lt;=10,"6-10 years",Table1[[#This Row],[YearsAtCompany]]&gt;10,"10+ years")</f>
        <v>0-2 years</v>
      </c>
      <c r="AI76">
        <v>0</v>
      </c>
      <c r="AJ76">
        <v>0</v>
      </c>
      <c r="AK76">
        <v>0</v>
      </c>
      <c r="AL76" t="str" cm="1">
        <f t="array" ref="AL76">_xlfn.IFS(Table1[[#This Row],[JobSatisfaction]]=1,"Low",Table1[[#This Row],[JobSatisfaction]]=2,"Medium",Table1[[#This Row],[JobSatisfaction]]=3,"High",Table1[[#This Row],[JobSatisfaction]]=4,"Very High")</f>
        <v>Very High</v>
      </c>
      <c r="AM76">
        <f>IF(Table1[[#This Row],[Attrition]]="Yes",1,0)</f>
        <v>0</v>
      </c>
    </row>
    <row r="77" spans="1:39" ht="13.8" x14ac:dyDescent="0.25">
      <c r="A77">
        <v>31</v>
      </c>
      <c r="B77" t="str" cm="1">
        <f t="array" ref="B77">_xlfn.IFS(Table1[[#This Row],[Age]]&lt;30,"Under 30",Table1[[#This Row],[Age]]&lt;=40,"30-40",Table1[[#This Row],[Age]]&lt;=50,"41-50",Table1[[#This Row],[Age]]&gt;50,"Over 50")</f>
        <v>30-40</v>
      </c>
      <c r="C77" t="s">
        <v>43</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t="str" cm="1">
        <f t="array" ref="AH77">_xlfn.IFS(Table1[[#This Row],[YearsAtCompany]]&lt;=2,"0-2 years",Table1[[#This Row],[YearsAtCompany]]&lt;=5,"3-5 years",Table1[[#This Row],[YearsAtCompany]]&lt;=10,"6-10 years",Table1[[#This Row],[YearsAtCompany]]&gt;10,"10+ years")</f>
        <v>10+ years</v>
      </c>
      <c r="AI77">
        <v>7</v>
      </c>
      <c r="AJ77">
        <v>1</v>
      </c>
      <c r="AK77">
        <v>8</v>
      </c>
      <c r="AL77" t="str" cm="1">
        <f t="array" ref="AL77">_xlfn.IFS(Table1[[#This Row],[JobSatisfaction]]=1,"Low",Table1[[#This Row],[JobSatisfaction]]=2,"Medium",Table1[[#This Row],[JobSatisfaction]]=3,"High",Table1[[#This Row],[JobSatisfaction]]=4,"Very High")</f>
        <v>Very High</v>
      </c>
      <c r="AM77">
        <f>IF(Table1[[#This Row],[Attrition]]="Yes",1,0)</f>
        <v>0</v>
      </c>
    </row>
    <row r="78" spans="1:39" ht="13.8" x14ac:dyDescent="0.25">
      <c r="A78">
        <v>35</v>
      </c>
      <c r="B78" t="str" cm="1">
        <f t="array" ref="B78">_xlfn.IFS(Table1[[#This Row],[Age]]&lt;30,"Under 30",Table1[[#This Row],[Age]]&lt;=40,"30-40",Table1[[#This Row],[Age]]&lt;=50,"41-50",Table1[[#This Row],[Age]]&gt;50,"Over 50")</f>
        <v>30-40</v>
      </c>
      <c r="C78" t="s">
        <v>43</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t="str" cm="1">
        <f t="array" ref="AH78">_xlfn.IFS(Table1[[#This Row],[YearsAtCompany]]&lt;=2,"0-2 years",Table1[[#This Row],[YearsAtCompany]]&lt;=5,"3-5 years",Table1[[#This Row],[YearsAtCompany]]&lt;=10,"6-10 years",Table1[[#This Row],[YearsAtCompany]]&gt;10,"10+ years")</f>
        <v>10+ years</v>
      </c>
      <c r="AI78">
        <v>13</v>
      </c>
      <c r="AJ78">
        <v>2</v>
      </c>
      <c r="AK78">
        <v>8</v>
      </c>
      <c r="AL78" t="str" cm="1">
        <f t="array" ref="AL78">_xlfn.IFS(Table1[[#This Row],[JobSatisfaction]]=1,"Low",Table1[[#This Row],[JobSatisfaction]]=2,"Medium",Table1[[#This Row],[JobSatisfaction]]=3,"High",Table1[[#This Row],[JobSatisfaction]]=4,"Very High")</f>
        <v>Low</v>
      </c>
      <c r="AM78">
        <f>IF(Table1[[#This Row],[Attrition]]="Yes",1,0)</f>
        <v>0</v>
      </c>
    </row>
    <row r="79" spans="1:39" ht="13.8" x14ac:dyDescent="0.25">
      <c r="A79">
        <v>45</v>
      </c>
      <c r="B79" t="str" cm="1">
        <f t="array" ref="B79">_xlfn.IFS(Table1[[#This Row],[Age]]&lt;30,"Under 30",Table1[[#This Row],[Age]]&lt;=40,"30-40",Table1[[#This Row],[Age]]&lt;=50,"41-50",Table1[[#This Row],[Age]]&gt;50,"Over 50")</f>
        <v>41-50</v>
      </c>
      <c r="C79" t="s">
        <v>43</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t="str" cm="1">
        <f t="array" ref="AH79">_xlfn.IFS(Table1[[#This Row],[YearsAtCompany]]&lt;=2,"0-2 years",Table1[[#This Row],[YearsAtCompany]]&lt;=5,"3-5 years",Table1[[#This Row],[YearsAtCompany]]&lt;=10,"6-10 years",Table1[[#This Row],[YearsAtCompany]]&gt;10,"10+ years")</f>
        <v>0-2 years</v>
      </c>
      <c r="AI79">
        <v>0</v>
      </c>
      <c r="AJ79">
        <v>0</v>
      </c>
      <c r="AK79">
        <v>0</v>
      </c>
      <c r="AL79" t="str" cm="1">
        <f t="array" ref="AL79">_xlfn.IFS(Table1[[#This Row],[JobSatisfaction]]=1,"Low",Table1[[#This Row],[JobSatisfaction]]=2,"Medium",Table1[[#This Row],[JobSatisfaction]]=3,"High",Table1[[#This Row],[JobSatisfaction]]=4,"Very High")</f>
        <v>Low</v>
      </c>
      <c r="AM79">
        <f>IF(Table1[[#This Row],[Attrition]]="Yes",1,0)</f>
        <v>0</v>
      </c>
    </row>
    <row r="80" spans="1:39" ht="13.8" x14ac:dyDescent="0.25">
      <c r="A80">
        <v>37</v>
      </c>
      <c r="B80" t="str" cm="1">
        <f t="array" ref="B80">_xlfn.IFS(Table1[[#This Row],[Age]]&lt;30,"Under 30",Table1[[#This Row],[Age]]&lt;=40,"30-40",Table1[[#This Row],[Age]]&lt;=50,"41-50",Table1[[#This Row],[Age]]&gt;50,"Over 50")</f>
        <v>30-40</v>
      </c>
      <c r="C80" t="s">
        <v>43</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t="str" cm="1">
        <f t="array" ref="AH80">_xlfn.IFS(Table1[[#This Row],[YearsAtCompany]]&lt;=2,"0-2 years",Table1[[#This Row],[YearsAtCompany]]&lt;=5,"3-5 years",Table1[[#This Row],[YearsAtCompany]]&lt;=10,"6-10 years",Table1[[#This Row],[YearsAtCompany]]&gt;10,"10+ years")</f>
        <v>3-5 years</v>
      </c>
      <c r="AI80">
        <v>2</v>
      </c>
      <c r="AJ80">
        <v>0</v>
      </c>
      <c r="AK80">
        <v>2</v>
      </c>
      <c r="AL80" t="str" cm="1">
        <f t="array" ref="AL80">_xlfn.IFS(Table1[[#This Row],[JobSatisfaction]]=1,"Low",Table1[[#This Row],[JobSatisfaction]]=2,"Medium",Table1[[#This Row],[JobSatisfaction]]=3,"High",Table1[[#This Row],[JobSatisfaction]]=4,"Very High")</f>
        <v>High</v>
      </c>
      <c r="AM80">
        <f>IF(Table1[[#This Row],[Attrition]]="Yes",1,0)</f>
        <v>0</v>
      </c>
    </row>
    <row r="81" spans="1:39" ht="13.8" x14ac:dyDescent="0.25">
      <c r="A81">
        <v>46</v>
      </c>
      <c r="B81" t="str" cm="1">
        <f t="array" ref="B81">_xlfn.IFS(Table1[[#This Row],[Age]]&lt;30,"Under 30",Table1[[#This Row],[Age]]&lt;=40,"30-40",Table1[[#This Row],[Age]]&lt;=50,"41-50",Table1[[#This Row],[Age]]&gt;50,"Over 50")</f>
        <v>41-50</v>
      </c>
      <c r="C81" t="s">
        <v>43</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t="str" cm="1">
        <f t="array" ref="AH81">_xlfn.IFS(Table1[[#This Row],[YearsAtCompany]]&lt;=2,"0-2 years",Table1[[#This Row],[YearsAtCompany]]&lt;=5,"3-5 years",Table1[[#This Row],[YearsAtCompany]]&lt;=10,"6-10 years",Table1[[#This Row],[YearsAtCompany]]&gt;10,"10+ years")</f>
        <v>3-5 years</v>
      </c>
      <c r="AI81">
        <v>2</v>
      </c>
      <c r="AJ81">
        <v>0</v>
      </c>
      <c r="AK81">
        <v>2</v>
      </c>
      <c r="AL81" t="str" cm="1">
        <f t="array" ref="AL81">_xlfn.IFS(Table1[[#This Row],[JobSatisfaction]]=1,"Low",Table1[[#This Row],[JobSatisfaction]]=2,"Medium",Table1[[#This Row],[JobSatisfaction]]=3,"High",Table1[[#This Row],[JobSatisfaction]]=4,"Very High")</f>
        <v>Medium</v>
      </c>
      <c r="AM81">
        <f>IF(Table1[[#This Row],[Attrition]]="Yes",1,0)</f>
        <v>0</v>
      </c>
    </row>
    <row r="82" spans="1:39" ht="13.8" x14ac:dyDescent="0.25">
      <c r="A82">
        <v>30</v>
      </c>
      <c r="B82" t="str" cm="1">
        <f t="array" ref="B82">_xlfn.IFS(Table1[[#This Row],[Age]]&lt;30,"Under 30",Table1[[#This Row],[Age]]&lt;=40,"30-40",Table1[[#This Row],[Age]]&lt;=50,"41-50",Table1[[#This Row],[Age]]&gt;50,"Over 50")</f>
        <v>30-40</v>
      </c>
      <c r="C82" t="s">
        <v>43</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t="str" cm="1">
        <f t="array" ref="AH82">_xlfn.IFS(Table1[[#This Row],[YearsAtCompany]]&lt;=2,"0-2 years",Table1[[#This Row],[YearsAtCompany]]&lt;=5,"3-5 years",Table1[[#This Row],[YearsAtCompany]]&lt;=10,"6-10 years",Table1[[#This Row],[YearsAtCompany]]&gt;10,"10+ years")</f>
        <v>6-10 years</v>
      </c>
      <c r="AI82">
        <v>8</v>
      </c>
      <c r="AJ82">
        <v>3</v>
      </c>
      <c r="AK82">
        <v>0</v>
      </c>
      <c r="AL82" t="str" cm="1">
        <f t="array" ref="AL82">_xlfn.IFS(Table1[[#This Row],[JobSatisfaction]]=1,"Low",Table1[[#This Row],[JobSatisfaction]]=2,"Medium",Table1[[#This Row],[JobSatisfaction]]=3,"High",Table1[[#This Row],[JobSatisfaction]]=4,"Very High")</f>
        <v>Very High</v>
      </c>
      <c r="AM82">
        <f>IF(Table1[[#This Row],[Attrition]]="Yes",1,0)</f>
        <v>0</v>
      </c>
    </row>
    <row r="83" spans="1:39" ht="13.8" x14ac:dyDescent="0.25">
      <c r="A83">
        <v>35</v>
      </c>
      <c r="B83" t="str" cm="1">
        <f t="array" ref="B83">_xlfn.IFS(Table1[[#This Row],[Age]]&lt;30,"Under 30",Table1[[#This Row],[Age]]&lt;=40,"30-40",Table1[[#This Row],[Age]]&lt;=50,"41-50",Table1[[#This Row],[Age]]&gt;50,"Over 50")</f>
        <v>30-40</v>
      </c>
      <c r="C83" t="s">
        <v>43</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t="str" cm="1">
        <f t="array" ref="AH83">_xlfn.IFS(Table1[[#This Row],[YearsAtCompany]]&lt;=2,"0-2 years",Table1[[#This Row],[YearsAtCompany]]&lt;=5,"3-5 years",Table1[[#This Row],[YearsAtCompany]]&lt;=10,"6-10 years",Table1[[#This Row],[YearsAtCompany]]&gt;10,"10+ years")</f>
        <v>6-10 years</v>
      </c>
      <c r="AI83">
        <v>4</v>
      </c>
      <c r="AJ83">
        <v>0</v>
      </c>
      <c r="AK83">
        <v>4</v>
      </c>
      <c r="AL83" t="str" cm="1">
        <f t="array" ref="AL83">_xlfn.IFS(Table1[[#This Row],[JobSatisfaction]]=1,"Low",Table1[[#This Row],[JobSatisfaction]]=2,"Medium",Table1[[#This Row],[JobSatisfaction]]=3,"High",Table1[[#This Row],[JobSatisfaction]]=4,"Very High")</f>
        <v>High</v>
      </c>
      <c r="AM83">
        <f>IF(Table1[[#This Row],[Attrition]]="Yes",1,0)</f>
        <v>0</v>
      </c>
    </row>
    <row r="84" spans="1:39" ht="13.8" x14ac:dyDescent="0.25">
      <c r="A84">
        <v>55</v>
      </c>
      <c r="B84" t="str" cm="1">
        <f t="array" ref="B84">_xlfn.IFS(Table1[[#This Row],[Age]]&lt;30,"Under 30",Table1[[#This Row],[Age]]&lt;=40,"30-40",Table1[[#This Row],[Age]]&lt;=50,"41-50",Table1[[#This Row],[Age]]&gt;50,"Over 50")</f>
        <v>Over 50</v>
      </c>
      <c r="C84" t="s">
        <v>43</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t="str" cm="1">
        <f t="array" ref="AH84">_xlfn.IFS(Table1[[#This Row],[YearsAtCompany]]&lt;=2,"0-2 years",Table1[[#This Row],[YearsAtCompany]]&lt;=5,"3-5 years",Table1[[#This Row],[YearsAtCompany]]&lt;=10,"6-10 years",Table1[[#This Row],[YearsAtCompany]]&gt;10,"10+ years")</f>
        <v>0-2 years</v>
      </c>
      <c r="AI84">
        <v>0</v>
      </c>
      <c r="AJ84">
        <v>1</v>
      </c>
      <c r="AK84">
        <v>0</v>
      </c>
      <c r="AL84" t="str" cm="1">
        <f t="array" ref="AL84">_xlfn.IFS(Table1[[#This Row],[JobSatisfaction]]=1,"Low",Table1[[#This Row],[JobSatisfaction]]=2,"Medium",Table1[[#This Row],[JobSatisfaction]]=3,"High",Table1[[#This Row],[JobSatisfaction]]=4,"Very High")</f>
        <v>Very High</v>
      </c>
      <c r="AM84">
        <f>IF(Table1[[#This Row],[Attrition]]="Yes",1,0)</f>
        <v>0</v>
      </c>
    </row>
    <row r="85" spans="1:39" ht="13.8" x14ac:dyDescent="0.25">
      <c r="A85">
        <v>38</v>
      </c>
      <c r="B85" t="str" cm="1">
        <f t="array" ref="B85">_xlfn.IFS(Table1[[#This Row],[Age]]&lt;30,"Under 30",Table1[[#This Row],[Age]]&lt;=40,"30-40",Table1[[#This Row],[Age]]&lt;=50,"41-50",Table1[[#This Row],[Age]]&gt;50,"Over 50")</f>
        <v>30-40</v>
      </c>
      <c r="C85" t="s">
        <v>43</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t="str" cm="1">
        <f t="array" ref="AH85">_xlfn.IFS(Table1[[#This Row],[YearsAtCompany]]&lt;=2,"0-2 years",Table1[[#This Row],[YearsAtCompany]]&lt;=5,"3-5 years",Table1[[#This Row],[YearsAtCompany]]&lt;=10,"6-10 years",Table1[[#This Row],[YearsAtCompany]]&gt;10,"10+ years")</f>
        <v>10+ years</v>
      </c>
      <c r="AI85">
        <v>11</v>
      </c>
      <c r="AJ85">
        <v>1</v>
      </c>
      <c r="AK85">
        <v>9</v>
      </c>
      <c r="AL85" t="str" cm="1">
        <f t="array" ref="AL85">_xlfn.IFS(Table1[[#This Row],[JobSatisfaction]]=1,"Low",Table1[[#This Row],[JobSatisfaction]]=2,"Medium",Table1[[#This Row],[JobSatisfaction]]=3,"High",Table1[[#This Row],[JobSatisfaction]]=4,"Very High")</f>
        <v>Very High</v>
      </c>
      <c r="AM85">
        <f>IF(Table1[[#This Row],[Attrition]]="Yes",1,0)</f>
        <v>0</v>
      </c>
    </row>
    <row r="86" spans="1:39" ht="13.8" x14ac:dyDescent="0.25">
      <c r="A86">
        <v>34</v>
      </c>
      <c r="B86" t="str" cm="1">
        <f t="array" ref="B86">_xlfn.IFS(Table1[[#This Row],[Age]]&lt;30,"Under 30",Table1[[#This Row],[Age]]&lt;=40,"30-40",Table1[[#This Row],[Age]]&lt;=50,"41-50",Table1[[#This Row],[Age]]&gt;50,"Over 50")</f>
        <v>30-40</v>
      </c>
      <c r="C86" t="s">
        <v>43</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t="str" cm="1">
        <f t="array" ref="AH86">_xlfn.IFS(Table1[[#This Row],[YearsAtCompany]]&lt;=2,"0-2 years",Table1[[#This Row],[YearsAtCompany]]&lt;=5,"3-5 years",Table1[[#This Row],[YearsAtCompany]]&lt;=10,"6-10 years",Table1[[#This Row],[YearsAtCompany]]&gt;10,"10+ years")</f>
        <v>3-5 years</v>
      </c>
      <c r="AI86">
        <v>2</v>
      </c>
      <c r="AJ86">
        <v>1</v>
      </c>
      <c r="AK86">
        <v>3</v>
      </c>
      <c r="AL86" t="str" cm="1">
        <f t="array" ref="AL86">_xlfn.IFS(Table1[[#This Row],[JobSatisfaction]]=1,"Low",Table1[[#This Row],[JobSatisfaction]]=2,"Medium",Table1[[#This Row],[JobSatisfaction]]=3,"High",Table1[[#This Row],[JobSatisfaction]]=4,"Very High")</f>
        <v>Medium</v>
      </c>
      <c r="AM86">
        <f>IF(Table1[[#This Row],[Attrition]]="Yes",1,0)</f>
        <v>0</v>
      </c>
    </row>
    <row r="87" spans="1:39" ht="13.8" x14ac:dyDescent="0.25">
      <c r="A87">
        <v>56</v>
      </c>
      <c r="B87" t="str" cm="1">
        <f t="array" ref="B87">_xlfn.IFS(Table1[[#This Row],[Age]]&lt;30,"Under 30",Table1[[#This Row],[Age]]&lt;=40,"30-40",Table1[[#This Row],[Age]]&lt;=50,"41-50",Table1[[#This Row],[Age]]&gt;50,"Over 50")</f>
        <v>Over 50</v>
      </c>
      <c r="C87" t="s">
        <v>43</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t="str" cm="1">
        <f t="array" ref="AH87">_xlfn.IFS(Table1[[#This Row],[YearsAtCompany]]&lt;=2,"0-2 years",Table1[[#This Row],[YearsAtCompany]]&lt;=5,"3-5 years",Table1[[#This Row],[YearsAtCompany]]&lt;=10,"6-10 years",Table1[[#This Row],[YearsAtCompany]]&gt;10,"10+ years")</f>
        <v>6-10 years</v>
      </c>
      <c r="AI87">
        <v>4</v>
      </c>
      <c r="AJ87">
        <v>0</v>
      </c>
      <c r="AK87">
        <v>2</v>
      </c>
      <c r="AL87" t="str" cm="1">
        <f t="array" ref="AL87">_xlfn.IFS(Table1[[#This Row],[JobSatisfaction]]=1,"Low",Table1[[#This Row],[JobSatisfaction]]=2,"Medium",Table1[[#This Row],[JobSatisfaction]]=3,"High",Table1[[#This Row],[JobSatisfaction]]=4,"Very High")</f>
        <v>Very High</v>
      </c>
      <c r="AM87">
        <f>IF(Table1[[#This Row],[Attrition]]="Yes",1,0)</f>
        <v>0</v>
      </c>
    </row>
    <row r="88" spans="1:39" ht="13.8" x14ac:dyDescent="0.25">
      <c r="A88">
        <v>23</v>
      </c>
      <c r="B88" t="str" cm="1">
        <f t="array" ref="B88">_xlfn.IFS(Table1[[#This Row],[Age]]&lt;30,"Under 30",Table1[[#This Row],[Age]]&lt;=40,"30-40",Table1[[#This Row],[Age]]&lt;=50,"41-50",Table1[[#This Row],[Age]]&gt;50,"Over 50")</f>
        <v>Under 30</v>
      </c>
      <c r="C88" t="s">
        <v>43</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t="str" cm="1">
        <f t="array" ref="AH88">_xlfn.IFS(Table1[[#This Row],[YearsAtCompany]]&lt;=2,"0-2 years",Table1[[#This Row],[YearsAtCompany]]&lt;=5,"3-5 years",Table1[[#This Row],[YearsAtCompany]]&lt;=10,"6-10 years",Table1[[#This Row],[YearsAtCompany]]&gt;10,"10+ years")</f>
        <v>0-2 years</v>
      </c>
      <c r="AI88">
        <v>0</v>
      </c>
      <c r="AJ88">
        <v>0</v>
      </c>
      <c r="AK88">
        <v>0</v>
      </c>
      <c r="AL88" t="str" cm="1">
        <f t="array" ref="AL88">_xlfn.IFS(Table1[[#This Row],[JobSatisfaction]]=1,"Low",Table1[[#This Row],[JobSatisfaction]]=2,"Medium",Table1[[#This Row],[JobSatisfaction]]=3,"High",Table1[[#This Row],[JobSatisfaction]]=4,"Very High")</f>
        <v>Low</v>
      </c>
      <c r="AM88">
        <f>IF(Table1[[#This Row],[Attrition]]="Yes",1,0)</f>
        <v>0</v>
      </c>
    </row>
    <row r="89" spans="1:39" ht="13.8" x14ac:dyDescent="0.25">
      <c r="A89">
        <v>51</v>
      </c>
      <c r="B89" t="str" cm="1">
        <f t="array" ref="B89">_xlfn.IFS(Table1[[#This Row],[Age]]&lt;30,"Under 30",Table1[[#This Row],[Age]]&lt;=40,"30-40",Table1[[#This Row],[Age]]&lt;=50,"41-50",Table1[[#This Row],[Age]]&gt;50,"Over 50")</f>
        <v>Over 50</v>
      </c>
      <c r="C89" t="s">
        <v>43</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t="str" cm="1">
        <f t="array" ref="AH89">_xlfn.IFS(Table1[[#This Row],[YearsAtCompany]]&lt;=2,"0-2 years",Table1[[#This Row],[YearsAtCompany]]&lt;=5,"3-5 years",Table1[[#This Row],[YearsAtCompany]]&lt;=10,"6-10 years",Table1[[#This Row],[YearsAtCompany]]&gt;10,"10+ years")</f>
        <v>3-5 years</v>
      </c>
      <c r="AI89">
        <v>2</v>
      </c>
      <c r="AJ89">
        <v>0</v>
      </c>
      <c r="AK89">
        <v>3</v>
      </c>
      <c r="AL89" t="str" cm="1">
        <f t="array" ref="AL89">_xlfn.IFS(Table1[[#This Row],[JobSatisfaction]]=1,"Low",Table1[[#This Row],[JobSatisfaction]]=2,"Medium",Table1[[#This Row],[JobSatisfaction]]=3,"High",Table1[[#This Row],[JobSatisfaction]]=4,"Very High")</f>
        <v>Very High</v>
      </c>
      <c r="AM89">
        <f>IF(Table1[[#This Row],[Attrition]]="Yes",1,0)</f>
        <v>0</v>
      </c>
    </row>
    <row r="90" spans="1:39" ht="13.8" x14ac:dyDescent="0.25">
      <c r="A90">
        <v>30</v>
      </c>
      <c r="B90" t="str" cm="1">
        <f t="array" ref="B90">_xlfn.IFS(Table1[[#This Row],[Age]]&lt;30,"Under 30",Table1[[#This Row],[Age]]&lt;=40,"30-40",Table1[[#This Row],[Age]]&lt;=50,"41-50",Table1[[#This Row],[Age]]&gt;50,"Over 50")</f>
        <v>30-40</v>
      </c>
      <c r="C90" t="s">
        <v>43</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t="str" cm="1">
        <f t="array" ref="AH90">_xlfn.IFS(Table1[[#This Row],[YearsAtCompany]]&lt;=2,"0-2 years",Table1[[#This Row],[YearsAtCompany]]&lt;=5,"3-5 years",Table1[[#This Row],[YearsAtCompany]]&lt;=10,"6-10 years",Table1[[#This Row],[YearsAtCompany]]&gt;10,"10+ years")</f>
        <v>10+ years</v>
      </c>
      <c r="AI90">
        <v>10</v>
      </c>
      <c r="AJ90">
        <v>10</v>
      </c>
      <c r="AK90">
        <v>8</v>
      </c>
      <c r="AL90" t="str" cm="1">
        <f t="array" ref="AL90">_xlfn.IFS(Table1[[#This Row],[JobSatisfaction]]=1,"Low",Table1[[#This Row],[JobSatisfaction]]=2,"Medium",Table1[[#This Row],[JobSatisfaction]]=3,"High",Table1[[#This Row],[JobSatisfaction]]=4,"Very High")</f>
        <v>Very High</v>
      </c>
      <c r="AM90">
        <f>IF(Table1[[#This Row],[Attrition]]="Yes",1,0)</f>
        <v>0</v>
      </c>
    </row>
    <row r="91" spans="1:39" ht="13.8" x14ac:dyDescent="0.25">
      <c r="A91">
        <v>46</v>
      </c>
      <c r="B91" t="str" cm="1">
        <f t="array" ref="B91">_xlfn.IFS(Table1[[#This Row],[Age]]&lt;30,"Under 30",Table1[[#This Row],[Age]]&lt;=40,"30-40",Table1[[#This Row],[Age]]&lt;=50,"41-50",Table1[[#This Row],[Age]]&gt;50,"Over 50")</f>
        <v>41-50</v>
      </c>
      <c r="C91" t="s">
        <v>35</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t="str" cm="1">
        <f t="array" ref="AH91">_xlfn.IFS(Table1[[#This Row],[YearsAtCompany]]&lt;=2,"0-2 years",Table1[[#This Row],[YearsAtCompany]]&lt;=5,"3-5 years",Table1[[#This Row],[YearsAtCompany]]&lt;=10,"6-10 years",Table1[[#This Row],[YearsAtCompany]]&gt;10,"10+ years")</f>
        <v>6-10 years</v>
      </c>
      <c r="AI91">
        <v>8</v>
      </c>
      <c r="AJ91">
        <v>4</v>
      </c>
      <c r="AK91">
        <v>7</v>
      </c>
      <c r="AL91" t="str" cm="1">
        <f t="array" ref="AL91">_xlfn.IFS(Table1[[#This Row],[JobSatisfaction]]=1,"Low",Table1[[#This Row],[JobSatisfaction]]=2,"Medium",Table1[[#This Row],[JobSatisfaction]]=3,"High",Table1[[#This Row],[JobSatisfaction]]=4,"Very High")</f>
        <v>Very High</v>
      </c>
      <c r="AM91">
        <f>IF(Table1[[#This Row],[Attrition]]="Yes",1,0)</f>
        <v>1</v>
      </c>
    </row>
    <row r="92" spans="1:39" ht="13.8" x14ac:dyDescent="0.25">
      <c r="A92">
        <v>40</v>
      </c>
      <c r="B92" t="str" cm="1">
        <f t="array" ref="B92">_xlfn.IFS(Table1[[#This Row],[Age]]&lt;30,"Under 30",Table1[[#This Row],[Age]]&lt;=40,"30-40",Table1[[#This Row],[Age]]&lt;=50,"41-50",Table1[[#This Row],[Age]]&gt;50,"Over 50")</f>
        <v>30-40</v>
      </c>
      <c r="C92" t="s">
        <v>43</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t="str" cm="1">
        <f t="array" ref="AH92">_xlfn.IFS(Table1[[#This Row],[YearsAtCompany]]&lt;=2,"0-2 years",Table1[[#This Row],[YearsAtCompany]]&lt;=5,"3-5 years",Table1[[#This Row],[YearsAtCompany]]&lt;=10,"6-10 years",Table1[[#This Row],[YearsAtCompany]]&gt;10,"10+ years")</f>
        <v>10+ years</v>
      </c>
      <c r="AI92">
        <v>3</v>
      </c>
      <c r="AJ92">
        <v>11</v>
      </c>
      <c r="AK92">
        <v>11</v>
      </c>
      <c r="AL92" t="str" cm="1">
        <f t="array" ref="AL92">_xlfn.IFS(Table1[[#This Row],[JobSatisfaction]]=1,"Low",Table1[[#This Row],[JobSatisfaction]]=2,"Medium",Table1[[#This Row],[JobSatisfaction]]=3,"High",Table1[[#This Row],[JobSatisfaction]]=4,"Very High")</f>
        <v>Medium</v>
      </c>
      <c r="AM92">
        <f>IF(Table1[[#This Row],[Attrition]]="Yes",1,0)</f>
        <v>0</v>
      </c>
    </row>
    <row r="93" spans="1:39" ht="13.8" x14ac:dyDescent="0.25">
      <c r="A93">
        <v>51</v>
      </c>
      <c r="B93" t="str" cm="1">
        <f t="array" ref="B93">_xlfn.IFS(Table1[[#This Row],[Age]]&lt;30,"Under 30",Table1[[#This Row],[Age]]&lt;=40,"30-40",Table1[[#This Row],[Age]]&lt;=50,"41-50",Table1[[#This Row],[Age]]&gt;50,"Over 50")</f>
        <v>Over 50</v>
      </c>
      <c r="C93" t="s">
        <v>43</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t="str" cm="1">
        <f t="array" ref="AH93">_xlfn.IFS(Table1[[#This Row],[YearsAtCompany]]&lt;=2,"0-2 years",Table1[[#This Row],[YearsAtCompany]]&lt;=5,"3-5 years",Table1[[#This Row],[YearsAtCompany]]&lt;=10,"6-10 years",Table1[[#This Row],[YearsAtCompany]]&gt;10,"10+ years")</f>
        <v>6-10 years</v>
      </c>
      <c r="AI93">
        <v>7</v>
      </c>
      <c r="AJ93">
        <v>1</v>
      </c>
      <c r="AK93">
        <v>0</v>
      </c>
      <c r="AL93" t="str" cm="1">
        <f t="array" ref="AL93">_xlfn.IFS(Table1[[#This Row],[JobSatisfaction]]=1,"Low",Table1[[#This Row],[JobSatisfaction]]=2,"Medium",Table1[[#This Row],[JobSatisfaction]]=3,"High",Table1[[#This Row],[JobSatisfaction]]=4,"Very High")</f>
        <v>Very High</v>
      </c>
      <c r="AM93">
        <f>IF(Table1[[#This Row],[Attrition]]="Yes",1,0)</f>
        <v>0</v>
      </c>
    </row>
    <row r="94" spans="1:39" ht="13.8" x14ac:dyDescent="0.25">
      <c r="A94">
        <v>30</v>
      </c>
      <c r="B94" t="str" cm="1">
        <f t="array" ref="B94">_xlfn.IFS(Table1[[#This Row],[Age]]&lt;30,"Under 30",Table1[[#This Row],[Age]]&lt;=40,"30-40",Table1[[#This Row],[Age]]&lt;=50,"41-50",Table1[[#This Row],[Age]]&gt;50,"Over 50")</f>
        <v>30-40</v>
      </c>
      <c r="C94" t="s">
        <v>43</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t="str" cm="1">
        <f t="array" ref="AH94">_xlfn.IFS(Table1[[#This Row],[YearsAtCompany]]&lt;=2,"0-2 years",Table1[[#This Row],[YearsAtCompany]]&lt;=5,"3-5 years",Table1[[#This Row],[YearsAtCompany]]&lt;=10,"6-10 years",Table1[[#This Row],[YearsAtCompany]]&gt;10,"10+ years")</f>
        <v>10+ years</v>
      </c>
      <c r="AI94">
        <v>8</v>
      </c>
      <c r="AJ94">
        <v>2</v>
      </c>
      <c r="AK94">
        <v>7</v>
      </c>
      <c r="AL94" t="str" cm="1">
        <f t="array" ref="AL94">_xlfn.IFS(Table1[[#This Row],[JobSatisfaction]]=1,"Low",Table1[[#This Row],[JobSatisfaction]]=2,"Medium",Table1[[#This Row],[JobSatisfaction]]=3,"High",Table1[[#This Row],[JobSatisfaction]]=4,"Very High")</f>
        <v>Medium</v>
      </c>
      <c r="AM94">
        <f>IF(Table1[[#This Row],[Attrition]]="Yes",1,0)</f>
        <v>0</v>
      </c>
    </row>
    <row r="95" spans="1:39" ht="13.8" x14ac:dyDescent="0.25">
      <c r="A95">
        <v>46</v>
      </c>
      <c r="B95" t="str" cm="1">
        <f t="array" ref="B95">_xlfn.IFS(Table1[[#This Row],[Age]]&lt;30,"Under 30",Table1[[#This Row],[Age]]&lt;=40,"30-40",Table1[[#This Row],[Age]]&lt;=50,"41-50",Table1[[#This Row],[Age]]&gt;50,"Over 50")</f>
        <v>41-50</v>
      </c>
      <c r="C95" t="s">
        <v>43</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t="str" cm="1">
        <f t="array" ref="AH95">_xlfn.IFS(Table1[[#This Row],[YearsAtCompany]]&lt;=2,"0-2 years",Table1[[#This Row],[YearsAtCompany]]&lt;=5,"3-5 years",Table1[[#This Row],[YearsAtCompany]]&lt;=10,"6-10 years",Table1[[#This Row],[YearsAtCompany]]&gt;10,"10+ years")</f>
        <v>6-10 years</v>
      </c>
      <c r="AI95">
        <v>9</v>
      </c>
      <c r="AJ95">
        <v>9</v>
      </c>
      <c r="AK95">
        <v>5</v>
      </c>
      <c r="AL95" t="str" cm="1">
        <f t="array" ref="AL95">_xlfn.IFS(Table1[[#This Row],[JobSatisfaction]]=1,"Low",Table1[[#This Row],[JobSatisfaction]]=2,"Medium",Table1[[#This Row],[JobSatisfaction]]=3,"High",Table1[[#This Row],[JobSatisfaction]]=4,"Very High")</f>
        <v>Low</v>
      </c>
      <c r="AM95">
        <f>IF(Table1[[#This Row],[Attrition]]="Yes",1,0)</f>
        <v>0</v>
      </c>
    </row>
    <row r="96" spans="1:39" ht="13.8" x14ac:dyDescent="0.25">
      <c r="A96">
        <v>32</v>
      </c>
      <c r="B96" t="str" cm="1">
        <f t="array" ref="B96">_xlfn.IFS(Table1[[#This Row],[Age]]&lt;30,"Under 30",Table1[[#This Row],[Age]]&lt;=40,"30-40",Table1[[#This Row],[Age]]&lt;=50,"41-50",Table1[[#This Row],[Age]]&gt;50,"Over 50")</f>
        <v>30-40</v>
      </c>
      <c r="C96" t="s">
        <v>43</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t="str" cm="1">
        <f t="array" ref="AH96">_xlfn.IFS(Table1[[#This Row],[YearsAtCompany]]&lt;=2,"0-2 years",Table1[[#This Row],[YearsAtCompany]]&lt;=5,"3-5 years",Table1[[#This Row],[YearsAtCompany]]&lt;=10,"6-10 years",Table1[[#This Row],[YearsAtCompany]]&gt;10,"10+ years")</f>
        <v>10+ years</v>
      </c>
      <c r="AI96">
        <v>8</v>
      </c>
      <c r="AJ96">
        <v>5</v>
      </c>
      <c r="AK96">
        <v>7</v>
      </c>
      <c r="AL96" t="str" cm="1">
        <f t="array" ref="AL96">_xlfn.IFS(Table1[[#This Row],[JobSatisfaction]]=1,"Low",Table1[[#This Row],[JobSatisfaction]]=2,"Medium",Table1[[#This Row],[JobSatisfaction]]=3,"High",Table1[[#This Row],[JobSatisfaction]]=4,"Very High")</f>
        <v>High</v>
      </c>
      <c r="AM96">
        <f>IF(Table1[[#This Row],[Attrition]]="Yes",1,0)</f>
        <v>0</v>
      </c>
    </row>
    <row r="97" spans="1:39" ht="13.8" x14ac:dyDescent="0.25">
      <c r="A97">
        <v>54</v>
      </c>
      <c r="B97" t="str" cm="1">
        <f t="array" ref="B97">_xlfn.IFS(Table1[[#This Row],[Age]]&lt;30,"Under 30",Table1[[#This Row],[Age]]&lt;=40,"30-40",Table1[[#This Row],[Age]]&lt;=50,"41-50",Table1[[#This Row],[Age]]&gt;50,"Over 50")</f>
        <v>Over 50</v>
      </c>
      <c r="C97" t="s">
        <v>43</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t="str" cm="1">
        <f t="array" ref="AH97">_xlfn.IFS(Table1[[#This Row],[YearsAtCompany]]&lt;=2,"0-2 years",Table1[[#This Row],[YearsAtCompany]]&lt;=5,"3-5 years",Table1[[#This Row],[YearsAtCompany]]&lt;=10,"6-10 years",Table1[[#This Row],[YearsAtCompany]]&gt;10,"10+ years")</f>
        <v>3-5 years</v>
      </c>
      <c r="AI97">
        <v>3</v>
      </c>
      <c r="AJ97">
        <v>0</v>
      </c>
      <c r="AK97">
        <v>3</v>
      </c>
      <c r="AL97" t="str" cm="1">
        <f t="array" ref="AL97">_xlfn.IFS(Table1[[#This Row],[JobSatisfaction]]=1,"Low",Table1[[#This Row],[JobSatisfaction]]=2,"Medium",Table1[[#This Row],[JobSatisfaction]]=3,"High",Table1[[#This Row],[JobSatisfaction]]=4,"Very High")</f>
        <v>High</v>
      </c>
      <c r="AM97">
        <f>IF(Table1[[#This Row],[Attrition]]="Yes",1,0)</f>
        <v>0</v>
      </c>
    </row>
    <row r="98" spans="1:39" ht="13.8" x14ac:dyDescent="0.25">
      <c r="A98">
        <v>24</v>
      </c>
      <c r="B98" t="str" cm="1">
        <f t="array" ref="B98">_xlfn.IFS(Table1[[#This Row],[Age]]&lt;30,"Under 30",Table1[[#This Row],[Age]]&lt;=40,"30-40",Table1[[#This Row],[Age]]&lt;=50,"41-50",Table1[[#This Row],[Age]]&gt;50,"Over 50")</f>
        <v>Under 30</v>
      </c>
      <c r="C98" t="s">
        <v>43</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t="str" cm="1">
        <f t="array" ref="AH98">_xlfn.IFS(Table1[[#This Row],[YearsAtCompany]]&lt;=2,"0-2 years",Table1[[#This Row],[YearsAtCompany]]&lt;=5,"3-5 years",Table1[[#This Row],[YearsAtCompany]]&lt;=10,"6-10 years",Table1[[#This Row],[YearsAtCompany]]&gt;10,"10+ years")</f>
        <v>3-5 years</v>
      </c>
      <c r="AI98">
        <v>2</v>
      </c>
      <c r="AJ98">
        <v>0</v>
      </c>
      <c r="AK98">
        <v>2</v>
      </c>
      <c r="AL98" t="str" cm="1">
        <f t="array" ref="AL98">_xlfn.IFS(Table1[[#This Row],[JobSatisfaction]]=1,"Low",Table1[[#This Row],[JobSatisfaction]]=2,"Medium",Table1[[#This Row],[JobSatisfaction]]=3,"High",Table1[[#This Row],[JobSatisfaction]]=4,"Very High")</f>
        <v>High</v>
      </c>
      <c r="AM98">
        <f>IF(Table1[[#This Row],[Attrition]]="Yes",1,0)</f>
        <v>0</v>
      </c>
    </row>
    <row r="99" spans="1:39" ht="13.8" x14ac:dyDescent="0.25">
      <c r="A99">
        <v>28</v>
      </c>
      <c r="B99" t="str" cm="1">
        <f t="array" ref="B99">_xlfn.IFS(Table1[[#This Row],[Age]]&lt;30,"Under 30",Table1[[#This Row],[Age]]&lt;=40,"30-40",Table1[[#This Row],[Age]]&lt;=50,"41-50",Table1[[#This Row],[Age]]&gt;50,"Over 50")</f>
        <v>Under 30</v>
      </c>
      <c r="C99" t="s">
        <v>43</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t="str" cm="1">
        <f t="array" ref="AH99">_xlfn.IFS(Table1[[#This Row],[YearsAtCompany]]&lt;=2,"0-2 years",Table1[[#This Row],[YearsAtCompany]]&lt;=5,"3-5 years",Table1[[#This Row],[YearsAtCompany]]&lt;=10,"6-10 years",Table1[[#This Row],[YearsAtCompany]]&gt;10,"10+ years")</f>
        <v>3-5 years</v>
      </c>
      <c r="AI99">
        <v>4</v>
      </c>
      <c r="AJ99">
        <v>0</v>
      </c>
      <c r="AK99">
        <v>4</v>
      </c>
      <c r="AL99" t="str" cm="1">
        <f t="array" ref="AL99">_xlfn.IFS(Table1[[#This Row],[JobSatisfaction]]=1,"Low",Table1[[#This Row],[JobSatisfaction]]=2,"Medium",Table1[[#This Row],[JobSatisfaction]]=3,"High",Table1[[#This Row],[JobSatisfaction]]=4,"Very High")</f>
        <v>High</v>
      </c>
      <c r="AM99">
        <f>IF(Table1[[#This Row],[Attrition]]="Yes",1,0)</f>
        <v>0</v>
      </c>
    </row>
    <row r="100" spans="1:39" ht="13.8" x14ac:dyDescent="0.25">
      <c r="A100">
        <v>58</v>
      </c>
      <c r="B100" t="str" cm="1">
        <f t="array" ref="B100">_xlfn.IFS(Table1[[#This Row],[Age]]&lt;30,"Under 30",Table1[[#This Row],[Age]]&lt;=40,"30-40",Table1[[#This Row],[Age]]&lt;=50,"41-50",Table1[[#This Row],[Age]]&gt;50,"Over 50")</f>
        <v>Over 50</v>
      </c>
      <c r="C100" t="s">
        <v>43</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t="str" cm="1">
        <f t="array" ref="AH100">_xlfn.IFS(Table1[[#This Row],[YearsAtCompany]]&lt;=2,"0-2 years",Table1[[#This Row],[YearsAtCompany]]&lt;=5,"3-5 years",Table1[[#This Row],[YearsAtCompany]]&lt;=10,"6-10 years",Table1[[#This Row],[YearsAtCompany]]&gt;10,"10+ years")</f>
        <v>10+ years</v>
      </c>
      <c r="AI100">
        <v>10</v>
      </c>
      <c r="AJ100">
        <v>1</v>
      </c>
      <c r="AK100">
        <v>8</v>
      </c>
      <c r="AL100" t="str" cm="1">
        <f t="array" ref="AL100">_xlfn.IFS(Table1[[#This Row],[JobSatisfaction]]=1,"Low",Table1[[#This Row],[JobSatisfaction]]=2,"Medium",Table1[[#This Row],[JobSatisfaction]]=3,"High",Table1[[#This Row],[JobSatisfaction]]=4,"Very High")</f>
        <v>High</v>
      </c>
      <c r="AM100">
        <f>IF(Table1[[#This Row],[Attrition]]="Yes",1,0)</f>
        <v>0</v>
      </c>
    </row>
    <row r="101" spans="1:39" ht="13.8" x14ac:dyDescent="0.25">
      <c r="A101">
        <v>44</v>
      </c>
      <c r="B101" t="str" cm="1">
        <f t="array" ref="B101">_xlfn.IFS(Table1[[#This Row],[Age]]&lt;30,"Under 30",Table1[[#This Row],[Age]]&lt;=40,"30-40",Table1[[#This Row],[Age]]&lt;=50,"41-50",Table1[[#This Row],[Age]]&gt;50,"Over 50")</f>
        <v>41-50</v>
      </c>
      <c r="C101" t="s">
        <v>43</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t="str" cm="1">
        <f t="array" ref="AH101">_xlfn.IFS(Table1[[#This Row],[YearsAtCompany]]&lt;=2,"0-2 years",Table1[[#This Row],[YearsAtCompany]]&lt;=5,"3-5 years",Table1[[#This Row],[YearsAtCompany]]&lt;=10,"6-10 years",Table1[[#This Row],[YearsAtCompany]]&gt;10,"10+ years")</f>
        <v>3-5 years</v>
      </c>
      <c r="AI101">
        <v>2</v>
      </c>
      <c r="AJ101">
        <v>1</v>
      </c>
      <c r="AK101">
        <v>2</v>
      </c>
      <c r="AL101" t="str" cm="1">
        <f t="array" ref="AL101">_xlfn.IFS(Table1[[#This Row],[JobSatisfaction]]=1,"Low",Table1[[#This Row],[JobSatisfaction]]=2,"Medium",Table1[[#This Row],[JobSatisfaction]]=3,"High",Table1[[#This Row],[JobSatisfaction]]=4,"Very High")</f>
        <v>Medium</v>
      </c>
      <c r="AM101">
        <f>IF(Table1[[#This Row],[Attrition]]="Yes",1,0)</f>
        <v>0</v>
      </c>
    </row>
    <row r="102" spans="1:39" ht="13.8" x14ac:dyDescent="0.25">
      <c r="A102">
        <v>37</v>
      </c>
      <c r="B102" t="str" cm="1">
        <f t="array" ref="B102">_xlfn.IFS(Table1[[#This Row],[Age]]&lt;30,"Under 30",Table1[[#This Row],[Age]]&lt;=40,"30-40",Table1[[#This Row],[Age]]&lt;=50,"41-50",Table1[[#This Row],[Age]]&gt;50,"Over 50")</f>
        <v>30-40</v>
      </c>
      <c r="C102" t="s">
        <v>35</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t="str" cm="1">
        <f t="array" ref="AH102">_xlfn.IFS(Table1[[#This Row],[YearsAtCompany]]&lt;=2,"0-2 years",Table1[[#This Row],[YearsAtCompany]]&lt;=5,"3-5 years",Table1[[#This Row],[YearsAtCompany]]&lt;=10,"6-10 years",Table1[[#This Row],[YearsAtCompany]]&gt;10,"10+ years")</f>
        <v>3-5 years</v>
      </c>
      <c r="AI102">
        <v>2</v>
      </c>
      <c r="AJ102">
        <v>0</v>
      </c>
      <c r="AK102">
        <v>2</v>
      </c>
      <c r="AL102" t="str" cm="1">
        <f t="array" ref="AL102">_xlfn.IFS(Table1[[#This Row],[JobSatisfaction]]=1,"Low",Table1[[#This Row],[JobSatisfaction]]=2,"Medium",Table1[[#This Row],[JobSatisfaction]]=3,"High",Table1[[#This Row],[JobSatisfaction]]=4,"Very High")</f>
        <v>Low</v>
      </c>
      <c r="AM102">
        <f>IF(Table1[[#This Row],[Attrition]]="Yes",1,0)</f>
        <v>1</v>
      </c>
    </row>
    <row r="103" spans="1:39" ht="13.8" x14ac:dyDescent="0.25">
      <c r="A103">
        <v>32</v>
      </c>
      <c r="B103" t="str" cm="1">
        <f t="array" ref="B103">_xlfn.IFS(Table1[[#This Row],[Age]]&lt;30,"Under 30",Table1[[#This Row],[Age]]&lt;=40,"30-40",Table1[[#This Row],[Age]]&lt;=50,"41-50",Table1[[#This Row],[Age]]&gt;50,"Over 50")</f>
        <v>30-40</v>
      </c>
      <c r="C103" t="s">
        <v>43</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t="str" cm="1">
        <f t="array" ref="AH103">_xlfn.IFS(Table1[[#This Row],[YearsAtCompany]]&lt;=2,"0-2 years",Table1[[#This Row],[YearsAtCompany]]&lt;=5,"3-5 years",Table1[[#This Row],[YearsAtCompany]]&lt;=10,"6-10 years",Table1[[#This Row],[YearsAtCompany]]&gt;10,"10+ years")</f>
        <v>0-2 years</v>
      </c>
      <c r="AI103">
        <v>0</v>
      </c>
      <c r="AJ103">
        <v>0</v>
      </c>
      <c r="AK103">
        <v>0</v>
      </c>
      <c r="AL103" t="str" cm="1">
        <f t="array" ref="AL103">_xlfn.IFS(Table1[[#This Row],[JobSatisfaction]]=1,"Low",Table1[[#This Row],[JobSatisfaction]]=2,"Medium",Table1[[#This Row],[JobSatisfaction]]=3,"High",Table1[[#This Row],[JobSatisfaction]]=4,"Very High")</f>
        <v>Low</v>
      </c>
      <c r="AM103">
        <f>IF(Table1[[#This Row],[Attrition]]="Yes",1,0)</f>
        <v>0</v>
      </c>
    </row>
    <row r="104" spans="1:39" ht="13.8" x14ac:dyDescent="0.25">
      <c r="A104">
        <v>20</v>
      </c>
      <c r="B104" t="str" cm="1">
        <f t="array" ref="B104">_xlfn.IFS(Table1[[#This Row],[Age]]&lt;30,"Under 30",Table1[[#This Row],[Age]]&lt;=40,"30-40",Table1[[#This Row],[Age]]&lt;=50,"41-50",Table1[[#This Row],[Age]]&gt;50,"Over 50")</f>
        <v>Under 30</v>
      </c>
      <c r="C104" t="s">
        <v>35</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t="str" cm="1">
        <f t="array" ref="AH104">_xlfn.IFS(Table1[[#This Row],[YearsAtCompany]]&lt;=2,"0-2 years",Table1[[#This Row],[YearsAtCompany]]&lt;=5,"3-5 years",Table1[[#This Row],[YearsAtCompany]]&lt;=10,"6-10 years",Table1[[#This Row],[YearsAtCompany]]&gt;10,"10+ years")</f>
        <v>0-2 years</v>
      </c>
      <c r="AI104">
        <v>0</v>
      </c>
      <c r="AJ104">
        <v>1</v>
      </c>
      <c r="AK104">
        <v>0</v>
      </c>
      <c r="AL104" t="str" cm="1">
        <f t="array" ref="AL104">_xlfn.IFS(Table1[[#This Row],[JobSatisfaction]]=1,"Low",Table1[[#This Row],[JobSatisfaction]]=2,"Medium",Table1[[#This Row],[JobSatisfaction]]=3,"High",Table1[[#This Row],[JobSatisfaction]]=4,"Very High")</f>
        <v>Very High</v>
      </c>
      <c r="AM104">
        <f>IF(Table1[[#This Row],[Attrition]]="Yes",1,0)</f>
        <v>1</v>
      </c>
    </row>
    <row r="105" spans="1:39" ht="13.8" x14ac:dyDescent="0.25">
      <c r="A105">
        <v>34</v>
      </c>
      <c r="B105" t="str" cm="1">
        <f t="array" ref="B105">_xlfn.IFS(Table1[[#This Row],[Age]]&lt;30,"Under 30",Table1[[#This Row],[Age]]&lt;=40,"30-40",Table1[[#This Row],[Age]]&lt;=50,"41-50",Table1[[#This Row],[Age]]&gt;50,"Over 50")</f>
        <v>30-40</v>
      </c>
      <c r="C105" t="s">
        <v>43</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t="str" cm="1">
        <f t="array" ref="AH105">_xlfn.IFS(Table1[[#This Row],[YearsAtCompany]]&lt;=2,"0-2 years",Table1[[#This Row],[YearsAtCompany]]&lt;=5,"3-5 years",Table1[[#This Row],[YearsAtCompany]]&lt;=10,"6-10 years",Table1[[#This Row],[YearsAtCompany]]&gt;10,"10+ years")</f>
        <v>10+ years</v>
      </c>
      <c r="AI105">
        <v>13</v>
      </c>
      <c r="AJ105">
        <v>2</v>
      </c>
      <c r="AK105">
        <v>10</v>
      </c>
      <c r="AL105" t="str" cm="1">
        <f t="array" ref="AL105">_xlfn.IFS(Table1[[#This Row],[JobSatisfaction]]=1,"Low",Table1[[#This Row],[JobSatisfaction]]=2,"Medium",Table1[[#This Row],[JobSatisfaction]]=3,"High",Table1[[#This Row],[JobSatisfaction]]=4,"Very High")</f>
        <v>High</v>
      </c>
      <c r="AM105">
        <f>IF(Table1[[#This Row],[Attrition]]="Yes",1,0)</f>
        <v>0</v>
      </c>
    </row>
    <row r="106" spans="1:39" ht="13.8" x14ac:dyDescent="0.25">
      <c r="A106">
        <v>37</v>
      </c>
      <c r="B106" t="str" cm="1">
        <f t="array" ref="B106">_xlfn.IFS(Table1[[#This Row],[Age]]&lt;30,"Under 30",Table1[[#This Row],[Age]]&lt;=40,"30-40",Table1[[#This Row],[Age]]&lt;=50,"41-50",Table1[[#This Row],[Age]]&gt;50,"Over 50")</f>
        <v>30-40</v>
      </c>
      <c r="C106" t="s">
        <v>43</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t="str" cm="1">
        <f t="array" ref="AH106">_xlfn.IFS(Table1[[#This Row],[YearsAtCompany]]&lt;=2,"0-2 years",Table1[[#This Row],[YearsAtCompany]]&lt;=5,"3-5 years",Table1[[#This Row],[YearsAtCompany]]&lt;=10,"6-10 years",Table1[[#This Row],[YearsAtCompany]]&gt;10,"10+ years")</f>
        <v>0-2 years</v>
      </c>
      <c r="AI106">
        <v>0</v>
      </c>
      <c r="AJ106">
        <v>0</v>
      </c>
      <c r="AK106">
        <v>0</v>
      </c>
      <c r="AL106" t="str" cm="1">
        <f t="array" ref="AL106">_xlfn.IFS(Table1[[#This Row],[JobSatisfaction]]=1,"Low",Table1[[#This Row],[JobSatisfaction]]=2,"Medium",Table1[[#This Row],[JobSatisfaction]]=3,"High",Table1[[#This Row],[JobSatisfaction]]=4,"Very High")</f>
        <v>Very High</v>
      </c>
      <c r="AM106">
        <f>IF(Table1[[#This Row],[Attrition]]="Yes",1,0)</f>
        <v>0</v>
      </c>
    </row>
    <row r="107" spans="1:39" ht="13.8" x14ac:dyDescent="0.25">
      <c r="A107">
        <v>59</v>
      </c>
      <c r="B107" t="str" cm="1">
        <f t="array" ref="B107">_xlfn.IFS(Table1[[#This Row],[Age]]&lt;30,"Under 30",Table1[[#This Row],[Age]]&lt;=40,"30-40",Table1[[#This Row],[Age]]&lt;=50,"41-50",Table1[[#This Row],[Age]]&gt;50,"Over 50")</f>
        <v>Over 50</v>
      </c>
      <c r="C107" t="s">
        <v>43</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t="str" cm="1">
        <f t="array" ref="AH107">_xlfn.IFS(Table1[[#This Row],[YearsAtCompany]]&lt;=2,"0-2 years",Table1[[#This Row],[YearsAtCompany]]&lt;=5,"3-5 years",Table1[[#This Row],[YearsAtCompany]]&lt;=10,"6-10 years",Table1[[#This Row],[YearsAtCompany]]&gt;10,"10+ years")</f>
        <v>3-5 years</v>
      </c>
      <c r="AI107">
        <v>2</v>
      </c>
      <c r="AJ107">
        <v>2</v>
      </c>
      <c r="AK107">
        <v>2</v>
      </c>
      <c r="AL107" t="str" cm="1">
        <f t="array" ref="AL107">_xlfn.IFS(Table1[[#This Row],[JobSatisfaction]]=1,"Low",Table1[[#This Row],[JobSatisfaction]]=2,"Medium",Table1[[#This Row],[JobSatisfaction]]=3,"High",Table1[[#This Row],[JobSatisfaction]]=4,"Very High")</f>
        <v>Very High</v>
      </c>
      <c r="AM107">
        <f>IF(Table1[[#This Row],[Attrition]]="Yes",1,0)</f>
        <v>0</v>
      </c>
    </row>
    <row r="108" spans="1:39" ht="13.8" x14ac:dyDescent="0.25">
      <c r="A108">
        <v>50</v>
      </c>
      <c r="B108" t="str" cm="1">
        <f t="array" ref="B108">_xlfn.IFS(Table1[[#This Row],[Age]]&lt;30,"Under 30",Table1[[#This Row],[Age]]&lt;=40,"30-40",Table1[[#This Row],[Age]]&lt;=50,"41-50",Table1[[#This Row],[Age]]&gt;50,"Over 50")</f>
        <v>41-50</v>
      </c>
      <c r="C108" t="s">
        <v>43</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t="str" cm="1">
        <f t="array" ref="AH108">_xlfn.IFS(Table1[[#This Row],[YearsAtCompany]]&lt;=2,"0-2 years",Table1[[#This Row],[YearsAtCompany]]&lt;=5,"3-5 years",Table1[[#This Row],[YearsAtCompany]]&lt;=10,"6-10 years",Table1[[#This Row],[YearsAtCompany]]&gt;10,"10+ years")</f>
        <v>6-10 years</v>
      </c>
      <c r="AI108">
        <v>3</v>
      </c>
      <c r="AJ108">
        <v>0</v>
      </c>
      <c r="AK108">
        <v>7</v>
      </c>
      <c r="AL108" t="str" cm="1">
        <f t="array" ref="AL108">_xlfn.IFS(Table1[[#This Row],[JobSatisfaction]]=1,"Low",Table1[[#This Row],[JobSatisfaction]]=2,"Medium",Table1[[#This Row],[JobSatisfaction]]=3,"High",Table1[[#This Row],[JobSatisfaction]]=4,"Very High")</f>
        <v>Medium</v>
      </c>
      <c r="AM108">
        <f>IF(Table1[[#This Row],[Attrition]]="Yes",1,0)</f>
        <v>0</v>
      </c>
    </row>
    <row r="109" spans="1:39" ht="13.8" x14ac:dyDescent="0.25">
      <c r="A109">
        <v>25</v>
      </c>
      <c r="B109" t="str" cm="1">
        <f t="array" ref="B109">_xlfn.IFS(Table1[[#This Row],[Age]]&lt;30,"Under 30",Table1[[#This Row],[Age]]&lt;=40,"30-40",Table1[[#This Row],[Age]]&lt;=50,"41-50",Table1[[#This Row],[Age]]&gt;50,"Over 50")</f>
        <v>Under 30</v>
      </c>
      <c r="C109" t="s">
        <v>35</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t="str" cm="1">
        <f t="array" ref="AH109">_xlfn.IFS(Table1[[#This Row],[YearsAtCompany]]&lt;=2,"0-2 years",Table1[[#This Row],[YearsAtCompany]]&lt;=5,"3-5 years",Table1[[#This Row],[YearsAtCompany]]&lt;=10,"6-10 years",Table1[[#This Row],[YearsAtCompany]]&gt;10,"10+ years")</f>
        <v>6-10 years</v>
      </c>
      <c r="AI109">
        <v>4</v>
      </c>
      <c r="AJ109">
        <v>0</v>
      </c>
      <c r="AK109">
        <v>3</v>
      </c>
      <c r="AL109" t="str" cm="1">
        <f t="array" ref="AL109">_xlfn.IFS(Table1[[#This Row],[JobSatisfaction]]=1,"Low",Table1[[#This Row],[JobSatisfaction]]=2,"Medium",Table1[[#This Row],[JobSatisfaction]]=3,"High",Table1[[#This Row],[JobSatisfaction]]=4,"Very High")</f>
        <v>High</v>
      </c>
      <c r="AM109">
        <f>IF(Table1[[#This Row],[Attrition]]="Yes",1,0)</f>
        <v>1</v>
      </c>
    </row>
    <row r="110" spans="1:39" ht="13.8" x14ac:dyDescent="0.25">
      <c r="A110">
        <v>25</v>
      </c>
      <c r="B110" t="str" cm="1">
        <f t="array" ref="B110">_xlfn.IFS(Table1[[#This Row],[Age]]&lt;30,"Under 30",Table1[[#This Row],[Age]]&lt;=40,"30-40",Table1[[#This Row],[Age]]&lt;=50,"41-50",Table1[[#This Row],[Age]]&gt;50,"Over 50")</f>
        <v>Under 30</v>
      </c>
      <c r="C110" t="s">
        <v>43</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t="str" cm="1">
        <f t="array" ref="AH110">_xlfn.IFS(Table1[[#This Row],[YearsAtCompany]]&lt;=2,"0-2 years",Table1[[#This Row],[YearsAtCompany]]&lt;=5,"3-5 years",Table1[[#This Row],[YearsAtCompany]]&lt;=10,"6-10 years",Table1[[#This Row],[YearsAtCompany]]&gt;10,"10+ years")</f>
        <v>0-2 years</v>
      </c>
      <c r="AI110">
        <v>2</v>
      </c>
      <c r="AJ110">
        <v>2</v>
      </c>
      <c r="AK110">
        <v>1</v>
      </c>
      <c r="AL110" t="str" cm="1">
        <f t="array" ref="AL110">_xlfn.IFS(Table1[[#This Row],[JobSatisfaction]]=1,"Low",Table1[[#This Row],[JobSatisfaction]]=2,"Medium",Table1[[#This Row],[JobSatisfaction]]=3,"High",Table1[[#This Row],[JobSatisfaction]]=4,"Very High")</f>
        <v>Very High</v>
      </c>
      <c r="AM110">
        <f>IF(Table1[[#This Row],[Attrition]]="Yes",1,0)</f>
        <v>0</v>
      </c>
    </row>
    <row r="111" spans="1:39" ht="13.8" x14ac:dyDescent="0.25">
      <c r="A111">
        <v>22</v>
      </c>
      <c r="B111" t="str" cm="1">
        <f t="array" ref="B111">_xlfn.IFS(Table1[[#This Row],[Age]]&lt;30,"Under 30",Table1[[#This Row],[Age]]&lt;=40,"30-40",Table1[[#This Row],[Age]]&lt;=50,"41-50",Table1[[#This Row],[Age]]&gt;50,"Over 50")</f>
        <v>Under 30</v>
      </c>
      <c r="C111" t="s">
        <v>43</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t="str" cm="1">
        <f t="array" ref="AH111">_xlfn.IFS(Table1[[#This Row],[YearsAtCompany]]&lt;=2,"0-2 years",Table1[[#This Row],[YearsAtCompany]]&lt;=5,"3-5 years",Table1[[#This Row],[YearsAtCompany]]&lt;=10,"6-10 years",Table1[[#This Row],[YearsAtCompany]]&gt;10,"10+ years")</f>
        <v>0-2 years</v>
      </c>
      <c r="AI111">
        <v>0</v>
      </c>
      <c r="AJ111">
        <v>0</v>
      </c>
      <c r="AK111">
        <v>0</v>
      </c>
      <c r="AL111" t="str" cm="1">
        <f t="array" ref="AL111">_xlfn.IFS(Table1[[#This Row],[JobSatisfaction]]=1,"Low",Table1[[#This Row],[JobSatisfaction]]=2,"Medium",Table1[[#This Row],[JobSatisfaction]]=3,"High",Table1[[#This Row],[JobSatisfaction]]=4,"Very High")</f>
        <v>Very High</v>
      </c>
      <c r="AM111">
        <f>IF(Table1[[#This Row],[Attrition]]="Yes",1,0)</f>
        <v>0</v>
      </c>
    </row>
    <row r="112" spans="1:39" ht="13.8" x14ac:dyDescent="0.25">
      <c r="A112">
        <v>51</v>
      </c>
      <c r="B112" t="str" cm="1">
        <f t="array" ref="B112">_xlfn.IFS(Table1[[#This Row],[Age]]&lt;30,"Under 30",Table1[[#This Row],[Age]]&lt;=40,"30-40",Table1[[#This Row],[Age]]&lt;=50,"41-50",Table1[[#This Row],[Age]]&gt;50,"Over 50")</f>
        <v>Over 50</v>
      </c>
      <c r="C112" t="s">
        <v>43</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t="str" cm="1">
        <f t="array" ref="AH112">_xlfn.IFS(Table1[[#This Row],[YearsAtCompany]]&lt;=2,"0-2 years",Table1[[#This Row],[YearsAtCompany]]&lt;=5,"3-5 years",Table1[[#This Row],[YearsAtCompany]]&lt;=10,"6-10 years",Table1[[#This Row],[YearsAtCompany]]&gt;10,"10+ years")</f>
        <v>10+ years</v>
      </c>
      <c r="AI112">
        <v>12</v>
      </c>
      <c r="AJ112">
        <v>12</v>
      </c>
      <c r="AK112">
        <v>8</v>
      </c>
      <c r="AL112" t="str" cm="1">
        <f t="array" ref="AL112">_xlfn.IFS(Table1[[#This Row],[JobSatisfaction]]=1,"Low",Table1[[#This Row],[JobSatisfaction]]=2,"Medium",Table1[[#This Row],[JobSatisfaction]]=3,"High",Table1[[#This Row],[JobSatisfaction]]=4,"Very High")</f>
        <v>Low</v>
      </c>
      <c r="AM112">
        <f>IF(Table1[[#This Row],[Attrition]]="Yes",1,0)</f>
        <v>0</v>
      </c>
    </row>
    <row r="113" spans="1:39" ht="13.8" x14ac:dyDescent="0.25">
      <c r="A113">
        <v>34</v>
      </c>
      <c r="B113" t="str" cm="1">
        <f t="array" ref="B113">_xlfn.IFS(Table1[[#This Row],[Age]]&lt;30,"Under 30",Table1[[#This Row],[Age]]&lt;=40,"30-40",Table1[[#This Row],[Age]]&lt;=50,"41-50",Table1[[#This Row],[Age]]&gt;50,"Over 50")</f>
        <v>30-40</v>
      </c>
      <c r="C113" t="s">
        <v>35</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t="str" cm="1">
        <f t="array" ref="AH113">_xlfn.IFS(Table1[[#This Row],[YearsAtCompany]]&lt;=2,"0-2 years",Table1[[#This Row],[YearsAtCompany]]&lt;=5,"3-5 years",Table1[[#This Row],[YearsAtCompany]]&lt;=10,"6-10 years",Table1[[#This Row],[YearsAtCompany]]&gt;10,"10+ years")</f>
        <v>6-10 years</v>
      </c>
      <c r="AI113">
        <v>7</v>
      </c>
      <c r="AJ113">
        <v>0</v>
      </c>
      <c r="AK113">
        <v>6</v>
      </c>
      <c r="AL113" t="str" cm="1">
        <f t="array" ref="AL113">_xlfn.IFS(Table1[[#This Row],[JobSatisfaction]]=1,"Low",Table1[[#This Row],[JobSatisfaction]]=2,"Medium",Table1[[#This Row],[JobSatisfaction]]=3,"High",Table1[[#This Row],[JobSatisfaction]]=4,"Very High")</f>
        <v>High</v>
      </c>
      <c r="AM113">
        <f>IF(Table1[[#This Row],[Attrition]]="Yes",1,0)</f>
        <v>1</v>
      </c>
    </row>
    <row r="114" spans="1:39" ht="13.8" x14ac:dyDescent="0.25">
      <c r="A114">
        <v>54</v>
      </c>
      <c r="B114" t="str" cm="1">
        <f t="array" ref="B114">_xlfn.IFS(Table1[[#This Row],[Age]]&lt;30,"Under 30",Table1[[#This Row],[Age]]&lt;=40,"30-40",Table1[[#This Row],[Age]]&lt;=50,"41-50",Table1[[#This Row],[Age]]&gt;50,"Over 50")</f>
        <v>Over 50</v>
      </c>
      <c r="C114" t="s">
        <v>43</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t="str" cm="1">
        <f t="array" ref="AH114">_xlfn.IFS(Table1[[#This Row],[YearsAtCompany]]&lt;=2,"0-2 years",Table1[[#This Row],[YearsAtCompany]]&lt;=5,"3-5 years",Table1[[#This Row],[YearsAtCompany]]&lt;=10,"6-10 years",Table1[[#This Row],[YearsAtCompany]]&gt;10,"10+ years")</f>
        <v>3-5 years</v>
      </c>
      <c r="AI114">
        <v>3</v>
      </c>
      <c r="AJ114">
        <v>4</v>
      </c>
      <c r="AK114">
        <v>4</v>
      </c>
      <c r="AL114" t="str" cm="1">
        <f t="array" ref="AL114">_xlfn.IFS(Table1[[#This Row],[JobSatisfaction]]=1,"Low",Table1[[#This Row],[JobSatisfaction]]=2,"Medium",Table1[[#This Row],[JobSatisfaction]]=3,"High",Table1[[#This Row],[JobSatisfaction]]=4,"Very High")</f>
        <v>Very High</v>
      </c>
      <c r="AM114">
        <f>IF(Table1[[#This Row],[Attrition]]="Yes",1,0)</f>
        <v>0</v>
      </c>
    </row>
    <row r="115" spans="1:39" ht="13.8" x14ac:dyDescent="0.25">
      <c r="A115">
        <v>24</v>
      </c>
      <c r="B115" t="str" cm="1">
        <f t="array" ref="B115">_xlfn.IFS(Table1[[#This Row],[Age]]&lt;30,"Under 30",Table1[[#This Row],[Age]]&lt;=40,"30-40",Table1[[#This Row],[Age]]&lt;=50,"41-50",Table1[[#This Row],[Age]]&gt;50,"Over 50")</f>
        <v>Under 30</v>
      </c>
      <c r="C115" t="s">
        <v>43</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t="str" cm="1">
        <f t="array" ref="AH115">_xlfn.IFS(Table1[[#This Row],[YearsAtCompany]]&lt;=2,"0-2 years",Table1[[#This Row],[YearsAtCompany]]&lt;=5,"3-5 years",Table1[[#This Row],[YearsAtCompany]]&lt;=10,"6-10 years",Table1[[#This Row],[YearsAtCompany]]&gt;10,"10+ years")</f>
        <v>3-5 years</v>
      </c>
      <c r="AI115">
        <v>3</v>
      </c>
      <c r="AJ115">
        <v>1</v>
      </c>
      <c r="AK115">
        <v>2</v>
      </c>
      <c r="AL115" t="str" cm="1">
        <f t="array" ref="AL115">_xlfn.IFS(Table1[[#This Row],[JobSatisfaction]]=1,"Low",Table1[[#This Row],[JobSatisfaction]]=2,"Medium",Table1[[#This Row],[JobSatisfaction]]=3,"High",Table1[[#This Row],[JobSatisfaction]]=4,"Very High")</f>
        <v>High</v>
      </c>
      <c r="AM115">
        <f>IF(Table1[[#This Row],[Attrition]]="Yes",1,0)</f>
        <v>0</v>
      </c>
    </row>
    <row r="116" spans="1:39" ht="13.8" x14ac:dyDescent="0.25">
      <c r="A116">
        <v>34</v>
      </c>
      <c r="B116" t="str" cm="1">
        <f t="array" ref="B116">_xlfn.IFS(Table1[[#This Row],[Age]]&lt;30,"Under 30",Table1[[#This Row],[Age]]&lt;=40,"30-40",Table1[[#This Row],[Age]]&lt;=50,"41-50",Table1[[#This Row],[Age]]&gt;50,"Over 50")</f>
        <v>30-40</v>
      </c>
      <c r="C116" t="s">
        <v>43</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t="str" cm="1">
        <f t="array" ref="AH116">_xlfn.IFS(Table1[[#This Row],[YearsAtCompany]]&lt;=2,"0-2 years",Table1[[#This Row],[YearsAtCompany]]&lt;=5,"3-5 years",Table1[[#This Row],[YearsAtCompany]]&lt;=10,"6-10 years",Table1[[#This Row],[YearsAtCompany]]&gt;10,"10+ years")</f>
        <v>0-2 years</v>
      </c>
      <c r="AI116">
        <v>0</v>
      </c>
      <c r="AJ116">
        <v>0</v>
      </c>
      <c r="AK116">
        <v>0</v>
      </c>
      <c r="AL116" t="str" cm="1">
        <f t="array" ref="AL116">_xlfn.IFS(Table1[[#This Row],[JobSatisfaction]]=1,"Low",Table1[[#This Row],[JobSatisfaction]]=2,"Medium",Table1[[#This Row],[JobSatisfaction]]=3,"High",Table1[[#This Row],[JobSatisfaction]]=4,"Very High")</f>
        <v>Medium</v>
      </c>
      <c r="AM116">
        <f>IF(Table1[[#This Row],[Attrition]]="Yes",1,0)</f>
        <v>0</v>
      </c>
    </row>
    <row r="117" spans="1:39" ht="13.8" x14ac:dyDescent="0.25">
      <c r="A117">
        <v>37</v>
      </c>
      <c r="B117" t="str" cm="1">
        <f t="array" ref="B117">_xlfn.IFS(Table1[[#This Row],[Age]]&lt;30,"Under 30",Table1[[#This Row],[Age]]&lt;=40,"30-40",Table1[[#This Row],[Age]]&lt;=50,"41-50",Table1[[#This Row],[Age]]&gt;50,"Over 50")</f>
        <v>30-40</v>
      </c>
      <c r="C117" t="s">
        <v>43</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t="str" cm="1">
        <f t="array" ref="AH117">_xlfn.IFS(Table1[[#This Row],[YearsAtCompany]]&lt;=2,"0-2 years",Table1[[#This Row],[YearsAtCompany]]&lt;=5,"3-5 years",Table1[[#This Row],[YearsAtCompany]]&lt;=10,"6-10 years",Table1[[#This Row],[YearsAtCompany]]&gt;10,"10+ years")</f>
        <v>3-5 years</v>
      </c>
      <c r="AI117">
        <v>3</v>
      </c>
      <c r="AJ117">
        <v>1</v>
      </c>
      <c r="AK117">
        <v>3</v>
      </c>
      <c r="AL117" t="str" cm="1">
        <f t="array" ref="AL117">_xlfn.IFS(Table1[[#This Row],[JobSatisfaction]]=1,"Low",Table1[[#This Row],[JobSatisfaction]]=2,"Medium",Table1[[#This Row],[JobSatisfaction]]=3,"High",Table1[[#This Row],[JobSatisfaction]]=4,"Very High")</f>
        <v>Very High</v>
      </c>
      <c r="AM117">
        <f>IF(Table1[[#This Row],[Attrition]]="Yes",1,0)</f>
        <v>0</v>
      </c>
    </row>
    <row r="118" spans="1:39" ht="13.8" x14ac:dyDescent="0.25">
      <c r="A118">
        <v>34</v>
      </c>
      <c r="B118" t="str" cm="1">
        <f t="array" ref="B118">_xlfn.IFS(Table1[[#This Row],[Age]]&lt;30,"Under 30",Table1[[#This Row],[Age]]&lt;=40,"30-40",Table1[[#This Row],[Age]]&lt;=50,"41-50",Table1[[#This Row],[Age]]&gt;50,"Over 50")</f>
        <v>30-40</v>
      </c>
      <c r="C118" t="s">
        <v>43</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t="str" cm="1">
        <f t="array" ref="AH118">_xlfn.IFS(Table1[[#This Row],[YearsAtCompany]]&lt;=2,"0-2 years",Table1[[#This Row],[YearsAtCompany]]&lt;=5,"3-5 years",Table1[[#This Row],[YearsAtCompany]]&lt;=10,"6-10 years",Table1[[#This Row],[YearsAtCompany]]&gt;10,"10+ years")</f>
        <v>10+ years</v>
      </c>
      <c r="AI118">
        <v>10</v>
      </c>
      <c r="AJ118">
        <v>5</v>
      </c>
      <c r="AK118">
        <v>8</v>
      </c>
      <c r="AL118" t="str" cm="1">
        <f t="array" ref="AL118">_xlfn.IFS(Table1[[#This Row],[JobSatisfaction]]=1,"Low",Table1[[#This Row],[JobSatisfaction]]=2,"Medium",Table1[[#This Row],[JobSatisfaction]]=3,"High",Table1[[#This Row],[JobSatisfaction]]=4,"Very High")</f>
        <v>Low</v>
      </c>
      <c r="AM118">
        <f>IF(Table1[[#This Row],[Attrition]]="Yes",1,0)</f>
        <v>0</v>
      </c>
    </row>
    <row r="119" spans="1:39" ht="13.8" x14ac:dyDescent="0.25">
      <c r="A119">
        <v>36</v>
      </c>
      <c r="B119" t="str" cm="1">
        <f t="array" ref="B119">_xlfn.IFS(Table1[[#This Row],[Age]]&lt;30,"Under 30",Table1[[#This Row],[Age]]&lt;=40,"30-40",Table1[[#This Row],[Age]]&lt;=50,"41-50",Table1[[#This Row],[Age]]&gt;50,"Over 50")</f>
        <v>30-40</v>
      </c>
      <c r="C119" t="s">
        <v>43</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t="str" cm="1">
        <f t="array" ref="AH119">_xlfn.IFS(Table1[[#This Row],[YearsAtCompany]]&lt;=2,"0-2 years",Table1[[#This Row],[YearsAtCompany]]&lt;=5,"3-5 years",Table1[[#This Row],[YearsAtCompany]]&lt;=10,"6-10 years",Table1[[#This Row],[YearsAtCompany]]&gt;10,"10+ years")</f>
        <v>6-10 years</v>
      </c>
      <c r="AI119">
        <v>7</v>
      </c>
      <c r="AJ119">
        <v>2</v>
      </c>
      <c r="AK119">
        <v>8</v>
      </c>
      <c r="AL119" t="str" cm="1">
        <f t="array" ref="AL119">_xlfn.IFS(Table1[[#This Row],[JobSatisfaction]]=1,"Low",Table1[[#This Row],[JobSatisfaction]]=2,"Medium",Table1[[#This Row],[JobSatisfaction]]=3,"High",Table1[[#This Row],[JobSatisfaction]]=4,"Very High")</f>
        <v>Very High</v>
      </c>
      <c r="AM119">
        <f>IF(Table1[[#This Row],[Attrition]]="Yes",1,0)</f>
        <v>0</v>
      </c>
    </row>
    <row r="120" spans="1:39" ht="13.8" x14ac:dyDescent="0.25">
      <c r="A120">
        <v>36</v>
      </c>
      <c r="B120" t="str" cm="1">
        <f t="array" ref="B120">_xlfn.IFS(Table1[[#This Row],[Age]]&lt;30,"Under 30",Table1[[#This Row],[Age]]&lt;=40,"30-40",Table1[[#This Row],[Age]]&lt;=50,"41-50",Table1[[#This Row],[Age]]&gt;50,"Over 50")</f>
        <v>30-40</v>
      </c>
      <c r="C120" t="s">
        <v>43</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t="str" cm="1">
        <f t="array" ref="AH120">_xlfn.IFS(Table1[[#This Row],[YearsAtCompany]]&lt;=2,"0-2 years",Table1[[#This Row],[YearsAtCompany]]&lt;=5,"3-5 years",Table1[[#This Row],[YearsAtCompany]]&lt;=10,"6-10 years",Table1[[#This Row],[YearsAtCompany]]&gt;10,"10+ years")</f>
        <v>0-2 years</v>
      </c>
      <c r="AI120">
        <v>0</v>
      </c>
      <c r="AJ120">
        <v>0</v>
      </c>
      <c r="AK120">
        <v>0</v>
      </c>
      <c r="AL120" t="str" cm="1">
        <f t="array" ref="AL120">_xlfn.IFS(Table1[[#This Row],[JobSatisfaction]]=1,"Low",Table1[[#This Row],[JobSatisfaction]]=2,"Medium",Table1[[#This Row],[JobSatisfaction]]=3,"High",Table1[[#This Row],[JobSatisfaction]]=4,"Very High")</f>
        <v>Very High</v>
      </c>
      <c r="AM120">
        <f>IF(Table1[[#This Row],[Attrition]]="Yes",1,0)</f>
        <v>0</v>
      </c>
    </row>
    <row r="121" spans="1:39" ht="13.8" x14ac:dyDescent="0.25">
      <c r="A121">
        <v>43</v>
      </c>
      <c r="B121" t="str" cm="1">
        <f t="array" ref="B121">_xlfn.IFS(Table1[[#This Row],[Age]]&lt;30,"Under 30",Table1[[#This Row],[Age]]&lt;=40,"30-40",Table1[[#This Row],[Age]]&lt;=50,"41-50",Table1[[#This Row],[Age]]&gt;50,"Over 50")</f>
        <v>41-50</v>
      </c>
      <c r="C121" t="s">
        <v>43</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t="str" cm="1">
        <f t="array" ref="AH121">_xlfn.IFS(Table1[[#This Row],[YearsAtCompany]]&lt;=2,"0-2 years",Table1[[#This Row],[YearsAtCompany]]&lt;=5,"3-5 years",Table1[[#This Row],[YearsAtCompany]]&lt;=10,"6-10 years",Table1[[#This Row],[YearsAtCompany]]&gt;10,"10+ years")</f>
        <v>10+ years</v>
      </c>
      <c r="AI121">
        <v>12</v>
      </c>
      <c r="AJ121">
        <v>4</v>
      </c>
      <c r="AK121">
        <v>12</v>
      </c>
      <c r="AL121" t="str" cm="1">
        <f t="array" ref="AL121">_xlfn.IFS(Table1[[#This Row],[JobSatisfaction]]=1,"Low",Table1[[#This Row],[JobSatisfaction]]=2,"Medium",Table1[[#This Row],[JobSatisfaction]]=3,"High",Table1[[#This Row],[JobSatisfaction]]=4,"Very High")</f>
        <v>Very High</v>
      </c>
      <c r="AM121">
        <f>IF(Table1[[#This Row],[Attrition]]="Yes",1,0)</f>
        <v>0</v>
      </c>
    </row>
    <row r="122" spans="1:39" ht="13.8" x14ac:dyDescent="0.25">
      <c r="A122">
        <v>30</v>
      </c>
      <c r="B122" t="str" cm="1">
        <f t="array" ref="B122">_xlfn.IFS(Table1[[#This Row],[Age]]&lt;30,"Under 30",Table1[[#This Row],[Age]]&lt;=40,"30-40",Table1[[#This Row],[Age]]&lt;=50,"41-50",Table1[[#This Row],[Age]]&gt;50,"Over 50")</f>
        <v>30-40</v>
      </c>
      <c r="C122" t="s">
        <v>43</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t="str" cm="1">
        <f t="array" ref="AH122">_xlfn.IFS(Table1[[#This Row],[YearsAtCompany]]&lt;=2,"0-2 years",Table1[[#This Row],[YearsAtCompany]]&lt;=5,"3-5 years",Table1[[#This Row],[YearsAtCompany]]&lt;=10,"6-10 years",Table1[[#This Row],[YearsAtCompany]]&gt;10,"10+ years")</f>
        <v>6-10 years</v>
      </c>
      <c r="AI122">
        <v>7</v>
      </c>
      <c r="AJ122">
        <v>0</v>
      </c>
      <c r="AK122">
        <v>9</v>
      </c>
      <c r="AL122" t="str" cm="1">
        <f t="array" ref="AL122">_xlfn.IFS(Table1[[#This Row],[JobSatisfaction]]=1,"Low",Table1[[#This Row],[JobSatisfaction]]=2,"Medium",Table1[[#This Row],[JobSatisfaction]]=3,"High",Table1[[#This Row],[JobSatisfaction]]=4,"Very High")</f>
        <v>High</v>
      </c>
      <c r="AM122">
        <f>IF(Table1[[#This Row],[Attrition]]="Yes",1,0)</f>
        <v>0</v>
      </c>
    </row>
    <row r="123" spans="1:39" ht="13.8" x14ac:dyDescent="0.25">
      <c r="A123">
        <v>33</v>
      </c>
      <c r="B123" t="str" cm="1">
        <f t="array" ref="B123">_xlfn.IFS(Table1[[#This Row],[Age]]&lt;30,"Under 30",Table1[[#This Row],[Age]]&lt;=40,"30-40",Table1[[#This Row],[Age]]&lt;=50,"41-50",Table1[[#This Row],[Age]]&gt;50,"Over 50")</f>
        <v>30-40</v>
      </c>
      <c r="C123" t="s">
        <v>43</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t="str" cm="1">
        <f t="array" ref="AH123">_xlfn.IFS(Table1[[#This Row],[YearsAtCompany]]&lt;=2,"0-2 years",Table1[[#This Row],[YearsAtCompany]]&lt;=5,"3-5 years",Table1[[#This Row],[YearsAtCompany]]&lt;=10,"6-10 years",Table1[[#This Row],[YearsAtCompany]]&gt;10,"10+ years")</f>
        <v>6-10 years</v>
      </c>
      <c r="AI123">
        <v>7</v>
      </c>
      <c r="AJ123">
        <v>0</v>
      </c>
      <c r="AK123">
        <v>7</v>
      </c>
      <c r="AL123" t="str" cm="1">
        <f t="array" ref="AL123">_xlfn.IFS(Table1[[#This Row],[JobSatisfaction]]=1,"Low",Table1[[#This Row],[JobSatisfaction]]=2,"Medium",Table1[[#This Row],[JobSatisfaction]]=3,"High",Table1[[#This Row],[JobSatisfaction]]=4,"Very High")</f>
        <v>Medium</v>
      </c>
      <c r="AM123">
        <f>IF(Table1[[#This Row],[Attrition]]="Yes",1,0)</f>
        <v>0</v>
      </c>
    </row>
    <row r="124" spans="1:39" ht="13.8" x14ac:dyDescent="0.25">
      <c r="A124">
        <v>56</v>
      </c>
      <c r="B124" t="str" cm="1">
        <f t="array" ref="B124">_xlfn.IFS(Table1[[#This Row],[Age]]&lt;30,"Under 30",Table1[[#This Row],[Age]]&lt;=40,"30-40",Table1[[#This Row],[Age]]&lt;=50,"41-50",Table1[[#This Row],[Age]]&gt;50,"Over 50")</f>
        <v>Over 50</v>
      </c>
      <c r="C124" t="s">
        <v>35</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t="str" cm="1">
        <f t="array" ref="AH124">_xlfn.IFS(Table1[[#This Row],[YearsAtCompany]]&lt;=2,"0-2 years",Table1[[#This Row],[YearsAtCompany]]&lt;=5,"3-5 years",Table1[[#This Row],[YearsAtCompany]]&lt;=10,"6-10 years",Table1[[#This Row],[YearsAtCompany]]&gt;10,"10+ years")</f>
        <v>3-5 years</v>
      </c>
      <c r="AI124">
        <v>4</v>
      </c>
      <c r="AJ124">
        <v>4</v>
      </c>
      <c r="AK124">
        <v>3</v>
      </c>
      <c r="AL124" t="str" cm="1">
        <f t="array" ref="AL124">_xlfn.IFS(Table1[[#This Row],[JobSatisfaction]]=1,"Low",Table1[[#This Row],[JobSatisfaction]]=2,"Medium",Table1[[#This Row],[JobSatisfaction]]=3,"High",Table1[[#This Row],[JobSatisfaction]]=4,"Very High")</f>
        <v>Medium</v>
      </c>
      <c r="AM124">
        <f>IF(Table1[[#This Row],[Attrition]]="Yes",1,0)</f>
        <v>1</v>
      </c>
    </row>
    <row r="125" spans="1:39" ht="13.8" x14ac:dyDescent="0.25">
      <c r="A125">
        <v>51</v>
      </c>
      <c r="B125" t="str" cm="1">
        <f t="array" ref="B125">_xlfn.IFS(Table1[[#This Row],[Age]]&lt;30,"Under 30",Table1[[#This Row],[Age]]&lt;=40,"30-40",Table1[[#This Row],[Age]]&lt;=50,"41-50",Table1[[#This Row],[Age]]&gt;50,"Over 50")</f>
        <v>Over 50</v>
      </c>
      <c r="C125" t="s">
        <v>43</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t="str" cm="1">
        <f t="array" ref="AH125">_xlfn.IFS(Table1[[#This Row],[YearsAtCompany]]&lt;=2,"0-2 years",Table1[[#This Row],[YearsAtCompany]]&lt;=5,"3-5 years",Table1[[#This Row],[YearsAtCompany]]&lt;=10,"6-10 years",Table1[[#This Row],[YearsAtCompany]]&gt;10,"10+ years")</f>
        <v>10+ years</v>
      </c>
      <c r="AI125">
        <v>18</v>
      </c>
      <c r="AJ125">
        <v>15</v>
      </c>
      <c r="AK125">
        <v>15</v>
      </c>
      <c r="AL125" t="str" cm="1">
        <f t="array" ref="AL125">_xlfn.IFS(Table1[[#This Row],[JobSatisfaction]]=1,"Low",Table1[[#This Row],[JobSatisfaction]]=2,"Medium",Table1[[#This Row],[JobSatisfaction]]=3,"High",Table1[[#This Row],[JobSatisfaction]]=4,"Very High")</f>
        <v>High</v>
      </c>
      <c r="AM125">
        <f>IF(Table1[[#This Row],[Attrition]]="Yes",1,0)</f>
        <v>0</v>
      </c>
    </row>
    <row r="126" spans="1:39" ht="13.8" x14ac:dyDescent="0.25">
      <c r="A126">
        <v>31</v>
      </c>
      <c r="B126" t="str" cm="1">
        <f t="array" ref="B126">_xlfn.IFS(Table1[[#This Row],[Age]]&lt;30,"Under 30",Table1[[#This Row],[Age]]&lt;=40,"30-40",Table1[[#This Row],[Age]]&lt;=50,"41-50",Table1[[#This Row],[Age]]&gt;50,"Over 50")</f>
        <v>30-40</v>
      </c>
      <c r="C126" t="s">
        <v>35</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t="str" cm="1">
        <f t="array" ref="AH126">_xlfn.IFS(Table1[[#This Row],[YearsAtCompany]]&lt;=2,"0-2 years",Table1[[#This Row],[YearsAtCompany]]&lt;=5,"3-5 years",Table1[[#This Row],[YearsAtCompany]]&lt;=10,"6-10 years",Table1[[#This Row],[YearsAtCompany]]&gt;10,"10+ years")</f>
        <v>6-10 years</v>
      </c>
      <c r="AI126">
        <v>7</v>
      </c>
      <c r="AJ126">
        <v>7</v>
      </c>
      <c r="AK126">
        <v>7</v>
      </c>
      <c r="AL126" t="str" cm="1">
        <f t="array" ref="AL126">_xlfn.IFS(Table1[[#This Row],[JobSatisfaction]]=1,"Low",Table1[[#This Row],[JobSatisfaction]]=2,"Medium",Table1[[#This Row],[JobSatisfaction]]=3,"High",Table1[[#This Row],[JobSatisfaction]]=4,"Very High")</f>
        <v>High</v>
      </c>
      <c r="AM126">
        <f>IF(Table1[[#This Row],[Attrition]]="Yes",1,0)</f>
        <v>1</v>
      </c>
    </row>
    <row r="127" spans="1:39" ht="13.8" x14ac:dyDescent="0.25">
      <c r="A127">
        <v>26</v>
      </c>
      <c r="B127" t="str" cm="1">
        <f t="array" ref="B127">_xlfn.IFS(Table1[[#This Row],[Age]]&lt;30,"Under 30",Table1[[#This Row],[Age]]&lt;=40,"30-40",Table1[[#This Row],[Age]]&lt;=50,"41-50",Table1[[#This Row],[Age]]&gt;50,"Over 50")</f>
        <v>Under 30</v>
      </c>
      <c r="C127" t="s">
        <v>43</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t="str" cm="1">
        <f t="array" ref="AH127">_xlfn.IFS(Table1[[#This Row],[YearsAtCompany]]&lt;=2,"0-2 years",Table1[[#This Row],[YearsAtCompany]]&lt;=5,"3-5 years",Table1[[#This Row],[YearsAtCompany]]&lt;=10,"6-10 years",Table1[[#This Row],[YearsAtCompany]]&gt;10,"10+ years")</f>
        <v>3-5 years</v>
      </c>
      <c r="AI127">
        <v>4</v>
      </c>
      <c r="AJ127">
        <v>4</v>
      </c>
      <c r="AK127">
        <v>3</v>
      </c>
      <c r="AL127" t="str" cm="1">
        <f t="array" ref="AL127">_xlfn.IFS(Table1[[#This Row],[JobSatisfaction]]=1,"Low",Table1[[#This Row],[JobSatisfaction]]=2,"Medium",Table1[[#This Row],[JobSatisfaction]]=3,"High",Table1[[#This Row],[JobSatisfaction]]=4,"Very High")</f>
        <v>Medium</v>
      </c>
      <c r="AM127">
        <f>IF(Table1[[#This Row],[Attrition]]="Yes",1,0)</f>
        <v>0</v>
      </c>
    </row>
    <row r="128" spans="1:39" ht="13.8" x14ac:dyDescent="0.25">
      <c r="A128">
        <v>58</v>
      </c>
      <c r="B128" t="str" cm="1">
        <f t="array" ref="B128">_xlfn.IFS(Table1[[#This Row],[Age]]&lt;30,"Under 30",Table1[[#This Row],[Age]]&lt;=40,"30-40",Table1[[#This Row],[Age]]&lt;=50,"41-50",Table1[[#This Row],[Age]]&gt;50,"Over 50")</f>
        <v>Over 50</v>
      </c>
      <c r="C128" t="s">
        <v>35</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t="str" cm="1">
        <f t="array" ref="AH128">_xlfn.IFS(Table1[[#This Row],[YearsAtCompany]]&lt;=2,"0-2 years",Table1[[#This Row],[YearsAtCompany]]&lt;=5,"3-5 years",Table1[[#This Row],[YearsAtCompany]]&lt;=10,"6-10 years",Table1[[#This Row],[YearsAtCompany]]&gt;10,"10+ years")</f>
        <v>10+ years</v>
      </c>
      <c r="AI128">
        <v>10</v>
      </c>
      <c r="AJ128">
        <v>15</v>
      </c>
      <c r="AK128">
        <v>6</v>
      </c>
      <c r="AL128" t="str" cm="1">
        <f t="array" ref="AL128">_xlfn.IFS(Table1[[#This Row],[JobSatisfaction]]=1,"Low",Table1[[#This Row],[JobSatisfaction]]=2,"Medium",Table1[[#This Row],[JobSatisfaction]]=3,"High",Table1[[#This Row],[JobSatisfaction]]=4,"Very High")</f>
        <v>Very High</v>
      </c>
      <c r="AM128">
        <f>IF(Table1[[#This Row],[Attrition]]="Yes",1,0)</f>
        <v>1</v>
      </c>
    </row>
    <row r="129" spans="1:39" ht="13.8" x14ac:dyDescent="0.25">
      <c r="A129">
        <v>19</v>
      </c>
      <c r="B129" t="str" cm="1">
        <f t="array" ref="B129">_xlfn.IFS(Table1[[#This Row],[Age]]&lt;30,"Under 30",Table1[[#This Row],[Age]]&lt;=40,"30-40",Table1[[#This Row],[Age]]&lt;=50,"41-50",Table1[[#This Row],[Age]]&gt;50,"Over 50")</f>
        <v>Under 30</v>
      </c>
      <c r="C129" t="s">
        <v>35</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t="str" cm="1">
        <f t="array" ref="AH129">_xlfn.IFS(Table1[[#This Row],[YearsAtCompany]]&lt;=2,"0-2 years",Table1[[#This Row],[YearsAtCompany]]&lt;=5,"3-5 years",Table1[[#This Row],[YearsAtCompany]]&lt;=10,"6-10 years",Table1[[#This Row],[YearsAtCompany]]&gt;10,"10+ years")</f>
        <v>0-2 years</v>
      </c>
      <c r="AI129">
        <v>0</v>
      </c>
      <c r="AJ129">
        <v>0</v>
      </c>
      <c r="AK129">
        <v>0</v>
      </c>
      <c r="AL129" t="str" cm="1">
        <f t="array" ref="AL129">_xlfn.IFS(Table1[[#This Row],[JobSatisfaction]]=1,"Low",Table1[[#This Row],[JobSatisfaction]]=2,"Medium",Table1[[#This Row],[JobSatisfaction]]=3,"High",Table1[[#This Row],[JobSatisfaction]]=4,"Very High")</f>
        <v>High</v>
      </c>
      <c r="AM129">
        <f>IF(Table1[[#This Row],[Attrition]]="Yes",1,0)</f>
        <v>1</v>
      </c>
    </row>
    <row r="130" spans="1:39" ht="13.8" x14ac:dyDescent="0.25">
      <c r="A130">
        <v>22</v>
      </c>
      <c r="B130" t="str" cm="1">
        <f t="array" ref="B130">_xlfn.IFS(Table1[[#This Row],[Age]]&lt;30,"Under 30",Table1[[#This Row],[Age]]&lt;=40,"30-40",Table1[[#This Row],[Age]]&lt;=50,"41-50",Table1[[#This Row],[Age]]&gt;50,"Over 50")</f>
        <v>Under 30</v>
      </c>
      <c r="C130" t="s">
        <v>43</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t="str" cm="1">
        <f t="array" ref="AH130">_xlfn.IFS(Table1[[#This Row],[YearsAtCompany]]&lt;=2,"0-2 years",Table1[[#This Row],[YearsAtCompany]]&lt;=5,"3-5 years",Table1[[#This Row],[YearsAtCompany]]&lt;=10,"6-10 years",Table1[[#This Row],[YearsAtCompany]]&gt;10,"10+ years")</f>
        <v>0-2 years</v>
      </c>
      <c r="AI130">
        <v>1</v>
      </c>
      <c r="AJ130">
        <v>2</v>
      </c>
      <c r="AK130">
        <v>1</v>
      </c>
      <c r="AL130" t="str" cm="1">
        <f t="array" ref="AL130">_xlfn.IFS(Table1[[#This Row],[JobSatisfaction]]=1,"Low",Table1[[#This Row],[JobSatisfaction]]=2,"Medium",Table1[[#This Row],[JobSatisfaction]]=3,"High",Table1[[#This Row],[JobSatisfaction]]=4,"Very High")</f>
        <v>Very High</v>
      </c>
      <c r="AM130">
        <f>IF(Table1[[#This Row],[Attrition]]="Yes",1,0)</f>
        <v>0</v>
      </c>
    </row>
    <row r="131" spans="1:39" ht="13.8" x14ac:dyDescent="0.25">
      <c r="A131">
        <v>49</v>
      </c>
      <c r="B131" t="str" cm="1">
        <f t="array" ref="B131">_xlfn.IFS(Table1[[#This Row],[Age]]&lt;30,"Under 30",Table1[[#This Row],[Age]]&lt;=40,"30-40",Table1[[#This Row],[Age]]&lt;=50,"41-50",Table1[[#This Row],[Age]]&gt;50,"Over 50")</f>
        <v>41-50</v>
      </c>
      <c r="C131" t="s">
        <v>43</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t="str" cm="1">
        <f t="array" ref="AH131">_xlfn.IFS(Table1[[#This Row],[YearsAtCompany]]&lt;=2,"0-2 years",Table1[[#This Row],[YearsAtCompany]]&lt;=5,"3-5 years",Table1[[#This Row],[YearsAtCompany]]&lt;=10,"6-10 years",Table1[[#This Row],[YearsAtCompany]]&gt;10,"10+ years")</f>
        <v>10+ years</v>
      </c>
      <c r="AI131">
        <v>11</v>
      </c>
      <c r="AJ131">
        <v>5</v>
      </c>
      <c r="AK131">
        <v>11</v>
      </c>
      <c r="AL131" t="str" cm="1">
        <f t="array" ref="AL131">_xlfn.IFS(Table1[[#This Row],[JobSatisfaction]]=1,"Low",Table1[[#This Row],[JobSatisfaction]]=2,"Medium",Table1[[#This Row],[JobSatisfaction]]=3,"High",Table1[[#This Row],[JobSatisfaction]]=4,"Very High")</f>
        <v>Low</v>
      </c>
      <c r="AM131">
        <f>IF(Table1[[#This Row],[Attrition]]="Yes",1,0)</f>
        <v>0</v>
      </c>
    </row>
    <row r="132" spans="1:39" ht="13.8" x14ac:dyDescent="0.25">
      <c r="A132">
        <v>43</v>
      </c>
      <c r="B132" t="str" cm="1">
        <f t="array" ref="B132">_xlfn.IFS(Table1[[#This Row],[Age]]&lt;30,"Under 30",Table1[[#This Row],[Age]]&lt;=40,"30-40",Table1[[#This Row],[Age]]&lt;=50,"41-50",Table1[[#This Row],[Age]]&gt;50,"Over 50")</f>
        <v>41-50</v>
      </c>
      <c r="C132" t="s">
        <v>43</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t="str" cm="1">
        <f t="array" ref="AH132">_xlfn.IFS(Table1[[#This Row],[YearsAtCompany]]&lt;=2,"0-2 years",Table1[[#This Row],[YearsAtCompany]]&lt;=5,"3-5 years",Table1[[#This Row],[YearsAtCompany]]&lt;=10,"6-10 years",Table1[[#This Row],[YearsAtCompany]]&gt;10,"10+ years")</f>
        <v>3-5 years</v>
      </c>
      <c r="AI132">
        <v>2</v>
      </c>
      <c r="AJ132">
        <v>1</v>
      </c>
      <c r="AK132">
        <v>2</v>
      </c>
      <c r="AL132" t="str" cm="1">
        <f t="array" ref="AL132">_xlfn.IFS(Table1[[#This Row],[JobSatisfaction]]=1,"Low",Table1[[#This Row],[JobSatisfaction]]=2,"Medium",Table1[[#This Row],[JobSatisfaction]]=3,"High",Table1[[#This Row],[JobSatisfaction]]=4,"Very High")</f>
        <v>High</v>
      </c>
      <c r="AM132">
        <f>IF(Table1[[#This Row],[Attrition]]="Yes",1,0)</f>
        <v>0</v>
      </c>
    </row>
    <row r="133" spans="1:39" ht="13.8" x14ac:dyDescent="0.25">
      <c r="A133">
        <v>50</v>
      </c>
      <c r="B133" t="str" cm="1">
        <f t="array" ref="B133">_xlfn.IFS(Table1[[#This Row],[Age]]&lt;30,"Under 30",Table1[[#This Row],[Age]]&lt;=40,"30-40",Table1[[#This Row],[Age]]&lt;=50,"41-50",Table1[[#This Row],[Age]]&gt;50,"Over 50")</f>
        <v>41-50</v>
      </c>
      <c r="C133" t="s">
        <v>43</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t="str" cm="1">
        <f t="array" ref="AH133">_xlfn.IFS(Table1[[#This Row],[YearsAtCompany]]&lt;=2,"0-2 years",Table1[[#This Row],[YearsAtCompany]]&lt;=5,"3-5 years",Table1[[#This Row],[YearsAtCompany]]&lt;=10,"6-10 years",Table1[[#This Row],[YearsAtCompany]]&gt;10,"10+ years")</f>
        <v>0-2 years</v>
      </c>
      <c r="AI133">
        <v>2</v>
      </c>
      <c r="AJ133">
        <v>2</v>
      </c>
      <c r="AK133">
        <v>1</v>
      </c>
      <c r="AL133" t="str" cm="1">
        <f t="array" ref="AL133">_xlfn.IFS(Table1[[#This Row],[JobSatisfaction]]=1,"Low",Table1[[#This Row],[JobSatisfaction]]=2,"Medium",Table1[[#This Row],[JobSatisfaction]]=3,"High",Table1[[#This Row],[JobSatisfaction]]=4,"Very High")</f>
        <v>Very High</v>
      </c>
      <c r="AM133">
        <f>IF(Table1[[#This Row],[Attrition]]="Yes",1,0)</f>
        <v>0</v>
      </c>
    </row>
    <row r="134" spans="1:39" ht="13.8" x14ac:dyDescent="0.25">
      <c r="A134">
        <v>31</v>
      </c>
      <c r="B134" t="str" cm="1">
        <f t="array" ref="B134">_xlfn.IFS(Table1[[#This Row],[Age]]&lt;30,"Under 30",Table1[[#This Row],[Age]]&lt;=40,"30-40",Table1[[#This Row],[Age]]&lt;=50,"41-50",Table1[[#This Row],[Age]]&gt;50,"Over 50")</f>
        <v>30-40</v>
      </c>
      <c r="C134" t="s">
        <v>35</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t="str" cm="1">
        <f t="array" ref="AH134">_xlfn.IFS(Table1[[#This Row],[YearsAtCompany]]&lt;=2,"0-2 years",Table1[[#This Row],[YearsAtCompany]]&lt;=5,"3-5 years",Table1[[#This Row],[YearsAtCompany]]&lt;=10,"6-10 years",Table1[[#This Row],[YearsAtCompany]]&gt;10,"10+ years")</f>
        <v>0-2 years</v>
      </c>
      <c r="AI134">
        <v>2</v>
      </c>
      <c r="AJ134">
        <v>2</v>
      </c>
      <c r="AK134">
        <v>2</v>
      </c>
      <c r="AL134" t="str" cm="1">
        <f t="array" ref="AL134">_xlfn.IFS(Table1[[#This Row],[JobSatisfaction]]=1,"Low",Table1[[#This Row],[JobSatisfaction]]=2,"Medium",Table1[[#This Row],[JobSatisfaction]]=3,"High",Table1[[#This Row],[JobSatisfaction]]=4,"Very High")</f>
        <v>High</v>
      </c>
      <c r="AM134">
        <f>IF(Table1[[#This Row],[Attrition]]="Yes",1,0)</f>
        <v>1</v>
      </c>
    </row>
    <row r="135" spans="1:39" ht="13.8" x14ac:dyDescent="0.25">
      <c r="A135">
        <v>41</v>
      </c>
      <c r="B135" t="str" cm="1">
        <f t="array" ref="B135">_xlfn.IFS(Table1[[#This Row],[Age]]&lt;30,"Under 30",Table1[[#This Row],[Age]]&lt;=40,"30-40",Table1[[#This Row],[Age]]&lt;=50,"41-50",Table1[[#This Row],[Age]]&gt;50,"Over 50")</f>
        <v>41-50</v>
      </c>
      <c r="C135" t="s">
        <v>43</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t="str" cm="1">
        <f t="array" ref="AH135">_xlfn.IFS(Table1[[#This Row],[YearsAtCompany]]&lt;=2,"0-2 years",Table1[[#This Row],[YearsAtCompany]]&lt;=5,"3-5 years",Table1[[#This Row],[YearsAtCompany]]&lt;=10,"6-10 years",Table1[[#This Row],[YearsAtCompany]]&gt;10,"10+ years")</f>
        <v>6-10 years</v>
      </c>
      <c r="AI135">
        <v>7</v>
      </c>
      <c r="AJ135">
        <v>0</v>
      </c>
      <c r="AK135">
        <v>7</v>
      </c>
      <c r="AL135" t="str" cm="1">
        <f t="array" ref="AL135">_xlfn.IFS(Table1[[#This Row],[JobSatisfaction]]=1,"Low",Table1[[#This Row],[JobSatisfaction]]=2,"Medium",Table1[[#This Row],[JobSatisfaction]]=3,"High",Table1[[#This Row],[JobSatisfaction]]=4,"Very High")</f>
        <v>High</v>
      </c>
      <c r="AM135">
        <f>IF(Table1[[#This Row],[Attrition]]="Yes",1,0)</f>
        <v>0</v>
      </c>
    </row>
    <row r="136" spans="1:39" ht="13.8" x14ac:dyDescent="0.25">
      <c r="A136">
        <v>26</v>
      </c>
      <c r="B136" t="str" cm="1">
        <f t="array" ref="B136">_xlfn.IFS(Table1[[#This Row],[Age]]&lt;30,"Under 30",Table1[[#This Row],[Age]]&lt;=40,"30-40",Table1[[#This Row],[Age]]&lt;=50,"41-50",Table1[[#This Row],[Age]]&gt;50,"Over 50")</f>
        <v>Under 30</v>
      </c>
      <c r="C136" t="s">
        <v>43</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t="str" cm="1">
        <f t="array" ref="AH136">_xlfn.IFS(Table1[[#This Row],[YearsAtCompany]]&lt;=2,"0-2 years",Table1[[#This Row],[YearsAtCompany]]&lt;=5,"3-5 years",Table1[[#This Row],[YearsAtCompany]]&lt;=10,"6-10 years",Table1[[#This Row],[YearsAtCompany]]&gt;10,"10+ years")</f>
        <v>6-10 years</v>
      </c>
      <c r="AI136">
        <v>7</v>
      </c>
      <c r="AJ136">
        <v>5</v>
      </c>
      <c r="AK136">
        <v>7</v>
      </c>
      <c r="AL136" t="str" cm="1">
        <f t="array" ref="AL136">_xlfn.IFS(Table1[[#This Row],[JobSatisfaction]]=1,"Low",Table1[[#This Row],[JobSatisfaction]]=2,"Medium",Table1[[#This Row],[JobSatisfaction]]=3,"High",Table1[[#This Row],[JobSatisfaction]]=4,"Very High")</f>
        <v>High</v>
      </c>
      <c r="AM136">
        <f>IF(Table1[[#This Row],[Attrition]]="Yes",1,0)</f>
        <v>0</v>
      </c>
    </row>
    <row r="137" spans="1:39" ht="13.8" x14ac:dyDescent="0.25">
      <c r="A137">
        <v>36</v>
      </c>
      <c r="B137" t="str" cm="1">
        <f t="array" ref="B137">_xlfn.IFS(Table1[[#This Row],[Age]]&lt;30,"Under 30",Table1[[#This Row],[Age]]&lt;=40,"30-40",Table1[[#This Row],[Age]]&lt;=50,"41-50",Table1[[#This Row],[Age]]&gt;50,"Over 50")</f>
        <v>30-40</v>
      </c>
      <c r="C137" t="s">
        <v>43</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t="str" cm="1">
        <f t="array" ref="AH137">_xlfn.IFS(Table1[[#This Row],[YearsAtCompany]]&lt;=2,"0-2 years",Table1[[#This Row],[YearsAtCompany]]&lt;=5,"3-5 years",Table1[[#This Row],[YearsAtCompany]]&lt;=10,"6-10 years",Table1[[#This Row],[YearsAtCompany]]&gt;10,"10+ years")</f>
        <v>3-5 years</v>
      </c>
      <c r="AI137">
        <v>2</v>
      </c>
      <c r="AJ137">
        <v>0</v>
      </c>
      <c r="AK137">
        <v>1</v>
      </c>
      <c r="AL137" t="str" cm="1">
        <f t="array" ref="AL137">_xlfn.IFS(Table1[[#This Row],[JobSatisfaction]]=1,"Low",Table1[[#This Row],[JobSatisfaction]]=2,"Medium",Table1[[#This Row],[JobSatisfaction]]=3,"High",Table1[[#This Row],[JobSatisfaction]]=4,"Very High")</f>
        <v>Medium</v>
      </c>
      <c r="AM137">
        <f>IF(Table1[[#This Row],[Attrition]]="Yes",1,0)</f>
        <v>0</v>
      </c>
    </row>
    <row r="138" spans="1:39" ht="13.8" x14ac:dyDescent="0.25">
      <c r="A138">
        <v>51</v>
      </c>
      <c r="B138" t="str" cm="1">
        <f t="array" ref="B138">_xlfn.IFS(Table1[[#This Row],[Age]]&lt;30,"Under 30",Table1[[#This Row],[Age]]&lt;=40,"30-40",Table1[[#This Row],[Age]]&lt;=50,"41-50",Table1[[#This Row],[Age]]&gt;50,"Over 50")</f>
        <v>Over 50</v>
      </c>
      <c r="C138" t="s">
        <v>35</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t="str" cm="1">
        <f t="array" ref="AH138">_xlfn.IFS(Table1[[#This Row],[YearsAtCompany]]&lt;=2,"0-2 years",Table1[[#This Row],[YearsAtCompany]]&lt;=5,"3-5 years",Table1[[#This Row],[YearsAtCompany]]&lt;=10,"6-10 years",Table1[[#This Row],[YearsAtCompany]]&gt;10,"10+ years")</f>
        <v>3-5 years</v>
      </c>
      <c r="AI138">
        <v>2</v>
      </c>
      <c r="AJ138">
        <v>0</v>
      </c>
      <c r="AK138">
        <v>3</v>
      </c>
      <c r="AL138" t="str" cm="1">
        <f t="array" ref="AL138">_xlfn.IFS(Table1[[#This Row],[JobSatisfaction]]=1,"Low",Table1[[#This Row],[JobSatisfaction]]=2,"Medium",Table1[[#This Row],[JobSatisfaction]]=3,"High",Table1[[#This Row],[JobSatisfaction]]=4,"Very High")</f>
        <v>Very High</v>
      </c>
      <c r="AM138">
        <f>IF(Table1[[#This Row],[Attrition]]="Yes",1,0)</f>
        <v>1</v>
      </c>
    </row>
    <row r="139" spans="1:39" ht="13.8" x14ac:dyDescent="0.25">
      <c r="A139">
        <v>39</v>
      </c>
      <c r="B139" t="str" cm="1">
        <f t="array" ref="B139">_xlfn.IFS(Table1[[#This Row],[Age]]&lt;30,"Under 30",Table1[[#This Row],[Age]]&lt;=40,"30-40",Table1[[#This Row],[Age]]&lt;=50,"41-50",Table1[[#This Row],[Age]]&gt;50,"Over 50")</f>
        <v>30-40</v>
      </c>
      <c r="C139" t="s">
        <v>43</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t="str" cm="1">
        <f t="array" ref="AH139">_xlfn.IFS(Table1[[#This Row],[YearsAtCompany]]&lt;=2,"0-2 years",Table1[[#This Row],[YearsAtCompany]]&lt;=5,"3-5 years",Table1[[#This Row],[YearsAtCompany]]&lt;=10,"6-10 years",Table1[[#This Row],[YearsAtCompany]]&gt;10,"10+ years")</f>
        <v>10+ years</v>
      </c>
      <c r="AI139">
        <v>11</v>
      </c>
      <c r="AJ139">
        <v>5</v>
      </c>
      <c r="AK139">
        <v>9</v>
      </c>
      <c r="AL139" t="str" cm="1">
        <f t="array" ref="AL139">_xlfn.IFS(Table1[[#This Row],[JobSatisfaction]]=1,"Low",Table1[[#This Row],[JobSatisfaction]]=2,"Medium",Table1[[#This Row],[JobSatisfaction]]=3,"High",Table1[[#This Row],[JobSatisfaction]]=4,"Very High")</f>
        <v>High</v>
      </c>
      <c r="AM139">
        <f>IF(Table1[[#This Row],[Attrition]]="Yes",1,0)</f>
        <v>0</v>
      </c>
    </row>
    <row r="140" spans="1:39" ht="13.8" x14ac:dyDescent="0.25">
      <c r="A140">
        <v>25</v>
      </c>
      <c r="B140" t="str" cm="1">
        <f t="array" ref="B140">_xlfn.IFS(Table1[[#This Row],[Age]]&lt;30,"Under 30",Table1[[#This Row],[Age]]&lt;=40,"30-40",Table1[[#This Row],[Age]]&lt;=50,"41-50",Table1[[#This Row],[Age]]&gt;50,"Over 50")</f>
        <v>Under 30</v>
      </c>
      <c r="C140" t="s">
        <v>43</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t="str" cm="1">
        <f t="array" ref="AH140">_xlfn.IFS(Table1[[#This Row],[YearsAtCompany]]&lt;=2,"0-2 years",Table1[[#This Row],[YearsAtCompany]]&lt;=5,"3-5 years",Table1[[#This Row],[YearsAtCompany]]&lt;=10,"6-10 years",Table1[[#This Row],[YearsAtCompany]]&gt;10,"10+ years")</f>
        <v>0-2 years</v>
      </c>
      <c r="AI140">
        <v>2</v>
      </c>
      <c r="AJ140">
        <v>2</v>
      </c>
      <c r="AK140">
        <v>2</v>
      </c>
      <c r="AL140" t="str" cm="1">
        <f t="array" ref="AL140">_xlfn.IFS(Table1[[#This Row],[JobSatisfaction]]=1,"Low",Table1[[#This Row],[JobSatisfaction]]=2,"Medium",Table1[[#This Row],[JobSatisfaction]]=3,"High",Table1[[#This Row],[JobSatisfaction]]=4,"Very High")</f>
        <v>High</v>
      </c>
      <c r="AM140">
        <f>IF(Table1[[#This Row],[Attrition]]="Yes",1,0)</f>
        <v>0</v>
      </c>
    </row>
    <row r="141" spans="1:39" ht="13.8" x14ac:dyDescent="0.25">
      <c r="A141">
        <v>30</v>
      </c>
      <c r="B141" t="str" cm="1">
        <f t="array" ref="B141">_xlfn.IFS(Table1[[#This Row],[Age]]&lt;30,"Under 30",Table1[[#This Row],[Age]]&lt;=40,"30-40",Table1[[#This Row],[Age]]&lt;=50,"41-50",Table1[[#This Row],[Age]]&gt;50,"Over 50")</f>
        <v>30-40</v>
      </c>
      <c r="C141" t="s">
        <v>43</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t="str" cm="1">
        <f t="array" ref="AH141">_xlfn.IFS(Table1[[#This Row],[YearsAtCompany]]&lt;=2,"0-2 years",Table1[[#This Row],[YearsAtCompany]]&lt;=5,"3-5 years",Table1[[#This Row],[YearsAtCompany]]&lt;=10,"6-10 years",Table1[[#This Row],[YearsAtCompany]]&gt;10,"10+ years")</f>
        <v>10+ years</v>
      </c>
      <c r="AI141">
        <v>9</v>
      </c>
      <c r="AJ141">
        <v>4</v>
      </c>
      <c r="AK141">
        <v>7</v>
      </c>
      <c r="AL141" t="str" cm="1">
        <f t="array" ref="AL141">_xlfn.IFS(Table1[[#This Row],[JobSatisfaction]]=1,"Low",Table1[[#This Row],[JobSatisfaction]]=2,"Medium",Table1[[#This Row],[JobSatisfaction]]=3,"High",Table1[[#This Row],[JobSatisfaction]]=4,"Very High")</f>
        <v>Very High</v>
      </c>
      <c r="AM141">
        <f>IF(Table1[[#This Row],[Attrition]]="Yes",1,0)</f>
        <v>0</v>
      </c>
    </row>
    <row r="142" spans="1:39" ht="13.8" x14ac:dyDescent="0.25">
      <c r="A142">
        <v>32</v>
      </c>
      <c r="B142" t="str" cm="1">
        <f t="array" ref="B142">_xlfn.IFS(Table1[[#This Row],[Age]]&lt;30,"Under 30",Table1[[#This Row],[Age]]&lt;=40,"30-40",Table1[[#This Row],[Age]]&lt;=50,"41-50",Table1[[#This Row],[Age]]&gt;50,"Over 50")</f>
        <v>30-40</v>
      </c>
      <c r="C142" t="s">
        <v>35</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t="str" cm="1">
        <f t="array" ref="AH142">_xlfn.IFS(Table1[[#This Row],[YearsAtCompany]]&lt;=2,"0-2 years",Table1[[#This Row],[YearsAtCompany]]&lt;=5,"3-5 years",Table1[[#This Row],[YearsAtCompany]]&lt;=10,"6-10 years",Table1[[#This Row],[YearsAtCompany]]&gt;10,"10+ years")</f>
        <v>3-5 years</v>
      </c>
      <c r="AI142">
        <v>4</v>
      </c>
      <c r="AJ142">
        <v>0</v>
      </c>
      <c r="AK142">
        <v>4</v>
      </c>
      <c r="AL142" t="str" cm="1">
        <f t="array" ref="AL142">_xlfn.IFS(Table1[[#This Row],[JobSatisfaction]]=1,"Low",Table1[[#This Row],[JobSatisfaction]]=2,"Medium",Table1[[#This Row],[JobSatisfaction]]=3,"High",Table1[[#This Row],[JobSatisfaction]]=4,"Very High")</f>
        <v>Low</v>
      </c>
      <c r="AM142">
        <f>IF(Table1[[#This Row],[Attrition]]="Yes",1,0)</f>
        <v>1</v>
      </c>
    </row>
    <row r="143" spans="1:39" ht="13.8" x14ac:dyDescent="0.25">
      <c r="A143">
        <v>45</v>
      </c>
      <c r="B143" t="str" cm="1">
        <f t="array" ref="B143">_xlfn.IFS(Table1[[#This Row],[Age]]&lt;30,"Under 30",Table1[[#This Row],[Age]]&lt;=40,"30-40",Table1[[#This Row],[Age]]&lt;=50,"41-50",Table1[[#This Row],[Age]]&gt;50,"Over 50")</f>
        <v>41-50</v>
      </c>
      <c r="C143" t="s">
        <v>43</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t="str" cm="1">
        <f t="array" ref="AH143">_xlfn.IFS(Table1[[#This Row],[YearsAtCompany]]&lt;=2,"0-2 years",Table1[[#This Row],[YearsAtCompany]]&lt;=5,"3-5 years",Table1[[#This Row],[YearsAtCompany]]&lt;=10,"6-10 years",Table1[[#This Row],[YearsAtCompany]]&gt;10,"10+ years")</f>
        <v>6-10 years</v>
      </c>
      <c r="AI143">
        <v>5</v>
      </c>
      <c r="AJ143">
        <v>0</v>
      </c>
      <c r="AK143">
        <v>3</v>
      </c>
      <c r="AL143" t="str" cm="1">
        <f t="array" ref="AL143">_xlfn.IFS(Table1[[#This Row],[JobSatisfaction]]=1,"Low",Table1[[#This Row],[JobSatisfaction]]=2,"Medium",Table1[[#This Row],[JobSatisfaction]]=3,"High",Table1[[#This Row],[JobSatisfaction]]=4,"Very High")</f>
        <v>Very High</v>
      </c>
      <c r="AM143">
        <f>IF(Table1[[#This Row],[Attrition]]="Yes",1,0)</f>
        <v>0</v>
      </c>
    </row>
    <row r="144" spans="1:39" ht="13.8" x14ac:dyDescent="0.25">
      <c r="A144">
        <v>38</v>
      </c>
      <c r="B144" t="str" cm="1">
        <f t="array" ref="B144">_xlfn.IFS(Table1[[#This Row],[Age]]&lt;30,"Under 30",Table1[[#This Row],[Age]]&lt;=40,"30-40",Table1[[#This Row],[Age]]&lt;=50,"41-50",Table1[[#This Row],[Age]]&gt;50,"Over 50")</f>
        <v>30-40</v>
      </c>
      <c r="C144" t="s">
        <v>43</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t="str" cm="1">
        <f t="array" ref="AH144">_xlfn.IFS(Table1[[#This Row],[YearsAtCompany]]&lt;=2,"0-2 years",Table1[[#This Row],[YearsAtCompany]]&lt;=5,"3-5 years",Table1[[#This Row],[YearsAtCompany]]&lt;=10,"6-10 years",Table1[[#This Row],[YearsAtCompany]]&gt;10,"10+ years")</f>
        <v>3-5 years</v>
      </c>
      <c r="AI144">
        <v>2</v>
      </c>
      <c r="AJ144">
        <v>2</v>
      </c>
      <c r="AK144">
        <v>2</v>
      </c>
      <c r="AL144" t="str" cm="1">
        <f t="array" ref="AL144">_xlfn.IFS(Table1[[#This Row],[JobSatisfaction]]=1,"Low",Table1[[#This Row],[JobSatisfaction]]=2,"Medium",Table1[[#This Row],[JobSatisfaction]]=3,"High",Table1[[#This Row],[JobSatisfaction]]=4,"Very High")</f>
        <v>High</v>
      </c>
      <c r="AM144">
        <f>IF(Table1[[#This Row],[Attrition]]="Yes",1,0)</f>
        <v>0</v>
      </c>
    </row>
    <row r="145" spans="1:39" ht="13.8" x14ac:dyDescent="0.25">
      <c r="A145">
        <v>30</v>
      </c>
      <c r="B145" t="str" cm="1">
        <f t="array" ref="B145">_xlfn.IFS(Table1[[#This Row],[Age]]&lt;30,"Under 30",Table1[[#This Row],[Age]]&lt;=40,"30-40",Table1[[#This Row],[Age]]&lt;=50,"41-50",Table1[[#This Row],[Age]]&gt;50,"Over 50")</f>
        <v>30-40</v>
      </c>
      <c r="C145" t="s">
        <v>43</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t="str" cm="1">
        <f t="array" ref="AH145">_xlfn.IFS(Table1[[#This Row],[YearsAtCompany]]&lt;=2,"0-2 years",Table1[[#This Row],[YearsAtCompany]]&lt;=5,"3-5 years",Table1[[#This Row],[YearsAtCompany]]&lt;=10,"6-10 years",Table1[[#This Row],[YearsAtCompany]]&gt;10,"10+ years")</f>
        <v>3-5 years</v>
      </c>
      <c r="AI145">
        <v>4</v>
      </c>
      <c r="AJ145">
        <v>0</v>
      </c>
      <c r="AK145">
        <v>4</v>
      </c>
      <c r="AL145" t="str" cm="1">
        <f t="array" ref="AL145">_xlfn.IFS(Table1[[#This Row],[JobSatisfaction]]=1,"Low",Table1[[#This Row],[JobSatisfaction]]=2,"Medium",Table1[[#This Row],[JobSatisfaction]]=3,"High",Table1[[#This Row],[JobSatisfaction]]=4,"Very High")</f>
        <v>High</v>
      </c>
      <c r="AM145">
        <f>IF(Table1[[#This Row],[Attrition]]="Yes",1,0)</f>
        <v>0</v>
      </c>
    </row>
    <row r="146" spans="1:39" ht="13.8" x14ac:dyDescent="0.25">
      <c r="A146">
        <v>32</v>
      </c>
      <c r="B146" t="str" cm="1">
        <f t="array" ref="B146">_xlfn.IFS(Table1[[#This Row],[Age]]&lt;30,"Under 30",Table1[[#This Row],[Age]]&lt;=40,"30-40",Table1[[#This Row],[Age]]&lt;=50,"41-50",Table1[[#This Row],[Age]]&gt;50,"Over 50")</f>
        <v>30-40</v>
      </c>
      <c r="C146" t="s">
        <v>43</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t="str" cm="1">
        <f t="array" ref="AH146">_xlfn.IFS(Table1[[#This Row],[YearsAtCompany]]&lt;=2,"0-2 years",Table1[[#This Row],[YearsAtCompany]]&lt;=5,"3-5 years",Table1[[#This Row],[YearsAtCompany]]&lt;=10,"6-10 years",Table1[[#This Row],[YearsAtCompany]]&gt;10,"10+ years")</f>
        <v>6-10 years</v>
      </c>
      <c r="AI146">
        <v>7</v>
      </c>
      <c r="AJ146">
        <v>0</v>
      </c>
      <c r="AK146">
        <v>7</v>
      </c>
      <c r="AL146" t="str" cm="1">
        <f t="array" ref="AL146">_xlfn.IFS(Table1[[#This Row],[JobSatisfaction]]=1,"Low",Table1[[#This Row],[JobSatisfaction]]=2,"Medium",Table1[[#This Row],[JobSatisfaction]]=3,"High",Table1[[#This Row],[JobSatisfaction]]=4,"Very High")</f>
        <v>Very High</v>
      </c>
      <c r="AM146">
        <f>IF(Table1[[#This Row],[Attrition]]="Yes",1,0)</f>
        <v>0</v>
      </c>
    </row>
    <row r="147" spans="1:39" ht="13.8" x14ac:dyDescent="0.25">
      <c r="A147">
        <v>30</v>
      </c>
      <c r="B147" t="str" cm="1">
        <f t="array" ref="B147">_xlfn.IFS(Table1[[#This Row],[Age]]&lt;30,"Under 30",Table1[[#This Row],[Age]]&lt;=40,"30-40",Table1[[#This Row],[Age]]&lt;=50,"41-50",Table1[[#This Row],[Age]]&gt;50,"Over 50")</f>
        <v>30-40</v>
      </c>
      <c r="C147" t="s">
        <v>43</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t="str" cm="1">
        <f t="array" ref="AH147">_xlfn.IFS(Table1[[#This Row],[YearsAtCompany]]&lt;=2,"0-2 years",Table1[[#This Row],[YearsAtCompany]]&lt;=5,"3-5 years",Table1[[#This Row],[YearsAtCompany]]&lt;=10,"6-10 years",Table1[[#This Row],[YearsAtCompany]]&gt;10,"10+ years")</f>
        <v>3-5 years</v>
      </c>
      <c r="AI147">
        <v>2</v>
      </c>
      <c r="AJ147">
        <v>2</v>
      </c>
      <c r="AK147">
        <v>2</v>
      </c>
      <c r="AL147" t="str" cm="1">
        <f t="array" ref="AL147">_xlfn.IFS(Table1[[#This Row],[JobSatisfaction]]=1,"Low",Table1[[#This Row],[JobSatisfaction]]=2,"Medium",Table1[[#This Row],[JobSatisfaction]]=3,"High",Table1[[#This Row],[JobSatisfaction]]=4,"Very High")</f>
        <v>Low</v>
      </c>
      <c r="AM147">
        <f>IF(Table1[[#This Row],[Attrition]]="Yes",1,0)</f>
        <v>0</v>
      </c>
    </row>
    <row r="148" spans="1:39" ht="13.8" x14ac:dyDescent="0.25">
      <c r="A148">
        <v>30</v>
      </c>
      <c r="B148" t="str" cm="1">
        <f t="array" ref="B148">_xlfn.IFS(Table1[[#This Row],[Age]]&lt;30,"Under 30",Table1[[#This Row],[Age]]&lt;=40,"30-40",Table1[[#This Row],[Age]]&lt;=50,"41-50",Table1[[#This Row],[Age]]&gt;50,"Over 50")</f>
        <v>30-40</v>
      </c>
      <c r="C148" t="s">
        <v>43</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t="str" cm="1">
        <f t="array" ref="AH148">_xlfn.IFS(Table1[[#This Row],[YearsAtCompany]]&lt;=2,"0-2 years",Table1[[#This Row],[YearsAtCompany]]&lt;=5,"3-5 years",Table1[[#This Row],[YearsAtCompany]]&lt;=10,"6-10 years",Table1[[#This Row],[YearsAtCompany]]&gt;10,"10+ years")</f>
        <v>3-5 years</v>
      </c>
      <c r="AI148">
        <v>3</v>
      </c>
      <c r="AJ148">
        <v>1</v>
      </c>
      <c r="AK148">
        <v>2</v>
      </c>
      <c r="AL148" t="str" cm="1">
        <f t="array" ref="AL148">_xlfn.IFS(Table1[[#This Row],[JobSatisfaction]]=1,"Low",Table1[[#This Row],[JobSatisfaction]]=2,"Medium",Table1[[#This Row],[JobSatisfaction]]=3,"High",Table1[[#This Row],[JobSatisfaction]]=4,"Very High")</f>
        <v>Very High</v>
      </c>
      <c r="AM148">
        <f>IF(Table1[[#This Row],[Attrition]]="Yes",1,0)</f>
        <v>0</v>
      </c>
    </row>
    <row r="149" spans="1:39" ht="13.8" x14ac:dyDescent="0.25">
      <c r="A149">
        <v>41</v>
      </c>
      <c r="B149" t="str" cm="1">
        <f t="array" ref="B149">_xlfn.IFS(Table1[[#This Row],[Age]]&lt;30,"Under 30",Table1[[#This Row],[Age]]&lt;=40,"30-40",Table1[[#This Row],[Age]]&lt;=50,"41-50",Table1[[#This Row],[Age]]&gt;50,"Over 50")</f>
        <v>41-50</v>
      </c>
      <c r="C149" t="s">
        <v>43</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t="str" cm="1">
        <f t="array" ref="AH149">_xlfn.IFS(Table1[[#This Row],[YearsAtCompany]]&lt;=2,"0-2 years",Table1[[#This Row],[YearsAtCompany]]&lt;=5,"3-5 years",Table1[[#This Row],[YearsAtCompany]]&lt;=10,"6-10 years",Table1[[#This Row],[YearsAtCompany]]&gt;10,"10+ years")</f>
        <v>6-10 years</v>
      </c>
      <c r="AI149">
        <v>6</v>
      </c>
      <c r="AJ149">
        <v>7</v>
      </c>
      <c r="AK149">
        <v>7</v>
      </c>
      <c r="AL149" t="str" cm="1">
        <f t="array" ref="AL149">_xlfn.IFS(Table1[[#This Row],[JobSatisfaction]]=1,"Low",Table1[[#This Row],[JobSatisfaction]]=2,"Medium",Table1[[#This Row],[JobSatisfaction]]=3,"High",Table1[[#This Row],[JobSatisfaction]]=4,"Very High")</f>
        <v>Low</v>
      </c>
      <c r="AM149">
        <f>IF(Table1[[#This Row],[Attrition]]="Yes",1,0)</f>
        <v>0</v>
      </c>
    </row>
    <row r="150" spans="1:39" ht="13.8" x14ac:dyDescent="0.25">
      <c r="A150">
        <v>41</v>
      </c>
      <c r="B150" t="str" cm="1">
        <f t="array" ref="B150">_xlfn.IFS(Table1[[#This Row],[Age]]&lt;30,"Under 30",Table1[[#This Row],[Age]]&lt;=40,"30-40",Table1[[#This Row],[Age]]&lt;=50,"41-50",Table1[[#This Row],[Age]]&gt;50,"Over 50")</f>
        <v>41-50</v>
      </c>
      <c r="C150" t="s">
        <v>43</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t="str" cm="1">
        <f t="array" ref="AH150">_xlfn.IFS(Table1[[#This Row],[YearsAtCompany]]&lt;=2,"0-2 years",Table1[[#This Row],[YearsAtCompany]]&lt;=5,"3-5 years",Table1[[#This Row],[YearsAtCompany]]&lt;=10,"6-10 years",Table1[[#This Row],[YearsAtCompany]]&gt;10,"10+ years")</f>
        <v>3-5 years</v>
      </c>
      <c r="AI150">
        <v>0</v>
      </c>
      <c r="AJ150">
        <v>1</v>
      </c>
      <c r="AK150">
        <v>4</v>
      </c>
      <c r="AL150" t="str" cm="1">
        <f t="array" ref="AL150">_xlfn.IFS(Table1[[#This Row],[JobSatisfaction]]=1,"Low",Table1[[#This Row],[JobSatisfaction]]=2,"Medium",Table1[[#This Row],[JobSatisfaction]]=3,"High",Table1[[#This Row],[JobSatisfaction]]=4,"Very High")</f>
        <v>Low</v>
      </c>
      <c r="AM150">
        <f>IF(Table1[[#This Row],[Attrition]]="Yes",1,0)</f>
        <v>0</v>
      </c>
    </row>
    <row r="151" spans="1:39" ht="13.8" x14ac:dyDescent="0.25">
      <c r="A151">
        <v>19</v>
      </c>
      <c r="B151" t="str" cm="1">
        <f t="array" ref="B151">_xlfn.IFS(Table1[[#This Row],[Age]]&lt;30,"Under 30",Table1[[#This Row],[Age]]&lt;=40,"30-40",Table1[[#This Row],[Age]]&lt;=50,"41-50",Table1[[#This Row],[Age]]&gt;50,"Over 50")</f>
        <v>Under 30</v>
      </c>
      <c r="C151" t="s">
        <v>43</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t="str" cm="1">
        <f t="array" ref="AH151">_xlfn.IFS(Table1[[#This Row],[YearsAtCompany]]&lt;=2,"0-2 years",Table1[[#This Row],[YearsAtCompany]]&lt;=5,"3-5 years",Table1[[#This Row],[YearsAtCompany]]&lt;=10,"6-10 years",Table1[[#This Row],[YearsAtCompany]]&gt;10,"10+ years")</f>
        <v>0-2 years</v>
      </c>
      <c r="AI151">
        <v>0</v>
      </c>
      <c r="AJ151">
        <v>0</v>
      </c>
      <c r="AK151">
        <v>0</v>
      </c>
      <c r="AL151" t="str" cm="1">
        <f t="array" ref="AL151">_xlfn.IFS(Table1[[#This Row],[JobSatisfaction]]=1,"Low",Table1[[#This Row],[JobSatisfaction]]=2,"Medium",Table1[[#This Row],[JobSatisfaction]]=3,"High",Table1[[#This Row],[JobSatisfaction]]=4,"Very High")</f>
        <v>Medium</v>
      </c>
      <c r="AM151">
        <f>IF(Table1[[#This Row],[Attrition]]="Yes",1,0)</f>
        <v>0</v>
      </c>
    </row>
    <row r="152" spans="1:39" ht="13.8" x14ac:dyDescent="0.25">
      <c r="A152">
        <v>40</v>
      </c>
      <c r="B152" t="str" cm="1">
        <f t="array" ref="B152">_xlfn.IFS(Table1[[#This Row],[Age]]&lt;30,"Under 30",Table1[[#This Row],[Age]]&lt;=40,"30-40",Table1[[#This Row],[Age]]&lt;=50,"41-50",Table1[[#This Row],[Age]]&gt;50,"Over 50")</f>
        <v>30-40</v>
      </c>
      <c r="C152" t="s">
        <v>43</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t="str" cm="1">
        <f t="array" ref="AH152">_xlfn.IFS(Table1[[#This Row],[YearsAtCompany]]&lt;=2,"0-2 years",Table1[[#This Row],[YearsAtCompany]]&lt;=5,"3-5 years",Table1[[#This Row],[YearsAtCompany]]&lt;=10,"6-10 years",Table1[[#This Row],[YearsAtCompany]]&gt;10,"10+ years")</f>
        <v>10+ years</v>
      </c>
      <c r="AI152">
        <v>7</v>
      </c>
      <c r="AJ152">
        <v>2</v>
      </c>
      <c r="AK152">
        <v>13</v>
      </c>
      <c r="AL152" t="str" cm="1">
        <f t="array" ref="AL152">_xlfn.IFS(Table1[[#This Row],[JobSatisfaction]]=1,"Low",Table1[[#This Row],[JobSatisfaction]]=2,"Medium",Table1[[#This Row],[JobSatisfaction]]=3,"High",Table1[[#This Row],[JobSatisfaction]]=4,"Very High")</f>
        <v>Medium</v>
      </c>
      <c r="AM152">
        <f>IF(Table1[[#This Row],[Attrition]]="Yes",1,0)</f>
        <v>0</v>
      </c>
    </row>
    <row r="153" spans="1:39" ht="13.8" x14ac:dyDescent="0.25">
      <c r="A153">
        <v>35</v>
      </c>
      <c r="B153" t="str" cm="1">
        <f t="array" ref="B153">_xlfn.IFS(Table1[[#This Row],[Age]]&lt;30,"Under 30",Table1[[#This Row],[Age]]&lt;=40,"30-40",Table1[[#This Row],[Age]]&lt;=50,"41-50",Table1[[#This Row],[Age]]&gt;50,"Over 50")</f>
        <v>30-40</v>
      </c>
      <c r="C153" t="s">
        <v>43</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t="str" cm="1">
        <f t="array" ref="AH153">_xlfn.IFS(Table1[[#This Row],[YearsAtCompany]]&lt;=2,"0-2 years",Table1[[#This Row],[YearsAtCompany]]&lt;=5,"3-5 years",Table1[[#This Row],[YearsAtCompany]]&lt;=10,"6-10 years",Table1[[#This Row],[YearsAtCompany]]&gt;10,"10+ years")</f>
        <v>6-10 years</v>
      </c>
      <c r="AI153">
        <v>8</v>
      </c>
      <c r="AJ153">
        <v>0</v>
      </c>
      <c r="AK153">
        <v>6</v>
      </c>
      <c r="AL153" t="str" cm="1">
        <f t="array" ref="AL153">_xlfn.IFS(Table1[[#This Row],[JobSatisfaction]]=1,"Low",Table1[[#This Row],[JobSatisfaction]]=2,"Medium",Table1[[#This Row],[JobSatisfaction]]=3,"High",Table1[[#This Row],[JobSatisfaction]]=4,"Very High")</f>
        <v>Medium</v>
      </c>
      <c r="AM153">
        <f>IF(Table1[[#This Row],[Attrition]]="Yes",1,0)</f>
        <v>0</v>
      </c>
    </row>
    <row r="154" spans="1:39" ht="13.8" x14ac:dyDescent="0.25">
      <c r="A154">
        <v>53</v>
      </c>
      <c r="B154" t="str" cm="1">
        <f t="array" ref="B154">_xlfn.IFS(Table1[[#This Row],[Age]]&lt;30,"Under 30",Table1[[#This Row],[Age]]&lt;=40,"30-40",Table1[[#This Row],[Age]]&lt;=50,"41-50",Table1[[#This Row],[Age]]&gt;50,"Over 50")</f>
        <v>Over 50</v>
      </c>
      <c r="C154" t="s">
        <v>43</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t="str" cm="1">
        <f t="array" ref="AH154">_xlfn.IFS(Table1[[#This Row],[YearsAtCompany]]&lt;=2,"0-2 years",Table1[[#This Row],[YearsAtCompany]]&lt;=5,"3-5 years",Table1[[#This Row],[YearsAtCompany]]&lt;=10,"6-10 years",Table1[[#This Row],[YearsAtCompany]]&gt;10,"10+ years")</f>
        <v>6-10 years</v>
      </c>
      <c r="AI154">
        <v>7</v>
      </c>
      <c r="AJ154">
        <v>4</v>
      </c>
      <c r="AK154">
        <v>5</v>
      </c>
      <c r="AL154" t="str" cm="1">
        <f t="array" ref="AL154">_xlfn.IFS(Table1[[#This Row],[JobSatisfaction]]=1,"Low",Table1[[#This Row],[JobSatisfaction]]=2,"Medium",Table1[[#This Row],[JobSatisfaction]]=3,"High",Table1[[#This Row],[JobSatisfaction]]=4,"Very High")</f>
        <v>High</v>
      </c>
      <c r="AM154">
        <f>IF(Table1[[#This Row],[Attrition]]="Yes",1,0)</f>
        <v>0</v>
      </c>
    </row>
    <row r="155" spans="1:39" ht="13.8" x14ac:dyDescent="0.25">
      <c r="A155">
        <v>45</v>
      </c>
      <c r="B155" t="str" cm="1">
        <f t="array" ref="B155">_xlfn.IFS(Table1[[#This Row],[Age]]&lt;30,"Under 30",Table1[[#This Row],[Age]]&lt;=40,"30-40",Table1[[#This Row],[Age]]&lt;=50,"41-50",Table1[[#This Row],[Age]]&gt;50,"Over 50")</f>
        <v>41-50</v>
      </c>
      <c r="C155" t="s">
        <v>43</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t="str" cm="1">
        <f t="array" ref="AH155">_xlfn.IFS(Table1[[#This Row],[YearsAtCompany]]&lt;=2,"0-2 years",Table1[[#This Row],[YearsAtCompany]]&lt;=5,"3-5 years",Table1[[#This Row],[YearsAtCompany]]&lt;=10,"6-10 years",Table1[[#This Row],[YearsAtCompany]]&gt;10,"10+ years")</f>
        <v>10+ years</v>
      </c>
      <c r="AI155">
        <v>9</v>
      </c>
      <c r="AJ155">
        <v>0</v>
      </c>
      <c r="AK155">
        <v>15</v>
      </c>
      <c r="AL155" t="str" cm="1">
        <f t="array" ref="AL155">_xlfn.IFS(Table1[[#This Row],[JobSatisfaction]]=1,"Low",Table1[[#This Row],[JobSatisfaction]]=2,"Medium",Table1[[#This Row],[JobSatisfaction]]=3,"High",Table1[[#This Row],[JobSatisfaction]]=4,"Very High")</f>
        <v>Medium</v>
      </c>
      <c r="AM155">
        <f>IF(Table1[[#This Row],[Attrition]]="Yes",1,0)</f>
        <v>0</v>
      </c>
    </row>
    <row r="156" spans="1:39" ht="13.8" x14ac:dyDescent="0.25">
      <c r="A156">
        <v>32</v>
      </c>
      <c r="B156" t="str" cm="1">
        <f t="array" ref="B156">_xlfn.IFS(Table1[[#This Row],[Age]]&lt;30,"Under 30",Table1[[#This Row],[Age]]&lt;=40,"30-40",Table1[[#This Row],[Age]]&lt;=50,"41-50",Table1[[#This Row],[Age]]&gt;50,"Over 50")</f>
        <v>30-40</v>
      </c>
      <c r="C156" t="s">
        <v>43</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t="str" cm="1">
        <f t="array" ref="AH156">_xlfn.IFS(Table1[[#This Row],[YearsAtCompany]]&lt;=2,"0-2 years",Table1[[#This Row],[YearsAtCompany]]&lt;=5,"3-5 years",Table1[[#This Row],[YearsAtCompany]]&lt;=10,"6-10 years",Table1[[#This Row],[YearsAtCompany]]&gt;10,"10+ years")</f>
        <v>6-10 years</v>
      </c>
      <c r="AI156">
        <v>8</v>
      </c>
      <c r="AJ156">
        <v>3</v>
      </c>
      <c r="AK156">
        <v>7</v>
      </c>
      <c r="AL156" t="str" cm="1">
        <f t="array" ref="AL156">_xlfn.IFS(Table1[[#This Row],[JobSatisfaction]]=1,"Low",Table1[[#This Row],[JobSatisfaction]]=2,"Medium",Table1[[#This Row],[JobSatisfaction]]=3,"High",Table1[[#This Row],[JobSatisfaction]]=4,"Very High")</f>
        <v>Very High</v>
      </c>
      <c r="AM156">
        <f>IF(Table1[[#This Row],[Attrition]]="Yes",1,0)</f>
        <v>0</v>
      </c>
    </row>
    <row r="157" spans="1:39" ht="13.8" x14ac:dyDescent="0.25">
      <c r="A157">
        <v>29</v>
      </c>
      <c r="B157" t="str" cm="1">
        <f t="array" ref="B157">_xlfn.IFS(Table1[[#This Row],[Age]]&lt;30,"Under 30",Table1[[#This Row],[Age]]&lt;=40,"30-40",Table1[[#This Row],[Age]]&lt;=50,"41-50",Table1[[#This Row],[Age]]&gt;50,"Over 50")</f>
        <v>Under 30</v>
      </c>
      <c r="C157" t="s">
        <v>43</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t="str" cm="1">
        <f t="array" ref="AH157">_xlfn.IFS(Table1[[#This Row],[YearsAtCompany]]&lt;=2,"0-2 years",Table1[[#This Row],[YearsAtCompany]]&lt;=5,"3-5 years",Table1[[#This Row],[YearsAtCompany]]&lt;=10,"6-10 years",Table1[[#This Row],[YearsAtCompany]]&gt;10,"10+ years")</f>
        <v>6-10 years</v>
      </c>
      <c r="AI157">
        <v>7</v>
      </c>
      <c r="AJ157">
        <v>0</v>
      </c>
      <c r="AK157">
        <v>9</v>
      </c>
      <c r="AL157" t="str" cm="1">
        <f t="array" ref="AL157">_xlfn.IFS(Table1[[#This Row],[JobSatisfaction]]=1,"Low",Table1[[#This Row],[JobSatisfaction]]=2,"Medium",Table1[[#This Row],[JobSatisfaction]]=3,"High",Table1[[#This Row],[JobSatisfaction]]=4,"Very High")</f>
        <v>High</v>
      </c>
      <c r="AM157">
        <f>IF(Table1[[#This Row],[Attrition]]="Yes",1,0)</f>
        <v>0</v>
      </c>
    </row>
    <row r="158" spans="1:39" ht="13.8" x14ac:dyDescent="0.25">
      <c r="A158">
        <v>51</v>
      </c>
      <c r="B158" t="str" cm="1">
        <f t="array" ref="B158">_xlfn.IFS(Table1[[#This Row],[Age]]&lt;30,"Under 30",Table1[[#This Row],[Age]]&lt;=40,"30-40",Table1[[#This Row],[Age]]&lt;=50,"41-50",Table1[[#This Row],[Age]]&gt;50,"Over 50")</f>
        <v>Over 50</v>
      </c>
      <c r="C158" t="s">
        <v>43</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t="str" cm="1">
        <f t="array" ref="AH158">_xlfn.IFS(Table1[[#This Row],[YearsAtCompany]]&lt;=2,"0-2 years",Table1[[#This Row],[YearsAtCompany]]&lt;=5,"3-5 years",Table1[[#This Row],[YearsAtCompany]]&lt;=10,"6-10 years",Table1[[#This Row],[YearsAtCompany]]&gt;10,"10+ years")</f>
        <v>0-2 years</v>
      </c>
      <c r="AI158">
        <v>0</v>
      </c>
      <c r="AJ158">
        <v>0</v>
      </c>
      <c r="AK158">
        <v>0</v>
      </c>
      <c r="AL158" t="str" cm="1">
        <f t="array" ref="AL158">_xlfn.IFS(Table1[[#This Row],[JobSatisfaction]]=1,"Low",Table1[[#This Row],[JobSatisfaction]]=2,"Medium",Table1[[#This Row],[JobSatisfaction]]=3,"High",Table1[[#This Row],[JobSatisfaction]]=4,"Very High")</f>
        <v>High</v>
      </c>
      <c r="AM158">
        <f>IF(Table1[[#This Row],[Attrition]]="Yes",1,0)</f>
        <v>0</v>
      </c>
    </row>
    <row r="159" spans="1:39" ht="13.8" x14ac:dyDescent="0.25">
      <c r="A159">
        <v>58</v>
      </c>
      <c r="B159" t="str" cm="1">
        <f t="array" ref="B159">_xlfn.IFS(Table1[[#This Row],[Age]]&lt;30,"Under 30",Table1[[#This Row],[Age]]&lt;=40,"30-40",Table1[[#This Row],[Age]]&lt;=50,"41-50",Table1[[#This Row],[Age]]&gt;50,"Over 50")</f>
        <v>Over 50</v>
      </c>
      <c r="C159" t="s">
        <v>43</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t="str" cm="1">
        <f t="array" ref="AH159">_xlfn.IFS(Table1[[#This Row],[YearsAtCompany]]&lt;=2,"0-2 years",Table1[[#This Row],[YearsAtCompany]]&lt;=5,"3-5 years",Table1[[#This Row],[YearsAtCompany]]&lt;=10,"6-10 years",Table1[[#This Row],[YearsAtCompany]]&gt;10,"10+ years")</f>
        <v>0-2 years</v>
      </c>
      <c r="AI159">
        <v>0</v>
      </c>
      <c r="AJ159">
        <v>0</v>
      </c>
      <c r="AK159">
        <v>0</v>
      </c>
      <c r="AL159" t="str" cm="1">
        <f t="array" ref="AL159">_xlfn.IFS(Table1[[#This Row],[JobSatisfaction]]=1,"Low",Table1[[#This Row],[JobSatisfaction]]=2,"Medium",Table1[[#This Row],[JobSatisfaction]]=3,"High",Table1[[#This Row],[JobSatisfaction]]=4,"Very High")</f>
        <v>Medium</v>
      </c>
      <c r="AM159">
        <f>IF(Table1[[#This Row],[Attrition]]="Yes",1,0)</f>
        <v>0</v>
      </c>
    </row>
    <row r="160" spans="1:39" ht="13.8" x14ac:dyDescent="0.25">
      <c r="A160">
        <v>40</v>
      </c>
      <c r="B160" t="str" cm="1">
        <f t="array" ref="B160">_xlfn.IFS(Table1[[#This Row],[Age]]&lt;30,"Under 30",Table1[[#This Row],[Age]]&lt;=40,"30-40",Table1[[#This Row],[Age]]&lt;=50,"41-50",Table1[[#This Row],[Age]]&gt;50,"Over 50")</f>
        <v>30-40</v>
      </c>
      <c r="C160" t="s">
        <v>43</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t="str" cm="1">
        <f t="array" ref="AH160">_xlfn.IFS(Table1[[#This Row],[YearsAtCompany]]&lt;=2,"0-2 years",Table1[[#This Row],[YearsAtCompany]]&lt;=5,"3-5 years",Table1[[#This Row],[YearsAtCompany]]&lt;=10,"6-10 years",Table1[[#This Row],[YearsAtCompany]]&gt;10,"10+ years")</f>
        <v>10+ years</v>
      </c>
      <c r="AI160">
        <v>11</v>
      </c>
      <c r="AJ160">
        <v>2</v>
      </c>
      <c r="AK160">
        <v>11</v>
      </c>
      <c r="AL160" t="str" cm="1">
        <f t="array" ref="AL160">_xlfn.IFS(Table1[[#This Row],[JobSatisfaction]]=1,"Low",Table1[[#This Row],[JobSatisfaction]]=2,"Medium",Table1[[#This Row],[JobSatisfaction]]=3,"High",Table1[[#This Row],[JobSatisfaction]]=4,"Very High")</f>
        <v>Very High</v>
      </c>
      <c r="AM160">
        <f>IF(Table1[[#This Row],[Attrition]]="Yes",1,0)</f>
        <v>0</v>
      </c>
    </row>
    <row r="161" spans="1:39" ht="13.8" x14ac:dyDescent="0.25">
      <c r="A161">
        <v>34</v>
      </c>
      <c r="B161" t="str" cm="1">
        <f t="array" ref="B161">_xlfn.IFS(Table1[[#This Row],[Age]]&lt;30,"Under 30",Table1[[#This Row],[Age]]&lt;=40,"30-40",Table1[[#This Row],[Age]]&lt;=50,"41-50",Table1[[#This Row],[Age]]&gt;50,"Over 50")</f>
        <v>30-40</v>
      </c>
      <c r="C161" t="s">
        <v>43</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t="str" cm="1">
        <f t="array" ref="AH161">_xlfn.IFS(Table1[[#This Row],[YearsAtCompany]]&lt;=2,"0-2 years",Table1[[#This Row],[YearsAtCompany]]&lt;=5,"3-5 years",Table1[[#This Row],[YearsAtCompany]]&lt;=10,"6-10 years",Table1[[#This Row],[YearsAtCompany]]&gt;10,"10+ years")</f>
        <v>3-5 years</v>
      </c>
      <c r="AI161">
        <v>3</v>
      </c>
      <c r="AJ161">
        <v>1</v>
      </c>
      <c r="AK161">
        <v>2</v>
      </c>
      <c r="AL161" t="str" cm="1">
        <f t="array" ref="AL161">_xlfn.IFS(Table1[[#This Row],[JobSatisfaction]]=1,"Low",Table1[[#This Row],[JobSatisfaction]]=2,"Medium",Table1[[#This Row],[JobSatisfaction]]=3,"High",Table1[[#This Row],[JobSatisfaction]]=4,"Very High")</f>
        <v>High</v>
      </c>
      <c r="AM161">
        <f>IF(Table1[[#This Row],[Attrition]]="Yes",1,0)</f>
        <v>0</v>
      </c>
    </row>
    <row r="162" spans="1:39" ht="13.8" x14ac:dyDescent="0.25">
      <c r="A162">
        <v>22</v>
      </c>
      <c r="B162" t="str" cm="1">
        <f t="array" ref="B162">_xlfn.IFS(Table1[[#This Row],[Age]]&lt;30,"Under 30",Table1[[#This Row],[Age]]&lt;=40,"30-40",Table1[[#This Row],[Age]]&lt;=50,"41-50",Table1[[#This Row],[Age]]&gt;50,"Over 50")</f>
        <v>Under 30</v>
      </c>
      <c r="C162" t="s">
        <v>43</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t="str" cm="1">
        <f t="array" ref="AH162">_xlfn.IFS(Table1[[#This Row],[YearsAtCompany]]&lt;=2,"0-2 years",Table1[[#This Row],[YearsAtCompany]]&lt;=5,"3-5 years",Table1[[#This Row],[YearsAtCompany]]&lt;=10,"6-10 years",Table1[[#This Row],[YearsAtCompany]]&gt;10,"10+ years")</f>
        <v>0-2 years</v>
      </c>
      <c r="AI162">
        <v>2</v>
      </c>
      <c r="AJ162">
        <v>2</v>
      </c>
      <c r="AK162">
        <v>2</v>
      </c>
      <c r="AL162" t="str" cm="1">
        <f t="array" ref="AL162">_xlfn.IFS(Table1[[#This Row],[JobSatisfaction]]=1,"Low",Table1[[#This Row],[JobSatisfaction]]=2,"Medium",Table1[[#This Row],[JobSatisfaction]]=3,"High",Table1[[#This Row],[JobSatisfaction]]=4,"Very High")</f>
        <v>Very High</v>
      </c>
      <c r="AM162">
        <f>IF(Table1[[#This Row],[Attrition]]="Yes",1,0)</f>
        <v>0</v>
      </c>
    </row>
    <row r="163" spans="1:39" ht="13.8" x14ac:dyDescent="0.25">
      <c r="A163">
        <v>27</v>
      </c>
      <c r="B163" t="str" cm="1">
        <f t="array" ref="B163">_xlfn.IFS(Table1[[#This Row],[Age]]&lt;30,"Under 30",Table1[[#This Row],[Age]]&lt;=40,"30-40",Table1[[#This Row],[Age]]&lt;=50,"41-50",Table1[[#This Row],[Age]]&gt;50,"Over 50")</f>
        <v>Under 30</v>
      </c>
      <c r="C163" t="s">
        <v>43</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t="str" cm="1">
        <f t="array" ref="AH163">_xlfn.IFS(Table1[[#This Row],[YearsAtCompany]]&lt;=2,"0-2 years",Table1[[#This Row],[YearsAtCompany]]&lt;=5,"3-5 years",Table1[[#This Row],[YearsAtCompany]]&lt;=10,"6-10 years",Table1[[#This Row],[YearsAtCompany]]&gt;10,"10+ years")</f>
        <v>0-2 years</v>
      </c>
      <c r="AI163">
        <v>2</v>
      </c>
      <c r="AJ163">
        <v>2</v>
      </c>
      <c r="AK163">
        <v>2</v>
      </c>
      <c r="AL163" t="str" cm="1">
        <f t="array" ref="AL163">_xlfn.IFS(Table1[[#This Row],[JobSatisfaction]]=1,"Low",Table1[[#This Row],[JobSatisfaction]]=2,"Medium",Table1[[#This Row],[JobSatisfaction]]=3,"High",Table1[[#This Row],[JobSatisfaction]]=4,"Very High")</f>
        <v>Medium</v>
      </c>
      <c r="AM163">
        <f>IF(Table1[[#This Row],[Attrition]]="Yes",1,0)</f>
        <v>0</v>
      </c>
    </row>
    <row r="164" spans="1:39" ht="13.8" x14ac:dyDescent="0.25">
      <c r="A164">
        <v>28</v>
      </c>
      <c r="B164" t="str" cm="1">
        <f t="array" ref="B164">_xlfn.IFS(Table1[[#This Row],[Age]]&lt;30,"Under 30",Table1[[#This Row],[Age]]&lt;=40,"30-40",Table1[[#This Row],[Age]]&lt;=50,"41-50",Table1[[#This Row],[Age]]&gt;50,"Over 50")</f>
        <v>Under 30</v>
      </c>
      <c r="C164" t="s">
        <v>43</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t="str" cm="1">
        <f t="array" ref="AH164">_xlfn.IFS(Table1[[#This Row],[YearsAtCompany]]&lt;=2,"0-2 years",Table1[[#This Row],[YearsAtCompany]]&lt;=5,"3-5 years",Table1[[#This Row],[YearsAtCompany]]&lt;=10,"6-10 years",Table1[[#This Row],[YearsAtCompany]]&gt;10,"10+ years")</f>
        <v>3-5 years</v>
      </c>
      <c r="AI164">
        <v>2</v>
      </c>
      <c r="AJ164">
        <v>0</v>
      </c>
      <c r="AK164">
        <v>2</v>
      </c>
      <c r="AL164" t="str" cm="1">
        <f t="array" ref="AL164">_xlfn.IFS(Table1[[#This Row],[JobSatisfaction]]=1,"Low",Table1[[#This Row],[JobSatisfaction]]=2,"Medium",Table1[[#This Row],[JobSatisfaction]]=3,"High",Table1[[#This Row],[JobSatisfaction]]=4,"Very High")</f>
        <v>Very High</v>
      </c>
      <c r="AM164">
        <f>IF(Table1[[#This Row],[Attrition]]="Yes",1,0)</f>
        <v>0</v>
      </c>
    </row>
    <row r="165" spans="1:39" ht="13.8" x14ac:dyDescent="0.25">
      <c r="A165">
        <v>57</v>
      </c>
      <c r="B165" t="str" cm="1">
        <f t="array" ref="B165">_xlfn.IFS(Table1[[#This Row],[Age]]&lt;30,"Under 30",Table1[[#This Row],[Age]]&lt;=40,"30-40",Table1[[#This Row],[Age]]&lt;=50,"41-50",Table1[[#This Row],[Age]]&gt;50,"Over 50")</f>
        <v>Over 50</v>
      </c>
      <c r="C165" t="s">
        <v>43</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t="str" cm="1">
        <f t="array" ref="AH165">_xlfn.IFS(Table1[[#This Row],[YearsAtCompany]]&lt;=2,"0-2 years",Table1[[#This Row],[YearsAtCompany]]&lt;=5,"3-5 years",Table1[[#This Row],[YearsAtCompany]]&lt;=10,"6-10 years",Table1[[#This Row],[YearsAtCompany]]&gt;10,"10+ years")</f>
        <v>3-5 years</v>
      </c>
      <c r="AI165">
        <v>3</v>
      </c>
      <c r="AJ165">
        <v>1</v>
      </c>
      <c r="AK165">
        <v>4</v>
      </c>
      <c r="AL165" t="str" cm="1">
        <f t="array" ref="AL165">_xlfn.IFS(Table1[[#This Row],[JobSatisfaction]]=1,"Low",Table1[[#This Row],[JobSatisfaction]]=2,"Medium",Table1[[#This Row],[JobSatisfaction]]=3,"High",Table1[[#This Row],[JobSatisfaction]]=4,"Very High")</f>
        <v>Very High</v>
      </c>
      <c r="AM165">
        <f>IF(Table1[[#This Row],[Attrition]]="Yes",1,0)</f>
        <v>0</v>
      </c>
    </row>
    <row r="166" spans="1:39" ht="13.8" x14ac:dyDescent="0.25">
      <c r="A166">
        <v>27</v>
      </c>
      <c r="B166" t="str" cm="1">
        <f t="array" ref="B166">_xlfn.IFS(Table1[[#This Row],[Age]]&lt;30,"Under 30",Table1[[#This Row],[Age]]&lt;=40,"30-40",Table1[[#This Row],[Age]]&lt;=50,"41-50",Table1[[#This Row],[Age]]&gt;50,"Over 50")</f>
        <v>Under 30</v>
      </c>
      <c r="C166" t="s">
        <v>43</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t="str" cm="1">
        <f t="array" ref="AH166">_xlfn.IFS(Table1[[#This Row],[YearsAtCompany]]&lt;=2,"0-2 years",Table1[[#This Row],[YearsAtCompany]]&lt;=5,"3-5 years",Table1[[#This Row],[YearsAtCompany]]&lt;=10,"6-10 years",Table1[[#This Row],[YearsAtCompany]]&gt;10,"10+ years")</f>
        <v>0-2 years</v>
      </c>
      <c r="AI166">
        <v>1</v>
      </c>
      <c r="AJ166">
        <v>0</v>
      </c>
      <c r="AK166">
        <v>1</v>
      </c>
      <c r="AL166" t="str" cm="1">
        <f t="array" ref="AL166">_xlfn.IFS(Table1[[#This Row],[JobSatisfaction]]=1,"Low",Table1[[#This Row],[JobSatisfaction]]=2,"Medium",Table1[[#This Row],[JobSatisfaction]]=3,"High",Table1[[#This Row],[JobSatisfaction]]=4,"Very High")</f>
        <v>High</v>
      </c>
      <c r="AM166">
        <f>IF(Table1[[#This Row],[Attrition]]="Yes",1,0)</f>
        <v>0</v>
      </c>
    </row>
    <row r="167" spans="1:39" ht="13.8" x14ac:dyDescent="0.25">
      <c r="A167">
        <v>50</v>
      </c>
      <c r="B167" t="str" cm="1">
        <f t="array" ref="B167">_xlfn.IFS(Table1[[#This Row],[Age]]&lt;30,"Under 30",Table1[[#This Row],[Age]]&lt;=40,"30-40",Table1[[#This Row],[Age]]&lt;=50,"41-50",Table1[[#This Row],[Age]]&gt;50,"Over 50")</f>
        <v>41-50</v>
      </c>
      <c r="C167" t="s">
        <v>43</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t="str" cm="1">
        <f t="array" ref="AH167">_xlfn.IFS(Table1[[#This Row],[YearsAtCompany]]&lt;=2,"0-2 years",Table1[[#This Row],[YearsAtCompany]]&lt;=5,"3-5 years",Table1[[#This Row],[YearsAtCompany]]&lt;=10,"6-10 years",Table1[[#This Row],[YearsAtCompany]]&gt;10,"10+ years")</f>
        <v>3-5 years</v>
      </c>
      <c r="AI167">
        <v>4</v>
      </c>
      <c r="AJ167">
        <v>4</v>
      </c>
      <c r="AK167">
        <v>4</v>
      </c>
      <c r="AL167" t="str" cm="1">
        <f t="array" ref="AL167">_xlfn.IFS(Table1[[#This Row],[JobSatisfaction]]=1,"Low",Table1[[#This Row],[JobSatisfaction]]=2,"Medium",Table1[[#This Row],[JobSatisfaction]]=3,"High",Table1[[#This Row],[JobSatisfaction]]=4,"Very High")</f>
        <v>Medium</v>
      </c>
      <c r="AM167">
        <f>IF(Table1[[#This Row],[Attrition]]="Yes",1,0)</f>
        <v>0</v>
      </c>
    </row>
    <row r="168" spans="1:39" ht="13.8" x14ac:dyDescent="0.25">
      <c r="A168">
        <v>41</v>
      </c>
      <c r="B168" t="str" cm="1">
        <f t="array" ref="B168">_xlfn.IFS(Table1[[#This Row],[Age]]&lt;30,"Under 30",Table1[[#This Row],[Age]]&lt;=40,"30-40",Table1[[#This Row],[Age]]&lt;=50,"41-50",Table1[[#This Row],[Age]]&gt;50,"Over 50")</f>
        <v>41-50</v>
      </c>
      <c r="C168" t="s">
        <v>43</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t="str" cm="1">
        <f t="array" ref="AH168">_xlfn.IFS(Table1[[#This Row],[YearsAtCompany]]&lt;=2,"0-2 years",Table1[[#This Row],[YearsAtCompany]]&lt;=5,"3-5 years",Table1[[#This Row],[YearsAtCompany]]&lt;=10,"6-10 years",Table1[[#This Row],[YearsAtCompany]]&gt;10,"10+ years")</f>
        <v>6-10 years</v>
      </c>
      <c r="AI168">
        <v>8</v>
      </c>
      <c r="AJ168">
        <v>1</v>
      </c>
      <c r="AK168">
        <v>8</v>
      </c>
      <c r="AL168" t="str" cm="1">
        <f t="array" ref="AL168">_xlfn.IFS(Table1[[#This Row],[JobSatisfaction]]=1,"Low",Table1[[#This Row],[JobSatisfaction]]=2,"Medium",Table1[[#This Row],[JobSatisfaction]]=3,"High",Table1[[#This Row],[JobSatisfaction]]=4,"Very High")</f>
        <v>High</v>
      </c>
      <c r="AM168">
        <f>IF(Table1[[#This Row],[Attrition]]="Yes",1,0)</f>
        <v>0</v>
      </c>
    </row>
    <row r="169" spans="1:39" ht="13.8" x14ac:dyDescent="0.25">
      <c r="A169">
        <v>30</v>
      </c>
      <c r="B169" t="str" cm="1">
        <f t="array" ref="B169">_xlfn.IFS(Table1[[#This Row],[Age]]&lt;30,"Under 30",Table1[[#This Row],[Age]]&lt;=40,"30-40",Table1[[#This Row],[Age]]&lt;=50,"41-50",Table1[[#This Row],[Age]]&gt;50,"Over 50")</f>
        <v>30-40</v>
      </c>
      <c r="C169" t="s">
        <v>43</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t="str" cm="1">
        <f t="array" ref="AH169">_xlfn.IFS(Table1[[#This Row],[YearsAtCompany]]&lt;=2,"0-2 years",Table1[[#This Row],[YearsAtCompany]]&lt;=5,"3-5 years",Table1[[#This Row],[YearsAtCompany]]&lt;=10,"6-10 years",Table1[[#This Row],[YearsAtCompany]]&gt;10,"10+ years")</f>
        <v>6-10 years</v>
      </c>
      <c r="AI169">
        <v>9</v>
      </c>
      <c r="AJ169">
        <v>7</v>
      </c>
      <c r="AK169">
        <v>4</v>
      </c>
      <c r="AL169" t="str" cm="1">
        <f t="array" ref="AL169">_xlfn.IFS(Table1[[#This Row],[JobSatisfaction]]=1,"Low",Table1[[#This Row],[JobSatisfaction]]=2,"Medium",Table1[[#This Row],[JobSatisfaction]]=3,"High",Table1[[#This Row],[JobSatisfaction]]=4,"Very High")</f>
        <v>Very High</v>
      </c>
      <c r="AM169">
        <f>IF(Table1[[#This Row],[Attrition]]="Yes",1,0)</f>
        <v>0</v>
      </c>
    </row>
    <row r="170" spans="1:39" ht="13.8" x14ac:dyDescent="0.25">
      <c r="A170">
        <v>38</v>
      </c>
      <c r="B170" t="str" cm="1">
        <f t="array" ref="B170">_xlfn.IFS(Table1[[#This Row],[Age]]&lt;30,"Under 30",Table1[[#This Row],[Age]]&lt;=40,"30-40",Table1[[#This Row],[Age]]&lt;=50,"41-50",Table1[[#This Row],[Age]]&gt;50,"Over 50")</f>
        <v>30-40</v>
      </c>
      <c r="C170" t="s">
        <v>43</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t="str" cm="1">
        <f t="array" ref="AH170">_xlfn.IFS(Table1[[#This Row],[YearsAtCompany]]&lt;=2,"0-2 years",Table1[[#This Row],[YearsAtCompany]]&lt;=5,"3-5 years",Table1[[#This Row],[YearsAtCompany]]&lt;=10,"6-10 years",Table1[[#This Row],[YearsAtCompany]]&gt;10,"10+ years")</f>
        <v>6-10 years</v>
      </c>
      <c r="AI170">
        <v>3</v>
      </c>
      <c r="AJ170">
        <v>0</v>
      </c>
      <c r="AK170">
        <v>7</v>
      </c>
      <c r="AL170" t="str" cm="1">
        <f t="array" ref="AL170">_xlfn.IFS(Table1[[#This Row],[JobSatisfaction]]=1,"Low",Table1[[#This Row],[JobSatisfaction]]=2,"Medium",Table1[[#This Row],[JobSatisfaction]]=3,"High",Table1[[#This Row],[JobSatisfaction]]=4,"Very High")</f>
        <v>Very High</v>
      </c>
      <c r="AM170">
        <f>IF(Table1[[#This Row],[Attrition]]="Yes",1,0)</f>
        <v>0</v>
      </c>
    </row>
    <row r="171" spans="1:39" ht="13.8" x14ac:dyDescent="0.25">
      <c r="A171">
        <v>32</v>
      </c>
      <c r="B171" t="str" cm="1">
        <f t="array" ref="B171">_xlfn.IFS(Table1[[#This Row],[Age]]&lt;30,"Under 30",Table1[[#This Row],[Age]]&lt;=40,"30-40",Table1[[#This Row],[Age]]&lt;=50,"41-50",Table1[[#This Row],[Age]]&gt;50,"Over 50")</f>
        <v>30-40</v>
      </c>
      <c r="C171" t="s">
        <v>43</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t="str" cm="1">
        <f t="array" ref="AH171">_xlfn.IFS(Table1[[#This Row],[YearsAtCompany]]&lt;=2,"0-2 years",Table1[[#This Row],[YearsAtCompany]]&lt;=5,"3-5 years",Table1[[#This Row],[YearsAtCompany]]&lt;=10,"6-10 years",Table1[[#This Row],[YearsAtCompany]]&gt;10,"10+ years")</f>
        <v>3-5 years</v>
      </c>
      <c r="AI171">
        <v>4</v>
      </c>
      <c r="AJ171">
        <v>1</v>
      </c>
      <c r="AK171">
        <v>4</v>
      </c>
      <c r="AL171" t="str" cm="1">
        <f t="array" ref="AL171">_xlfn.IFS(Table1[[#This Row],[JobSatisfaction]]=1,"Low",Table1[[#This Row],[JobSatisfaction]]=2,"Medium",Table1[[#This Row],[JobSatisfaction]]=3,"High",Table1[[#This Row],[JobSatisfaction]]=4,"Very High")</f>
        <v>High</v>
      </c>
      <c r="AM171">
        <f>IF(Table1[[#This Row],[Attrition]]="Yes",1,0)</f>
        <v>0</v>
      </c>
    </row>
    <row r="172" spans="1:39" ht="13.8" x14ac:dyDescent="0.25">
      <c r="A172">
        <v>27</v>
      </c>
      <c r="B172" t="str" cm="1">
        <f t="array" ref="B172">_xlfn.IFS(Table1[[#This Row],[Age]]&lt;30,"Under 30",Table1[[#This Row],[Age]]&lt;=40,"30-40",Table1[[#This Row],[Age]]&lt;=50,"41-50",Table1[[#This Row],[Age]]&gt;50,"Over 50")</f>
        <v>Under 30</v>
      </c>
      <c r="C172" t="s">
        <v>43</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t="str" cm="1">
        <f t="array" ref="AH172">_xlfn.IFS(Table1[[#This Row],[YearsAtCompany]]&lt;=2,"0-2 years",Table1[[#This Row],[YearsAtCompany]]&lt;=5,"3-5 years",Table1[[#This Row],[YearsAtCompany]]&lt;=10,"6-10 years",Table1[[#This Row],[YearsAtCompany]]&gt;10,"10+ years")</f>
        <v>3-5 years</v>
      </c>
      <c r="AI172">
        <v>2</v>
      </c>
      <c r="AJ172">
        <v>1</v>
      </c>
      <c r="AK172">
        <v>1</v>
      </c>
      <c r="AL172" t="str" cm="1">
        <f t="array" ref="AL172">_xlfn.IFS(Table1[[#This Row],[JobSatisfaction]]=1,"Low",Table1[[#This Row],[JobSatisfaction]]=2,"Medium",Table1[[#This Row],[JobSatisfaction]]=3,"High",Table1[[#This Row],[JobSatisfaction]]=4,"Very High")</f>
        <v>Medium</v>
      </c>
      <c r="AM172">
        <f>IF(Table1[[#This Row],[Attrition]]="Yes",1,0)</f>
        <v>0</v>
      </c>
    </row>
    <row r="173" spans="1:39" ht="13.8" x14ac:dyDescent="0.25">
      <c r="A173">
        <v>19</v>
      </c>
      <c r="B173" t="str" cm="1">
        <f t="array" ref="B173">_xlfn.IFS(Table1[[#This Row],[Age]]&lt;30,"Under 30",Table1[[#This Row],[Age]]&lt;=40,"30-40",Table1[[#This Row],[Age]]&lt;=50,"41-50",Table1[[#This Row],[Age]]&gt;50,"Over 50")</f>
        <v>Under 30</v>
      </c>
      <c r="C173" t="s">
        <v>35</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t="str" cm="1">
        <f t="array" ref="AH173">_xlfn.IFS(Table1[[#This Row],[YearsAtCompany]]&lt;=2,"0-2 years",Table1[[#This Row],[YearsAtCompany]]&lt;=5,"3-5 years",Table1[[#This Row],[YearsAtCompany]]&lt;=10,"6-10 years",Table1[[#This Row],[YearsAtCompany]]&gt;10,"10+ years")</f>
        <v>0-2 years</v>
      </c>
      <c r="AI173">
        <v>0</v>
      </c>
      <c r="AJ173">
        <v>0</v>
      </c>
      <c r="AK173">
        <v>0</v>
      </c>
      <c r="AL173" t="str" cm="1">
        <f t="array" ref="AL173">_xlfn.IFS(Table1[[#This Row],[JobSatisfaction]]=1,"Low",Table1[[#This Row],[JobSatisfaction]]=2,"Medium",Table1[[#This Row],[JobSatisfaction]]=3,"High",Table1[[#This Row],[JobSatisfaction]]=4,"Very High")</f>
        <v>Low</v>
      </c>
      <c r="AM173">
        <f>IF(Table1[[#This Row],[Attrition]]="Yes",1,0)</f>
        <v>1</v>
      </c>
    </row>
    <row r="174" spans="1:39" ht="13.8" x14ac:dyDescent="0.25">
      <c r="A174">
        <v>36</v>
      </c>
      <c r="B174" t="str" cm="1">
        <f t="array" ref="B174">_xlfn.IFS(Table1[[#This Row],[Age]]&lt;30,"Under 30",Table1[[#This Row],[Age]]&lt;=40,"30-40",Table1[[#This Row],[Age]]&lt;=50,"41-50",Table1[[#This Row],[Age]]&gt;50,"Over 50")</f>
        <v>30-40</v>
      </c>
      <c r="C174" t="s">
        <v>43</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t="str" cm="1">
        <f t="array" ref="AH174">_xlfn.IFS(Table1[[#This Row],[YearsAtCompany]]&lt;=2,"0-2 years",Table1[[#This Row],[YearsAtCompany]]&lt;=5,"3-5 years",Table1[[#This Row],[YearsAtCompany]]&lt;=10,"6-10 years",Table1[[#This Row],[YearsAtCompany]]&gt;10,"10+ years")</f>
        <v>6-10 years</v>
      </c>
      <c r="AI174">
        <v>7</v>
      </c>
      <c r="AJ174">
        <v>7</v>
      </c>
      <c r="AK174">
        <v>2</v>
      </c>
      <c r="AL174" t="str" cm="1">
        <f t="array" ref="AL174">_xlfn.IFS(Table1[[#This Row],[JobSatisfaction]]=1,"Low",Table1[[#This Row],[JobSatisfaction]]=2,"Medium",Table1[[#This Row],[JobSatisfaction]]=3,"High",Table1[[#This Row],[JobSatisfaction]]=4,"Very High")</f>
        <v>Medium</v>
      </c>
      <c r="AM174">
        <f>IF(Table1[[#This Row],[Attrition]]="Yes",1,0)</f>
        <v>0</v>
      </c>
    </row>
    <row r="175" spans="1:39" ht="13.8" x14ac:dyDescent="0.25">
      <c r="A175">
        <v>30</v>
      </c>
      <c r="B175" t="str" cm="1">
        <f t="array" ref="B175">_xlfn.IFS(Table1[[#This Row],[Age]]&lt;30,"Under 30",Table1[[#This Row],[Age]]&lt;=40,"30-40",Table1[[#This Row],[Age]]&lt;=50,"41-50",Table1[[#This Row],[Age]]&gt;50,"Over 50")</f>
        <v>30-40</v>
      </c>
      <c r="C175" t="s">
        <v>43</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t="str" cm="1">
        <f t="array" ref="AH175">_xlfn.IFS(Table1[[#This Row],[YearsAtCompany]]&lt;=2,"0-2 years",Table1[[#This Row],[YearsAtCompany]]&lt;=5,"3-5 years",Table1[[#This Row],[YearsAtCompany]]&lt;=10,"6-10 years",Table1[[#This Row],[YearsAtCompany]]&gt;10,"10+ years")</f>
        <v>10+ years</v>
      </c>
      <c r="AI175">
        <v>9</v>
      </c>
      <c r="AJ175">
        <v>6</v>
      </c>
      <c r="AK175">
        <v>10</v>
      </c>
      <c r="AL175" t="str" cm="1">
        <f t="array" ref="AL175">_xlfn.IFS(Table1[[#This Row],[JobSatisfaction]]=1,"Low",Table1[[#This Row],[JobSatisfaction]]=2,"Medium",Table1[[#This Row],[JobSatisfaction]]=3,"High",Table1[[#This Row],[JobSatisfaction]]=4,"Very High")</f>
        <v>Low</v>
      </c>
      <c r="AM175">
        <f>IF(Table1[[#This Row],[Attrition]]="Yes",1,0)</f>
        <v>0</v>
      </c>
    </row>
    <row r="176" spans="1:39" ht="13.8" x14ac:dyDescent="0.25">
      <c r="A176">
        <v>45</v>
      </c>
      <c r="B176" t="str" cm="1">
        <f t="array" ref="B176">_xlfn.IFS(Table1[[#This Row],[Age]]&lt;30,"Under 30",Table1[[#This Row],[Age]]&lt;=40,"30-40",Table1[[#This Row],[Age]]&lt;=50,"41-50",Table1[[#This Row],[Age]]&gt;50,"Over 50")</f>
        <v>41-50</v>
      </c>
      <c r="C176" t="s">
        <v>43</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t="str" cm="1">
        <f t="array" ref="AH176">_xlfn.IFS(Table1[[#This Row],[YearsAtCompany]]&lt;=2,"0-2 years",Table1[[#This Row],[YearsAtCompany]]&lt;=5,"3-5 years",Table1[[#This Row],[YearsAtCompany]]&lt;=10,"6-10 years",Table1[[#This Row],[YearsAtCompany]]&gt;10,"10+ years")</f>
        <v>3-5 years</v>
      </c>
      <c r="AI176">
        <v>4</v>
      </c>
      <c r="AJ176">
        <v>0</v>
      </c>
      <c r="AK176">
        <v>3</v>
      </c>
      <c r="AL176" t="str" cm="1">
        <f t="array" ref="AL176">_xlfn.IFS(Table1[[#This Row],[JobSatisfaction]]=1,"Low",Table1[[#This Row],[JobSatisfaction]]=2,"Medium",Table1[[#This Row],[JobSatisfaction]]=3,"High",Table1[[#This Row],[JobSatisfaction]]=4,"Very High")</f>
        <v>Low</v>
      </c>
      <c r="AM176">
        <f>IF(Table1[[#This Row],[Attrition]]="Yes",1,0)</f>
        <v>0</v>
      </c>
    </row>
    <row r="177" spans="1:39" ht="13.8" x14ac:dyDescent="0.25">
      <c r="A177">
        <v>56</v>
      </c>
      <c r="B177" t="str" cm="1">
        <f t="array" ref="B177">_xlfn.IFS(Table1[[#This Row],[Age]]&lt;30,"Under 30",Table1[[#This Row],[Age]]&lt;=40,"30-40",Table1[[#This Row],[Age]]&lt;=50,"41-50",Table1[[#This Row],[Age]]&gt;50,"Over 50")</f>
        <v>Over 50</v>
      </c>
      <c r="C177" t="s">
        <v>43</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t="str" cm="1">
        <f t="array" ref="AH177">_xlfn.IFS(Table1[[#This Row],[YearsAtCompany]]&lt;=2,"0-2 years",Table1[[#This Row],[YearsAtCompany]]&lt;=5,"3-5 years",Table1[[#This Row],[YearsAtCompany]]&lt;=10,"6-10 years",Table1[[#This Row],[YearsAtCompany]]&gt;10,"10+ years")</f>
        <v>0-2 years</v>
      </c>
      <c r="AI177">
        <v>2</v>
      </c>
      <c r="AJ177">
        <v>2</v>
      </c>
      <c r="AK177">
        <v>2</v>
      </c>
      <c r="AL177" t="str" cm="1">
        <f t="array" ref="AL177">_xlfn.IFS(Table1[[#This Row],[JobSatisfaction]]=1,"Low",Table1[[#This Row],[JobSatisfaction]]=2,"Medium",Table1[[#This Row],[JobSatisfaction]]=3,"High",Table1[[#This Row],[JobSatisfaction]]=4,"Very High")</f>
        <v>Low</v>
      </c>
      <c r="AM177">
        <f>IF(Table1[[#This Row],[Attrition]]="Yes",1,0)</f>
        <v>0</v>
      </c>
    </row>
    <row r="178" spans="1:39" ht="13.8" x14ac:dyDescent="0.25">
      <c r="A178">
        <v>33</v>
      </c>
      <c r="B178" t="str" cm="1">
        <f t="array" ref="B178">_xlfn.IFS(Table1[[#This Row],[Age]]&lt;30,"Under 30",Table1[[#This Row],[Age]]&lt;=40,"30-40",Table1[[#This Row],[Age]]&lt;=50,"41-50",Table1[[#This Row],[Age]]&gt;50,"Over 50")</f>
        <v>30-40</v>
      </c>
      <c r="C178" t="s">
        <v>43</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t="str" cm="1">
        <f t="array" ref="AH178">_xlfn.IFS(Table1[[#This Row],[YearsAtCompany]]&lt;=2,"0-2 years",Table1[[#This Row],[YearsAtCompany]]&lt;=5,"3-5 years",Table1[[#This Row],[YearsAtCompany]]&lt;=10,"6-10 years",Table1[[#This Row],[YearsAtCompany]]&gt;10,"10+ years")</f>
        <v>3-5 years</v>
      </c>
      <c r="AI178">
        <v>1</v>
      </c>
      <c r="AJ178">
        <v>0</v>
      </c>
      <c r="AK178">
        <v>2</v>
      </c>
      <c r="AL178" t="str" cm="1">
        <f t="array" ref="AL178">_xlfn.IFS(Table1[[#This Row],[JobSatisfaction]]=1,"Low",Table1[[#This Row],[JobSatisfaction]]=2,"Medium",Table1[[#This Row],[JobSatisfaction]]=3,"High",Table1[[#This Row],[JobSatisfaction]]=4,"Very High")</f>
        <v>Very High</v>
      </c>
      <c r="AM178">
        <f>IF(Table1[[#This Row],[Attrition]]="Yes",1,0)</f>
        <v>0</v>
      </c>
    </row>
    <row r="179" spans="1:39" ht="13.8" x14ac:dyDescent="0.25">
      <c r="A179">
        <v>19</v>
      </c>
      <c r="B179" t="str" cm="1">
        <f t="array" ref="B179">_xlfn.IFS(Table1[[#This Row],[Age]]&lt;30,"Under 30",Table1[[#This Row],[Age]]&lt;=40,"30-40",Table1[[#This Row],[Age]]&lt;=50,"41-50",Table1[[#This Row],[Age]]&gt;50,"Over 50")</f>
        <v>Under 30</v>
      </c>
      <c r="C179" t="s">
        <v>35</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t="str" cm="1">
        <f t="array" ref="AH179">_xlfn.IFS(Table1[[#This Row],[YearsAtCompany]]&lt;=2,"0-2 years",Table1[[#This Row],[YearsAtCompany]]&lt;=5,"3-5 years",Table1[[#This Row],[YearsAtCompany]]&lt;=10,"6-10 years",Table1[[#This Row],[YearsAtCompany]]&gt;10,"10+ years")</f>
        <v>0-2 years</v>
      </c>
      <c r="AI179">
        <v>0</v>
      </c>
      <c r="AJ179">
        <v>1</v>
      </c>
      <c r="AK179">
        <v>0</v>
      </c>
      <c r="AL179" t="str" cm="1">
        <f t="array" ref="AL179">_xlfn.IFS(Table1[[#This Row],[JobSatisfaction]]=1,"Low",Table1[[#This Row],[JobSatisfaction]]=2,"Medium",Table1[[#This Row],[JobSatisfaction]]=3,"High",Table1[[#This Row],[JobSatisfaction]]=4,"Very High")</f>
        <v>Very High</v>
      </c>
      <c r="AM179">
        <f>IF(Table1[[#This Row],[Attrition]]="Yes",1,0)</f>
        <v>1</v>
      </c>
    </row>
    <row r="180" spans="1:39" ht="13.8" x14ac:dyDescent="0.25">
      <c r="A180">
        <v>46</v>
      </c>
      <c r="B180" t="str" cm="1">
        <f t="array" ref="B180">_xlfn.IFS(Table1[[#This Row],[Age]]&lt;30,"Under 30",Table1[[#This Row],[Age]]&lt;=40,"30-40",Table1[[#This Row],[Age]]&lt;=50,"41-50",Table1[[#This Row],[Age]]&gt;50,"Over 50")</f>
        <v>41-50</v>
      </c>
      <c r="C180" t="s">
        <v>43</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t="str" cm="1">
        <f t="array" ref="AH180">_xlfn.IFS(Table1[[#This Row],[YearsAtCompany]]&lt;=2,"0-2 years",Table1[[#This Row],[YearsAtCompany]]&lt;=5,"3-5 years",Table1[[#This Row],[YearsAtCompany]]&lt;=10,"6-10 years",Table1[[#This Row],[YearsAtCompany]]&gt;10,"10+ years")</f>
        <v>10+ years</v>
      </c>
      <c r="AI180">
        <v>13</v>
      </c>
      <c r="AJ180">
        <v>15</v>
      </c>
      <c r="AK180">
        <v>7</v>
      </c>
      <c r="AL180" t="str" cm="1">
        <f t="array" ref="AL180">_xlfn.IFS(Table1[[#This Row],[JobSatisfaction]]=1,"Low",Table1[[#This Row],[JobSatisfaction]]=2,"Medium",Table1[[#This Row],[JobSatisfaction]]=3,"High",Table1[[#This Row],[JobSatisfaction]]=4,"Very High")</f>
        <v>Low</v>
      </c>
      <c r="AM180">
        <f>IF(Table1[[#This Row],[Attrition]]="Yes",1,0)</f>
        <v>0</v>
      </c>
    </row>
    <row r="181" spans="1:39" ht="13.8" x14ac:dyDescent="0.25">
      <c r="A181">
        <v>38</v>
      </c>
      <c r="B181" t="str" cm="1">
        <f t="array" ref="B181">_xlfn.IFS(Table1[[#This Row],[Age]]&lt;30,"Under 30",Table1[[#This Row],[Age]]&lt;=40,"30-40",Table1[[#This Row],[Age]]&lt;=50,"41-50",Table1[[#This Row],[Age]]&gt;50,"Over 50")</f>
        <v>30-40</v>
      </c>
      <c r="C181" t="s">
        <v>43</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t="str" cm="1">
        <f t="array" ref="AH181">_xlfn.IFS(Table1[[#This Row],[YearsAtCompany]]&lt;=2,"0-2 years",Table1[[#This Row],[YearsAtCompany]]&lt;=5,"3-5 years",Table1[[#This Row],[YearsAtCompany]]&lt;=10,"6-10 years",Table1[[#This Row],[YearsAtCompany]]&gt;10,"10+ years")</f>
        <v>0-2 years</v>
      </c>
      <c r="AI181">
        <v>2</v>
      </c>
      <c r="AJ181">
        <v>2</v>
      </c>
      <c r="AK181">
        <v>1</v>
      </c>
      <c r="AL181" t="str" cm="1">
        <f t="array" ref="AL181">_xlfn.IFS(Table1[[#This Row],[JobSatisfaction]]=1,"Low",Table1[[#This Row],[JobSatisfaction]]=2,"Medium",Table1[[#This Row],[JobSatisfaction]]=3,"High",Table1[[#This Row],[JobSatisfaction]]=4,"Very High")</f>
        <v>Very High</v>
      </c>
      <c r="AM181">
        <f>IF(Table1[[#This Row],[Attrition]]="Yes",1,0)</f>
        <v>0</v>
      </c>
    </row>
    <row r="182" spans="1:39" ht="13.8" x14ac:dyDescent="0.25">
      <c r="A182">
        <v>31</v>
      </c>
      <c r="B182" t="str" cm="1">
        <f t="array" ref="B182">_xlfn.IFS(Table1[[#This Row],[Age]]&lt;30,"Under 30",Table1[[#This Row],[Age]]&lt;=40,"30-40",Table1[[#This Row],[Age]]&lt;=50,"41-50",Table1[[#This Row],[Age]]&gt;50,"Over 50")</f>
        <v>30-40</v>
      </c>
      <c r="C182" t="s">
        <v>43</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t="str" cm="1">
        <f t="array" ref="AH182">_xlfn.IFS(Table1[[#This Row],[YearsAtCompany]]&lt;=2,"0-2 years",Table1[[#This Row],[YearsAtCompany]]&lt;=5,"3-5 years",Table1[[#This Row],[YearsAtCompany]]&lt;=10,"6-10 years",Table1[[#This Row],[YearsAtCompany]]&gt;10,"10+ years")</f>
        <v>3-5 years</v>
      </c>
      <c r="AI182">
        <v>2</v>
      </c>
      <c r="AJ182">
        <v>0</v>
      </c>
      <c r="AK182">
        <v>2</v>
      </c>
      <c r="AL182" t="str" cm="1">
        <f t="array" ref="AL182">_xlfn.IFS(Table1[[#This Row],[JobSatisfaction]]=1,"Low",Table1[[#This Row],[JobSatisfaction]]=2,"Medium",Table1[[#This Row],[JobSatisfaction]]=3,"High",Table1[[#This Row],[JobSatisfaction]]=4,"Very High")</f>
        <v>Very High</v>
      </c>
      <c r="AM182">
        <f>IF(Table1[[#This Row],[Attrition]]="Yes",1,0)</f>
        <v>0</v>
      </c>
    </row>
    <row r="183" spans="1:39" ht="13.8" x14ac:dyDescent="0.25">
      <c r="A183">
        <v>34</v>
      </c>
      <c r="B183" t="str" cm="1">
        <f t="array" ref="B183">_xlfn.IFS(Table1[[#This Row],[Age]]&lt;30,"Under 30",Table1[[#This Row],[Age]]&lt;=40,"30-40",Table1[[#This Row],[Age]]&lt;=50,"41-50",Table1[[#This Row],[Age]]&gt;50,"Over 50")</f>
        <v>30-40</v>
      </c>
      <c r="C183" t="s">
        <v>43</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t="str" cm="1">
        <f t="array" ref="AH183">_xlfn.IFS(Table1[[#This Row],[YearsAtCompany]]&lt;=2,"0-2 years",Table1[[#This Row],[YearsAtCompany]]&lt;=5,"3-5 years",Table1[[#This Row],[YearsAtCompany]]&lt;=10,"6-10 years",Table1[[#This Row],[YearsAtCompany]]&gt;10,"10+ years")</f>
        <v>3-5 years</v>
      </c>
      <c r="AI183">
        <v>2</v>
      </c>
      <c r="AJ183">
        <v>1</v>
      </c>
      <c r="AK183">
        <v>2</v>
      </c>
      <c r="AL183" t="str" cm="1">
        <f t="array" ref="AL183">_xlfn.IFS(Table1[[#This Row],[JobSatisfaction]]=1,"Low",Table1[[#This Row],[JobSatisfaction]]=2,"Medium",Table1[[#This Row],[JobSatisfaction]]=3,"High",Table1[[#This Row],[JobSatisfaction]]=4,"Very High")</f>
        <v>Medium</v>
      </c>
      <c r="AM183">
        <f>IF(Table1[[#This Row],[Attrition]]="Yes",1,0)</f>
        <v>0</v>
      </c>
    </row>
    <row r="184" spans="1:39" ht="13.8" x14ac:dyDescent="0.25">
      <c r="A184">
        <v>41</v>
      </c>
      <c r="B184" t="str" cm="1">
        <f t="array" ref="B184">_xlfn.IFS(Table1[[#This Row],[Age]]&lt;30,"Under 30",Table1[[#This Row],[Age]]&lt;=40,"30-40",Table1[[#This Row],[Age]]&lt;=50,"41-50",Table1[[#This Row],[Age]]&gt;50,"Over 50")</f>
        <v>41-50</v>
      </c>
      <c r="C184" t="s">
        <v>35</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t="str" cm="1">
        <f t="array" ref="AH184">_xlfn.IFS(Table1[[#This Row],[YearsAtCompany]]&lt;=2,"0-2 years",Table1[[#This Row],[YearsAtCompany]]&lt;=5,"3-5 years",Table1[[#This Row],[YearsAtCompany]]&lt;=10,"6-10 years",Table1[[#This Row],[YearsAtCompany]]&gt;10,"10+ years")</f>
        <v>3-5 years</v>
      </c>
      <c r="AI184">
        <v>3</v>
      </c>
      <c r="AJ184">
        <v>0</v>
      </c>
      <c r="AK184">
        <v>2</v>
      </c>
      <c r="AL184" t="str" cm="1">
        <f t="array" ref="AL184">_xlfn.IFS(Table1[[#This Row],[JobSatisfaction]]=1,"Low",Table1[[#This Row],[JobSatisfaction]]=2,"Medium",Table1[[#This Row],[JobSatisfaction]]=3,"High",Table1[[#This Row],[JobSatisfaction]]=4,"Very High")</f>
        <v>Medium</v>
      </c>
      <c r="AM184">
        <f>IF(Table1[[#This Row],[Attrition]]="Yes",1,0)</f>
        <v>1</v>
      </c>
    </row>
    <row r="185" spans="1:39" ht="13.8" x14ac:dyDescent="0.25">
      <c r="A185">
        <v>50</v>
      </c>
      <c r="B185" t="str" cm="1">
        <f t="array" ref="B185">_xlfn.IFS(Table1[[#This Row],[Age]]&lt;30,"Under 30",Table1[[#This Row],[Age]]&lt;=40,"30-40",Table1[[#This Row],[Age]]&lt;=50,"41-50",Table1[[#This Row],[Age]]&gt;50,"Over 50")</f>
        <v>41-50</v>
      </c>
      <c r="C185" t="s">
        <v>43</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t="str" cm="1">
        <f t="array" ref="AH185">_xlfn.IFS(Table1[[#This Row],[YearsAtCompany]]&lt;=2,"0-2 years",Table1[[#This Row],[YearsAtCompany]]&lt;=5,"3-5 years",Table1[[#This Row],[YearsAtCompany]]&lt;=10,"6-10 years",Table1[[#This Row],[YearsAtCompany]]&gt;10,"10+ years")</f>
        <v>3-5 years</v>
      </c>
      <c r="AI185">
        <v>2</v>
      </c>
      <c r="AJ185">
        <v>0</v>
      </c>
      <c r="AK185">
        <v>2</v>
      </c>
      <c r="AL185" t="str" cm="1">
        <f t="array" ref="AL185">_xlfn.IFS(Table1[[#This Row],[JobSatisfaction]]=1,"Low",Table1[[#This Row],[JobSatisfaction]]=2,"Medium",Table1[[#This Row],[JobSatisfaction]]=3,"High",Table1[[#This Row],[JobSatisfaction]]=4,"Very High")</f>
        <v>High</v>
      </c>
      <c r="AM185">
        <f>IF(Table1[[#This Row],[Attrition]]="Yes",1,0)</f>
        <v>0</v>
      </c>
    </row>
    <row r="186" spans="1:39" ht="13.8" x14ac:dyDescent="0.25">
      <c r="A186">
        <v>53</v>
      </c>
      <c r="B186" t="str" cm="1">
        <f t="array" ref="B186">_xlfn.IFS(Table1[[#This Row],[Age]]&lt;30,"Under 30",Table1[[#This Row],[Age]]&lt;=40,"30-40",Table1[[#This Row],[Age]]&lt;=50,"41-50",Table1[[#This Row],[Age]]&gt;50,"Over 50")</f>
        <v>Over 50</v>
      </c>
      <c r="C186" t="s">
        <v>43</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t="str" cm="1">
        <f t="array" ref="AH186">_xlfn.IFS(Table1[[#This Row],[YearsAtCompany]]&lt;=2,"0-2 years",Table1[[#This Row],[YearsAtCompany]]&lt;=5,"3-5 years",Table1[[#This Row],[YearsAtCompany]]&lt;=10,"6-10 years",Table1[[#This Row],[YearsAtCompany]]&gt;10,"10+ years")</f>
        <v>3-5 years</v>
      </c>
      <c r="AI186">
        <v>2</v>
      </c>
      <c r="AJ186">
        <v>1</v>
      </c>
      <c r="AK186">
        <v>3</v>
      </c>
      <c r="AL186" t="str" cm="1">
        <f t="array" ref="AL186">_xlfn.IFS(Table1[[#This Row],[JobSatisfaction]]=1,"Low",Table1[[#This Row],[JobSatisfaction]]=2,"Medium",Table1[[#This Row],[JobSatisfaction]]=3,"High",Table1[[#This Row],[JobSatisfaction]]=4,"Very High")</f>
        <v>Low</v>
      </c>
      <c r="AM186">
        <f>IF(Table1[[#This Row],[Attrition]]="Yes",1,0)</f>
        <v>0</v>
      </c>
    </row>
    <row r="187" spans="1:39" ht="13.8" x14ac:dyDescent="0.25">
      <c r="A187">
        <v>33</v>
      </c>
      <c r="B187" t="str" cm="1">
        <f t="array" ref="B187">_xlfn.IFS(Table1[[#This Row],[Age]]&lt;30,"Under 30",Table1[[#This Row],[Age]]&lt;=40,"30-40",Table1[[#This Row],[Age]]&lt;=50,"41-50",Table1[[#This Row],[Age]]&gt;50,"Over 50")</f>
        <v>30-40</v>
      </c>
      <c r="C187" t="s">
        <v>43</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t="str" cm="1">
        <f t="array" ref="AH187">_xlfn.IFS(Table1[[#This Row],[YearsAtCompany]]&lt;=2,"0-2 years",Table1[[#This Row],[YearsAtCompany]]&lt;=5,"3-5 years",Table1[[#This Row],[YearsAtCompany]]&lt;=10,"6-10 years",Table1[[#This Row],[YearsAtCompany]]&gt;10,"10+ years")</f>
        <v>6-10 years</v>
      </c>
      <c r="AI187">
        <v>7</v>
      </c>
      <c r="AJ187">
        <v>1</v>
      </c>
      <c r="AK187">
        <v>6</v>
      </c>
      <c r="AL187" t="str" cm="1">
        <f t="array" ref="AL187">_xlfn.IFS(Table1[[#This Row],[JobSatisfaction]]=1,"Low",Table1[[#This Row],[JobSatisfaction]]=2,"Medium",Table1[[#This Row],[JobSatisfaction]]=3,"High",Table1[[#This Row],[JobSatisfaction]]=4,"Very High")</f>
        <v>Medium</v>
      </c>
      <c r="AM187">
        <f>IF(Table1[[#This Row],[Attrition]]="Yes",1,0)</f>
        <v>0</v>
      </c>
    </row>
    <row r="188" spans="1:39" ht="13.8" x14ac:dyDescent="0.25">
      <c r="A188">
        <v>40</v>
      </c>
      <c r="B188" t="str" cm="1">
        <f t="array" ref="B188">_xlfn.IFS(Table1[[#This Row],[Age]]&lt;30,"Under 30",Table1[[#This Row],[Age]]&lt;=40,"30-40",Table1[[#This Row],[Age]]&lt;=50,"41-50",Table1[[#This Row],[Age]]&gt;50,"Over 50")</f>
        <v>30-40</v>
      </c>
      <c r="C188" t="s">
        <v>43</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t="str" cm="1">
        <f t="array" ref="AH188">_xlfn.IFS(Table1[[#This Row],[YearsAtCompany]]&lt;=2,"0-2 years",Table1[[#This Row],[YearsAtCompany]]&lt;=5,"3-5 years",Table1[[#This Row],[YearsAtCompany]]&lt;=10,"6-10 years",Table1[[#This Row],[YearsAtCompany]]&gt;10,"10+ years")</f>
        <v>10+ years</v>
      </c>
      <c r="AI188">
        <v>8</v>
      </c>
      <c r="AJ188">
        <v>9</v>
      </c>
      <c r="AK188">
        <v>9</v>
      </c>
      <c r="AL188" t="str" cm="1">
        <f t="array" ref="AL188">_xlfn.IFS(Table1[[#This Row],[JobSatisfaction]]=1,"Low",Table1[[#This Row],[JobSatisfaction]]=2,"Medium",Table1[[#This Row],[JobSatisfaction]]=3,"High",Table1[[#This Row],[JobSatisfaction]]=4,"Very High")</f>
        <v>High</v>
      </c>
      <c r="AM188">
        <f>IF(Table1[[#This Row],[Attrition]]="Yes",1,0)</f>
        <v>0</v>
      </c>
    </row>
    <row r="189" spans="1:39" ht="13.8" x14ac:dyDescent="0.25">
      <c r="A189">
        <v>55</v>
      </c>
      <c r="B189" t="str" cm="1">
        <f t="array" ref="B189">_xlfn.IFS(Table1[[#This Row],[Age]]&lt;30,"Under 30",Table1[[#This Row],[Age]]&lt;=40,"30-40",Table1[[#This Row],[Age]]&lt;=50,"41-50",Table1[[#This Row],[Age]]&gt;50,"Over 50")</f>
        <v>Over 50</v>
      </c>
      <c r="C189" t="s">
        <v>43</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t="str" cm="1">
        <f t="array" ref="AH189">_xlfn.IFS(Table1[[#This Row],[YearsAtCompany]]&lt;=2,"0-2 years",Table1[[#This Row],[YearsAtCompany]]&lt;=5,"3-5 years",Table1[[#This Row],[YearsAtCompany]]&lt;=10,"6-10 years",Table1[[#This Row],[YearsAtCompany]]&gt;10,"10+ years")</f>
        <v>10+ years</v>
      </c>
      <c r="AI189">
        <v>15</v>
      </c>
      <c r="AJ189">
        <v>2</v>
      </c>
      <c r="AK189">
        <v>15</v>
      </c>
      <c r="AL189" t="str" cm="1">
        <f t="array" ref="AL189">_xlfn.IFS(Table1[[#This Row],[JobSatisfaction]]=1,"Low",Table1[[#This Row],[JobSatisfaction]]=2,"Medium",Table1[[#This Row],[JobSatisfaction]]=3,"High",Table1[[#This Row],[JobSatisfaction]]=4,"Very High")</f>
        <v>Medium</v>
      </c>
      <c r="AM189">
        <f>IF(Table1[[#This Row],[Attrition]]="Yes",1,0)</f>
        <v>0</v>
      </c>
    </row>
    <row r="190" spans="1:39" ht="13.8" x14ac:dyDescent="0.25">
      <c r="A190">
        <v>34</v>
      </c>
      <c r="B190" t="str" cm="1">
        <f t="array" ref="B190">_xlfn.IFS(Table1[[#This Row],[Age]]&lt;30,"Under 30",Table1[[#This Row],[Age]]&lt;=40,"30-40",Table1[[#This Row],[Age]]&lt;=50,"41-50",Table1[[#This Row],[Age]]&gt;50,"Over 50")</f>
        <v>30-40</v>
      </c>
      <c r="C190" t="s">
        <v>43</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t="str" cm="1">
        <f t="array" ref="AH190">_xlfn.IFS(Table1[[#This Row],[YearsAtCompany]]&lt;=2,"0-2 years",Table1[[#This Row],[YearsAtCompany]]&lt;=5,"3-5 years",Table1[[#This Row],[YearsAtCompany]]&lt;=10,"6-10 years",Table1[[#This Row],[YearsAtCompany]]&gt;10,"10+ years")</f>
        <v>6-10 years</v>
      </c>
      <c r="AI190">
        <v>9</v>
      </c>
      <c r="AJ190">
        <v>1</v>
      </c>
      <c r="AK190">
        <v>9</v>
      </c>
      <c r="AL190" t="str" cm="1">
        <f t="array" ref="AL190">_xlfn.IFS(Table1[[#This Row],[JobSatisfaction]]=1,"Low",Table1[[#This Row],[JobSatisfaction]]=2,"Medium",Table1[[#This Row],[JobSatisfaction]]=3,"High",Table1[[#This Row],[JobSatisfaction]]=4,"Very High")</f>
        <v>High</v>
      </c>
      <c r="AM190">
        <f>IF(Table1[[#This Row],[Attrition]]="Yes",1,0)</f>
        <v>0</v>
      </c>
    </row>
    <row r="191" spans="1:39" ht="13.8" x14ac:dyDescent="0.25">
      <c r="A191">
        <v>51</v>
      </c>
      <c r="B191" t="str" cm="1">
        <f t="array" ref="B191">_xlfn.IFS(Table1[[#This Row],[Age]]&lt;30,"Under 30",Table1[[#This Row],[Age]]&lt;=40,"30-40",Table1[[#This Row],[Age]]&lt;=50,"41-50",Table1[[#This Row],[Age]]&gt;50,"Over 50")</f>
        <v>Over 50</v>
      </c>
      <c r="C191" t="s">
        <v>43</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t="str" cm="1">
        <f t="array" ref="AH191">_xlfn.IFS(Table1[[#This Row],[YearsAtCompany]]&lt;=2,"0-2 years",Table1[[#This Row],[YearsAtCompany]]&lt;=5,"3-5 years",Table1[[#This Row],[YearsAtCompany]]&lt;=10,"6-10 years",Table1[[#This Row],[YearsAtCompany]]&gt;10,"10+ years")</f>
        <v>6-10 years</v>
      </c>
      <c r="AI191">
        <v>7</v>
      </c>
      <c r="AJ191">
        <v>1</v>
      </c>
      <c r="AK191">
        <v>0</v>
      </c>
      <c r="AL191" t="str" cm="1">
        <f t="array" ref="AL191">_xlfn.IFS(Table1[[#This Row],[JobSatisfaction]]=1,"Low",Table1[[#This Row],[JobSatisfaction]]=2,"Medium",Table1[[#This Row],[JobSatisfaction]]=3,"High",Table1[[#This Row],[JobSatisfaction]]=4,"Very High")</f>
        <v>Medium</v>
      </c>
      <c r="AM191">
        <f>IF(Table1[[#This Row],[Attrition]]="Yes",1,0)</f>
        <v>0</v>
      </c>
    </row>
    <row r="192" spans="1:39" ht="13.8" x14ac:dyDescent="0.25">
      <c r="A192">
        <v>52</v>
      </c>
      <c r="B192" t="str" cm="1">
        <f t="array" ref="B192">_xlfn.IFS(Table1[[#This Row],[Age]]&lt;30,"Under 30",Table1[[#This Row],[Age]]&lt;=40,"30-40",Table1[[#This Row],[Age]]&lt;=50,"41-50",Table1[[#This Row],[Age]]&gt;50,"Over 50")</f>
        <v>Over 50</v>
      </c>
      <c r="C192" t="s">
        <v>43</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t="str" cm="1">
        <f t="array" ref="AH192">_xlfn.IFS(Table1[[#This Row],[YearsAtCompany]]&lt;=2,"0-2 years",Table1[[#This Row],[YearsAtCompany]]&lt;=5,"3-5 years",Table1[[#This Row],[YearsAtCompany]]&lt;=10,"6-10 years",Table1[[#This Row],[YearsAtCompany]]&gt;10,"10+ years")</f>
        <v>10+ years</v>
      </c>
      <c r="AI192">
        <v>18</v>
      </c>
      <c r="AJ192">
        <v>11</v>
      </c>
      <c r="AK192">
        <v>9</v>
      </c>
      <c r="AL192" t="str" cm="1">
        <f t="array" ref="AL192">_xlfn.IFS(Table1[[#This Row],[JobSatisfaction]]=1,"Low",Table1[[#This Row],[JobSatisfaction]]=2,"Medium",Table1[[#This Row],[JobSatisfaction]]=3,"High",Table1[[#This Row],[JobSatisfaction]]=4,"Very High")</f>
        <v>High</v>
      </c>
      <c r="AM192">
        <f>IF(Table1[[#This Row],[Attrition]]="Yes",1,0)</f>
        <v>0</v>
      </c>
    </row>
    <row r="193" spans="1:39" ht="13.8" x14ac:dyDescent="0.25">
      <c r="A193">
        <v>27</v>
      </c>
      <c r="B193" t="str" cm="1">
        <f t="array" ref="B193">_xlfn.IFS(Table1[[#This Row],[Age]]&lt;30,"Under 30",Table1[[#This Row],[Age]]&lt;=40,"30-40",Table1[[#This Row],[Age]]&lt;=50,"41-50",Table1[[#This Row],[Age]]&gt;50,"Over 50")</f>
        <v>Under 30</v>
      </c>
      <c r="C193" t="s">
        <v>43</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t="str" cm="1">
        <f t="array" ref="AH193">_xlfn.IFS(Table1[[#This Row],[YearsAtCompany]]&lt;=2,"0-2 years",Table1[[#This Row],[YearsAtCompany]]&lt;=5,"3-5 years",Table1[[#This Row],[YearsAtCompany]]&lt;=10,"6-10 years",Table1[[#This Row],[YearsAtCompany]]&gt;10,"10+ years")</f>
        <v>6-10 years</v>
      </c>
      <c r="AI193">
        <v>7</v>
      </c>
      <c r="AJ193">
        <v>0</v>
      </c>
      <c r="AK193">
        <v>3</v>
      </c>
      <c r="AL193" t="str" cm="1">
        <f t="array" ref="AL193">_xlfn.IFS(Table1[[#This Row],[JobSatisfaction]]=1,"Low",Table1[[#This Row],[JobSatisfaction]]=2,"Medium",Table1[[#This Row],[JobSatisfaction]]=3,"High",Table1[[#This Row],[JobSatisfaction]]=4,"Very High")</f>
        <v>Medium</v>
      </c>
      <c r="AM193">
        <f>IF(Table1[[#This Row],[Attrition]]="Yes",1,0)</f>
        <v>0</v>
      </c>
    </row>
    <row r="194" spans="1:39" ht="13.8" x14ac:dyDescent="0.25">
      <c r="A194">
        <v>35</v>
      </c>
      <c r="B194" t="str" cm="1">
        <f t="array" ref="B194">_xlfn.IFS(Table1[[#This Row],[Age]]&lt;30,"Under 30",Table1[[#This Row],[Age]]&lt;=40,"30-40",Table1[[#This Row],[Age]]&lt;=50,"41-50",Table1[[#This Row],[Age]]&gt;50,"Over 50")</f>
        <v>30-40</v>
      </c>
      <c r="C194" t="s">
        <v>35</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t="str" cm="1">
        <f t="array" ref="AH194">_xlfn.IFS(Table1[[#This Row],[YearsAtCompany]]&lt;=2,"0-2 years",Table1[[#This Row],[YearsAtCompany]]&lt;=5,"3-5 years",Table1[[#This Row],[YearsAtCompany]]&lt;=10,"6-10 years",Table1[[#This Row],[YearsAtCompany]]&gt;10,"10+ years")</f>
        <v>0-2 years</v>
      </c>
      <c r="AI194">
        <v>0</v>
      </c>
      <c r="AJ194">
        <v>0</v>
      </c>
      <c r="AK194">
        <v>1</v>
      </c>
      <c r="AL194" t="str" cm="1">
        <f t="array" ref="AL194">_xlfn.IFS(Table1[[#This Row],[JobSatisfaction]]=1,"Low",Table1[[#This Row],[JobSatisfaction]]=2,"Medium",Table1[[#This Row],[JobSatisfaction]]=3,"High",Table1[[#This Row],[JobSatisfaction]]=4,"Very High")</f>
        <v>High</v>
      </c>
      <c r="AM194">
        <f>IF(Table1[[#This Row],[Attrition]]="Yes",1,0)</f>
        <v>1</v>
      </c>
    </row>
    <row r="195" spans="1:39" ht="13.8" x14ac:dyDescent="0.25">
      <c r="A195">
        <v>43</v>
      </c>
      <c r="B195" t="str" cm="1">
        <f t="array" ref="B195">_xlfn.IFS(Table1[[#This Row],[Age]]&lt;30,"Under 30",Table1[[#This Row],[Age]]&lt;=40,"30-40",Table1[[#This Row],[Age]]&lt;=50,"41-50",Table1[[#This Row],[Age]]&gt;50,"Over 50")</f>
        <v>41-50</v>
      </c>
      <c r="C195" t="s">
        <v>43</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t="str" cm="1">
        <f t="array" ref="AH195">_xlfn.IFS(Table1[[#This Row],[YearsAtCompany]]&lt;=2,"0-2 years",Table1[[#This Row],[YearsAtCompany]]&lt;=5,"3-5 years",Table1[[#This Row],[YearsAtCompany]]&lt;=10,"6-10 years",Table1[[#This Row],[YearsAtCompany]]&gt;10,"10+ years")</f>
        <v>3-5 years</v>
      </c>
      <c r="AI195">
        <v>4</v>
      </c>
      <c r="AJ195">
        <v>2</v>
      </c>
      <c r="AK195">
        <v>2</v>
      </c>
      <c r="AL195" t="str" cm="1">
        <f t="array" ref="AL195">_xlfn.IFS(Table1[[#This Row],[JobSatisfaction]]=1,"Low",Table1[[#This Row],[JobSatisfaction]]=2,"Medium",Table1[[#This Row],[JobSatisfaction]]=3,"High",Table1[[#This Row],[JobSatisfaction]]=4,"Very High")</f>
        <v>Very High</v>
      </c>
      <c r="AM195">
        <f>IF(Table1[[#This Row],[Attrition]]="Yes",1,0)</f>
        <v>0</v>
      </c>
    </row>
    <row r="196" spans="1:39" ht="13.8" x14ac:dyDescent="0.25">
      <c r="A196">
        <v>45</v>
      </c>
      <c r="B196" t="str" cm="1">
        <f t="array" ref="B196">_xlfn.IFS(Table1[[#This Row],[Age]]&lt;30,"Under 30",Table1[[#This Row],[Age]]&lt;=40,"30-40",Table1[[#This Row],[Age]]&lt;=50,"41-50",Table1[[#This Row],[Age]]&gt;50,"Over 50")</f>
        <v>41-50</v>
      </c>
      <c r="C196" t="s">
        <v>43</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t="str" cm="1">
        <f t="array" ref="AH196">_xlfn.IFS(Table1[[#This Row],[YearsAtCompany]]&lt;=2,"0-2 years",Table1[[#This Row],[YearsAtCompany]]&lt;=5,"3-5 years",Table1[[#This Row],[YearsAtCompany]]&lt;=10,"6-10 years",Table1[[#This Row],[YearsAtCompany]]&gt;10,"10+ years")</f>
        <v>10+ years</v>
      </c>
      <c r="AI196">
        <v>8</v>
      </c>
      <c r="AJ196">
        <v>11</v>
      </c>
      <c r="AK196">
        <v>8</v>
      </c>
      <c r="AL196" t="str" cm="1">
        <f t="array" ref="AL196">_xlfn.IFS(Table1[[#This Row],[JobSatisfaction]]=1,"Low",Table1[[#This Row],[JobSatisfaction]]=2,"Medium",Table1[[#This Row],[JobSatisfaction]]=3,"High",Table1[[#This Row],[JobSatisfaction]]=4,"Very High")</f>
        <v>Very High</v>
      </c>
      <c r="AM196">
        <f>IF(Table1[[#This Row],[Attrition]]="Yes",1,0)</f>
        <v>0</v>
      </c>
    </row>
    <row r="197" spans="1:39" ht="13.8" x14ac:dyDescent="0.25">
      <c r="A197">
        <v>37</v>
      </c>
      <c r="B197" t="str" cm="1">
        <f t="array" ref="B197">_xlfn.IFS(Table1[[#This Row],[Age]]&lt;30,"Under 30",Table1[[#This Row],[Age]]&lt;=40,"30-40",Table1[[#This Row],[Age]]&lt;=50,"41-50",Table1[[#This Row],[Age]]&gt;50,"Over 50")</f>
        <v>30-40</v>
      </c>
      <c r="C197" t="s">
        <v>43</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t="str" cm="1">
        <f t="array" ref="AH197">_xlfn.IFS(Table1[[#This Row],[YearsAtCompany]]&lt;=2,"0-2 years",Table1[[#This Row],[YearsAtCompany]]&lt;=5,"3-5 years",Table1[[#This Row],[YearsAtCompany]]&lt;=10,"6-10 years",Table1[[#This Row],[YearsAtCompany]]&gt;10,"10+ years")</f>
        <v>6-10 years</v>
      </c>
      <c r="AI197">
        <v>7</v>
      </c>
      <c r="AJ197">
        <v>1</v>
      </c>
      <c r="AK197">
        <v>7</v>
      </c>
      <c r="AL197" t="str" cm="1">
        <f t="array" ref="AL197">_xlfn.IFS(Table1[[#This Row],[JobSatisfaction]]=1,"Low",Table1[[#This Row],[JobSatisfaction]]=2,"Medium",Table1[[#This Row],[JobSatisfaction]]=3,"High",Table1[[#This Row],[JobSatisfaction]]=4,"Very High")</f>
        <v>Low</v>
      </c>
      <c r="AM197">
        <f>IF(Table1[[#This Row],[Attrition]]="Yes",1,0)</f>
        <v>0</v>
      </c>
    </row>
    <row r="198" spans="1:39" ht="13.8" x14ac:dyDescent="0.25">
      <c r="A198">
        <v>35</v>
      </c>
      <c r="B198" t="str" cm="1">
        <f t="array" ref="B198">_xlfn.IFS(Table1[[#This Row],[Age]]&lt;30,"Under 30",Table1[[#This Row],[Age]]&lt;=40,"30-40",Table1[[#This Row],[Age]]&lt;=50,"41-50",Table1[[#This Row],[Age]]&gt;50,"Over 50")</f>
        <v>30-40</v>
      </c>
      <c r="C198" t="s">
        <v>43</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t="str" cm="1">
        <f t="array" ref="AH198">_xlfn.IFS(Table1[[#This Row],[YearsAtCompany]]&lt;=2,"0-2 years",Table1[[#This Row],[YearsAtCompany]]&lt;=5,"3-5 years",Table1[[#This Row],[YearsAtCompany]]&lt;=10,"6-10 years",Table1[[#This Row],[YearsAtCompany]]&gt;10,"10+ years")</f>
        <v>6-10 years</v>
      </c>
      <c r="AI198">
        <v>2</v>
      </c>
      <c r="AJ198">
        <v>1</v>
      </c>
      <c r="AK198">
        <v>2</v>
      </c>
      <c r="AL198" t="str" cm="1">
        <f t="array" ref="AL198">_xlfn.IFS(Table1[[#This Row],[JobSatisfaction]]=1,"Low",Table1[[#This Row],[JobSatisfaction]]=2,"Medium",Table1[[#This Row],[JobSatisfaction]]=3,"High",Table1[[#This Row],[JobSatisfaction]]=4,"Very High")</f>
        <v>Medium</v>
      </c>
      <c r="AM198">
        <f>IF(Table1[[#This Row],[Attrition]]="Yes",1,0)</f>
        <v>0</v>
      </c>
    </row>
    <row r="199" spans="1:39" ht="13.8" x14ac:dyDescent="0.25">
      <c r="A199">
        <v>42</v>
      </c>
      <c r="B199" t="str" cm="1">
        <f t="array" ref="B199">_xlfn.IFS(Table1[[#This Row],[Age]]&lt;30,"Under 30",Table1[[#This Row],[Age]]&lt;=40,"30-40",Table1[[#This Row],[Age]]&lt;=50,"41-50",Table1[[#This Row],[Age]]&gt;50,"Over 50")</f>
        <v>41-50</v>
      </c>
      <c r="C199" t="s">
        <v>43</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t="str" cm="1">
        <f t="array" ref="AH199">_xlfn.IFS(Table1[[#This Row],[YearsAtCompany]]&lt;=2,"0-2 years",Table1[[#This Row],[YearsAtCompany]]&lt;=5,"3-5 years",Table1[[#This Row],[YearsAtCompany]]&lt;=10,"6-10 years",Table1[[#This Row],[YearsAtCompany]]&gt;10,"10+ years")</f>
        <v>3-5 years</v>
      </c>
      <c r="AI199">
        <v>3</v>
      </c>
      <c r="AJ199">
        <v>0</v>
      </c>
      <c r="AK199">
        <v>2</v>
      </c>
      <c r="AL199" t="str" cm="1">
        <f t="array" ref="AL199">_xlfn.IFS(Table1[[#This Row],[JobSatisfaction]]=1,"Low",Table1[[#This Row],[JobSatisfaction]]=2,"Medium",Table1[[#This Row],[JobSatisfaction]]=3,"High",Table1[[#This Row],[JobSatisfaction]]=4,"Very High")</f>
        <v>High</v>
      </c>
      <c r="AM199">
        <f>IF(Table1[[#This Row],[Attrition]]="Yes",1,0)</f>
        <v>0</v>
      </c>
    </row>
    <row r="200" spans="1:39" ht="13.8" x14ac:dyDescent="0.25">
      <c r="A200">
        <v>38</v>
      </c>
      <c r="B200" t="str" cm="1">
        <f t="array" ref="B200">_xlfn.IFS(Table1[[#This Row],[Age]]&lt;30,"Under 30",Table1[[#This Row],[Age]]&lt;=40,"30-40",Table1[[#This Row],[Age]]&lt;=50,"41-50",Table1[[#This Row],[Age]]&gt;50,"Over 50")</f>
        <v>30-40</v>
      </c>
      <c r="C200" t="s">
        <v>43</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t="str" cm="1">
        <f t="array" ref="AH200">_xlfn.IFS(Table1[[#This Row],[YearsAtCompany]]&lt;=2,"0-2 years",Table1[[#This Row],[YearsAtCompany]]&lt;=5,"3-5 years",Table1[[#This Row],[YearsAtCompany]]&lt;=10,"6-10 years",Table1[[#This Row],[YearsAtCompany]]&gt;10,"10+ years")</f>
        <v>0-2 years</v>
      </c>
      <c r="AI200">
        <v>0</v>
      </c>
      <c r="AJ200">
        <v>0</v>
      </c>
      <c r="AK200">
        <v>0</v>
      </c>
      <c r="AL200" t="str" cm="1">
        <f t="array" ref="AL200">_xlfn.IFS(Table1[[#This Row],[JobSatisfaction]]=1,"Low",Table1[[#This Row],[JobSatisfaction]]=2,"Medium",Table1[[#This Row],[JobSatisfaction]]=3,"High",Table1[[#This Row],[JobSatisfaction]]=4,"Very High")</f>
        <v>High</v>
      </c>
      <c r="AM200">
        <f>IF(Table1[[#This Row],[Attrition]]="Yes",1,0)</f>
        <v>0</v>
      </c>
    </row>
    <row r="201" spans="1:39" ht="13.8" x14ac:dyDescent="0.25">
      <c r="A201">
        <v>38</v>
      </c>
      <c r="B201" t="str" cm="1">
        <f t="array" ref="B201">_xlfn.IFS(Table1[[#This Row],[Age]]&lt;30,"Under 30",Table1[[#This Row],[Age]]&lt;=40,"30-40",Table1[[#This Row],[Age]]&lt;=50,"41-50",Table1[[#This Row],[Age]]&gt;50,"Over 50")</f>
        <v>30-40</v>
      </c>
      <c r="C201" t="s">
        <v>43</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t="str" cm="1">
        <f t="array" ref="AH201">_xlfn.IFS(Table1[[#This Row],[YearsAtCompany]]&lt;=2,"0-2 years",Table1[[#This Row],[YearsAtCompany]]&lt;=5,"3-5 years",Table1[[#This Row],[YearsAtCompany]]&lt;=10,"6-10 years",Table1[[#This Row],[YearsAtCompany]]&gt;10,"10+ years")</f>
        <v>6-10 years</v>
      </c>
      <c r="AI201">
        <v>7</v>
      </c>
      <c r="AJ201">
        <v>1</v>
      </c>
      <c r="AK201">
        <v>7</v>
      </c>
      <c r="AL201" t="str" cm="1">
        <f t="array" ref="AL201">_xlfn.IFS(Table1[[#This Row],[JobSatisfaction]]=1,"Low",Table1[[#This Row],[JobSatisfaction]]=2,"Medium",Table1[[#This Row],[JobSatisfaction]]=3,"High",Table1[[#This Row],[JobSatisfaction]]=4,"Very High")</f>
        <v>Very High</v>
      </c>
      <c r="AM201">
        <f>IF(Table1[[#This Row],[Attrition]]="Yes",1,0)</f>
        <v>0</v>
      </c>
    </row>
    <row r="202" spans="1:39" ht="13.8" x14ac:dyDescent="0.25">
      <c r="A202">
        <v>27</v>
      </c>
      <c r="B202" t="str" cm="1">
        <f t="array" ref="B202">_xlfn.IFS(Table1[[#This Row],[Age]]&lt;30,"Under 30",Table1[[#This Row],[Age]]&lt;=40,"30-40",Table1[[#This Row],[Age]]&lt;=50,"41-50",Table1[[#This Row],[Age]]&gt;50,"Over 50")</f>
        <v>Under 30</v>
      </c>
      <c r="C202" t="s">
        <v>43</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t="str" cm="1">
        <f t="array" ref="AH202">_xlfn.IFS(Table1[[#This Row],[YearsAtCompany]]&lt;=2,"0-2 years",Table1[[#This Row],[YearsAtCompany]]&lt;=5,"3-5 years",Table1[[#This Row],[YearsAtCompany]]&lt;=10,"6-10 years",Table1[[#This Row],[YearsAtCompany]]&gt;10,"10+ years")</f>
        <v>0-2 years</v>
      </c>
      <c r="AI202">
        <v>2</v>
      </c>
      <c r="AJ202">
        <v>2</v>
      </c>
      <c r="AK202">
        <v>0</v>
      </c>
      <c r="AL202" t="str" cm="1">
        <f t="array" ref="AL202">_xlfn.IFS(Table1[[#This Row],[JobSatisfaction]]=1,"Low",Table1[[#This Row],[JobSatisfaction]]=2,"Medium",Table1[[#This Row],[JobSatisfaction]]=3,"High",Table1[[#This Row],[JobSatisfaction]]=4,"Very High")</f>
        <v>Low</v>
      </c>
      <c r="AM202">
        <f>IF(Table1[[#This Row],[Attrition]]="Yes",1,0)</f>
        <v>0</v>
      </c>
    </row>
    <row r="203" spans="1:39" ht="13.8" x14ac:dyDescent="0.25">
      <c r="A203">
        <v>49</v>
      </c>
      <c r="B203" t="str" cm="1">
        <f t="array" ref="B203">_xlfn.IFS(Table1[[#This Row],[Age]]&lt;30,"Under 30",Table1[[#This Row],[Age]]&lt;=40,"30-40",Table1[[#This Row],[Age]]&lt;=50,"41-50",Table1[[#This Row],[Age]]&gt;50,"Over 50")</f>
        <v>41-50</v>
      </c>
      <c r="C203" t="s">
        <v>43</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t="str" cm="1">
        <f t="array" ref="AH203">_xlfn.IFS(Table1[[#This Row],[YearsAtCompany]]&lt;=2,"0-2 years",Table1[[#This Row],[YearsAtCompany]]&lt;=5,"3-5 years",Table1[[#This Row],[YearsAtCompany]]&lt;=10,"6-10 years",Table1[[#This Row],[YearsAtCompany]]&gt;10,"10+ years")</f>
        <v>6-10 years</v>
      </c>
      <c r="AI203">
        <v>7</v>
      </c>
      <c r="AJ203">
        <v>1</v>
      </c>
      <c r="AK203">
        <v>7</v>
      </c>
      <c r="AL203" t="str" cm="1">
        <f t="array" ref="AL203">_xlfn.IFS(Table1[[#This Row],[JobSatisfaction]]=1,"Low",Table1[[#This Row],[JobSatisfaction]]=2,"Medium",Table1[[#This Row],[JobSatisfaction]]=3,"High",Table1[[#This Row],[JobSatisfaction]]=4,"Very High")</f>
        <v>Very High</v>
      </c>
      <c r="AM203">
        <f>IF(Table1[[#This Row],[Attrition]]="Yes",1,0)</f>
        <v>0</v>
      </c>
    </row>
    <row r="204" spans="1:39" ht="13.8" x14ac:dyDescent="0.25">
      <c r="A204">
        <v>34</v>
      </c>
      <c r="B204" t="str" cm="1">
        <f t="array" ref="B204">_xlfn.IFS(Table1[[#This Row],[Age]]&lt;30,"Under 30",Table1[[#This Row],[Age]]&lt;=40,"30-40",Table1[[#This Row],[Age]]&lt;=50,"41-50",Table1[[#This Row],[Age]]&gt;50,"Over 50")</f>
        <v>30-40</v>
      </c>
      <c r="C204" t="s">
        <v>43</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t="str" cm="1">
        <f t="array" ref="AH204">_xlfn.IFS(Table1[[#This Row],[YearsAtCompany]]&lt;=2,"0-2 years",Table1[[#This Row],[YearsAtCompany]]&lt;=5,"3-5 years",Table1[[#This Row],[YearsAtCompany]]&lt;=10,"6-10 years",Table1[[#This Row],[YearsAtCompany]]&gt;10,"10+ years")</f>
        <v>3-5 years</v>
      </c>
      <c r="AI204">
        <v>3</v>
      </c>
      <c r="AJ204">
        <v>2</v>
      </c>
      <c r="AK204">
        <v>0</v>
      </c>
      <c r="AL204" t="str" cm="1">
        <f t="array" ref="AL204">_xlfn.IFS(Table1[[#This Row],[JobSatisfaction]]=1,"Low",Table1[[#This Row],[JobSatisfaction]]=2,"Medium",Table1[[#This Row],[JobSatisfaction]]=3,"High",Table1[[#This Row],[JobSatisfaction]]=4,"Very High")</f>
        <v>High</v>
      </c>
      <c r="AM204">
        <f>IF(Table1[[#This Row],[Attrition]]="Yes",1,0)</f>
        <v>0</v>
      </c>
    </row>
    <row r="205" spans="1:39" ht="13.8" x14ac:dyDescent="0.25">
      <c r="A205">
        <v>40</v>
      </c>
      <c r="B205" t="str" cm="1">
        <f t="array" ref="B205">_xlfn.IFS(Table1[[#This Row],[Age]]&lt;30,"Under 30",Table1[[#This Row],[Age]]&lt;=40,"30-40",Table1[[#This Row],[Age]]&lt;=50,"41-50",Table1[[#This Row],[Age]]&gt;50,"Over 50")</f>
        <v>30-40</v>
      </c>
      <c r="C205" t="s">
        <v>43</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t="str" cm="1">
        <f t="array" ref="AH205">_xlfn.IFS(Table1[[#This Row],[YearsAtCompany]]&lt;=2,"0-2 years",Table1[[#This Row],[YearsAtCompany]]&lt;=5,"3-5 years",Table1[[#This Row],[YearsAtCompany]]&lt;=10,"6-10 years",Table1[[#This Row],[YearsAtCompany]]&gt;10,"10+ years")</f>
        <v>6-10 years</v>
      </c>
      <c r="AI205">
        <v>2</v>
      </c>
      <c r="AJ205">
        <v>3</v>
      </c>
      <c r="AK205">
        <v>7</v>
      </c>
      <c r="AL205" t="str" cm="1">
        <f t="array" ref="AL205">_xlfn.IFS(Table1[[#This Row],[JobSatisfaction]]=1,"Low",Table1[[#This Row],[JobSatisfaction]]=2,"Medium",Table1[[#This Row],[JobSatisfaction]]=3,"High",Table1[[#This Row],[JobSatisfaction]]=4,"Very High")</f>
        <v>Very High</v>
      </c>
      <c r="AM205">
        <f>IF(Table1[[#This Row],[Attrition]]="Yes",1,0)</f>
        <v>0</v>
      </c>
    </row>
    <row r="206" spans="1:39" ht="13.8" x14ac:dyDescent="0.25">
      <c r="A206">
        <v>38</v>
      </c>
      <c r="B206" t="str" cm="1">
        <f t="array" ref="B206">_xlfn.IFS(Table1[[#This Row],[Age]]&lt;30,"Under 30",Table1[[#This Row],[Age]]&lt;=40,"30-40",Table1[[#This Row],[Age]]&lt;=50,"41-50",Table1[[#This Row],[Age]]&gt;50,"Over 50")</f>
        <v>30-40</v>
      </c>
      <c r="C206" t="s">
        <v>35</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t="str" cm="1">
        <f t="array" ref="AH206">_xlfn.IFS(Table1[[#This Row],[YearsAtCompany]]&lt;=2,"0-2 years",Table1[[#This Row],[YearsAtCompany]]&lt;=5,"3-5 years",Table1[[#This Row],[YearsAtCompany]]&lt;=10,"6-10 years",Table1[[#This Row],[YearsAtCompany]]&gt;10,"10+ years")</f>
        <v>0-2 years</v>
      </c>
      <c r="AI206">
        <v>0</v>
      </c>
      <c r="AJ206">
        <v>0</v>
      </c>
      <c r="AK206">
        <v>0</v>
      </c>
      <c r="AL206" t="str" cm="1">
        <f t="array" ref="AL206">_xlfn.IFS(Table1[[#This Row],[JobSatisfaction]]=1,"Low",Table1[[#This Row],[JobSatisfaction]]=2,"Medium",Table1[[#This Row],[JobSatisfaction]]=3,"High",Table1[[#This Row],[JobSatisfaction]]=4,"Very High")</f>
        <v>Low</v>
      </c>
      <c r="AM206">
        <f>IF(Table1[[#This Row],[Attrition]]="Yes",1,0)</f>
        <v>1</v>
      </c>
    </row>
    <row r="207" spans="1:39" ht="13.8" x14ac:dyDescent="0.25">
      <c r="A207">
        <v>29</v>
      </c>
      <c r="B207" t="str" cm="1">
        <f t="array" ref="B207">_xlfn.IFS(Table1[[#This Row],[Age]]&lt;30,"Under 30",Table1[[#This Row],[Age]]&lt;=40,"30-40",Table1[[#This Row],[Age]]&lt;=50,"41-50",Table1[[#This Row],[Age]]&gt;50,"Over 50")</f>
        <v>Under 30</v>
      </c>
      <c r="C207" t="s">
        <v>35</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t="str" cm="1">
        <f t="array" ref="AH207">_xlfn.IFS(Table1[[#This Row],[YearsAtCompany]]&lt;=2,"0-2 years",Table1[[#This Row],[YearsAtCompany]]&lt;=5,"3-5 years",Table1[[#This Row],[YearsAtCompany]]&lt;=10,"6-10 years",Table1[[#This Row],[YearsAtCompany]]&gt;10,"10+ years")</f>
        <v>6-10 years</v>
      </c>
      <c r="AI207">
        <v>4</v>
      </c>
      <c r="AJ207">
        <v>1</v>
      </c>
      <c r="AK207">
        <v>9</v>
      </c>
      <c r="AL207" t="str" cm="1">
        <f t="array" ref="AL207">_xlfn.IFS(Table1[[#This Row],[JobSatisfaction]]=1,"Low",Table1[[#This Row],[JobSatisfaction]]=2,"Medium",Table1[[#This Row],[JobSatisfaction]]=3,"High",Table1[[#This Row],[JobSatisfaction]]=4,"Very High")</f>
        <v>Very High</v>
      </c>
      <c r="AM207">
        <f>IF(Table1[[#This Row],[Attrition]]="Yes",1,0)</f>
        <v>1</v>
      </c>
    </row>
    <row r="208" spans="1:39" ht="13.8" x14ac:dyDescent="0.25">
      <c r="A208">
        <v>22</v>
      </c>
      <c r="B208" t="str" cm="1">
        <f t="array" ref="B208">_xlfn.IFS(Table1[[#This Row],[Age]]&lt;30,"Under 30",Table1[[#This Row],[Age]]&lt;=40,"30-40",Table1[[#This Row],[Age]]&lt;=50,"41-50",Table1[[#This Row],[Age]]&gt;50,"Over 50")</f>
        <v>Under 30</v>
      </c>
      <c r="C208" t="s">
        <v>43</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t="str" cm="1">
        <f t="array" ref="AH208">_xlfn.IFS(Table1[[#This Row],[YearsAtCompany]]&lt;=2,"0-2 years",Table1[[#This Row],[YearsAtCompany]]&lt;=5,"3-5 years",Table1[[#This Row],[YearsAtCompany]]&lt;=10,"6-10 years",Table1[[#This Row],[YearsAtCompany]]&gt;10,"10+ years")</f>
        <v>3-5 years</v>
      </c>
      <c r="AI208">
        <v>2</v>
      </c>
      <c r="AJ208">
        <v>2</v>
      </c>
      <c r="AK208">
        <v>2</v>
      </c>
      <c r="AL208" t="str" cm="1">
        <f t="array" ref="AL208">_xlfn.IFS(Table1[[#This Row],[JobSatisfaction]]=1,"Low",Table1[[#This Row],[JobSatisfaction]]=2,"Medium",Table1[[#This Row],[JobSatisfaction]]=3,"High",Table1[[#This Row],[JobSatisfaction]]=4,"Very High")</f>
        <v>Medium</v>
      </c>
      <c r="AM208">
        <f>IF(Table1[[#This Row],[Attrition]]="Yes",1,0)</f>
        <v>0</v>
      </c>
    </row>
    <row r="209" spans="1:39" ht="13.8" x14ac:dyDescent="0.25">
      <c r="A209">
        <v>36</v>
      </c>
      <c r="B209" t="str" cm="1">
        <f t="array" ref="B209">_xlfn.IFS(Table1[[#This Row],[Age]]&lt;30,"Under 30",Table1[[#This Row],[Age]]&lt;=40,"30-40",Table1[[#This Row],[Age]]&lt;=50,"41-50",Table1[[#This Row],[Age]]&gt;50,"Over 50")</f>
        <v>30-40</v>
      </c>
      <c r="C209" t="s">
        <v>43</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t="str" cm="1">
        <f t="array" ref="AH209">_xlfn.IFS(Table1[[#This Row],[YearsAtCompany]]&lt;=2,"0-2 years",Table1[[#This Row],[YearsAtCompany]]&lt;=5,"3-5 years",Table1[[#This Row],[YearsAtCompany]]&lt;=10,"6-10 years",Table1[[#This Row],[YearsAtCompany]]&gt;10,"10+ years")</f>
        <v>6-10 years</v>
      </c>
      <c r="AI209">
        <v>1</v>
      </c>
      <c r="AJ209">
        <v>1</v>
      </c>
      <c r="AK209">
        <v>7</v>
      </c>
      <c r="AL209" t="str" cm="1">
        <f t="array" ref="AL209">_xlfn.IFS(Table1[[#This Row],[JobSatisfaction]]=1,"Low",Table1[[#This Row],[JobSatisfaction]]=2,"Medium",Table1[[#This Row],[JobSatisfaction]]=3,"High",Table1[[#This Row],[JobSatisfaction]]=4,"Very High")</f>
        <v>Very High</v>
      </c>
      <c r="AM209">
        <f>IF(Table1[[#This Row],[Attrition]]="Yes",1,0)</f>
        <v>0</v>
      </c>
    </row>
    <row r="210" spans="1:39" ht="13.8" x14ac:dyDescent="0.25">
      <c r="A210">
        <v>40</v>
      </c>
      <c r="B210" t="str" cm="1">
        <f t="array" ref="B210">_xlfn.IFS(Table1[[#This Row],[Age]]&lt;30,"Under 30",Table1[[#This Row],[Age]]&lt;=40,"30-40",Table1[[#This Row],[Age]]&lt;=50,"41-50",Table1[[#This Row],[Age]]&gt;50,"Over 50")</f>
        <v>30-40</v>
      </c>
      <c r="C210" t="s">
        <v>43</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t="str" cm="1">
        <f t="array" ref="AH210">_xlfn.IFS(Table1[[#This Row],[YearsAtCompany]]&lt;=2,"0-2 years",Table1[[#This Row],[YearsAtCompany]]&lt;=5,"3-5 years",Table1[[#This Row],[YearsAtCompany]]&lt;=10,"6-10 years",Table1[[#This Row],[YearsAtCompany]]&gt;10,"10+ years")</f>
        <v>3-5 years</v>
      </c>
      <c r="AI210">
        <v>2</v>
      </c>
      <c r="AJ210">
        <v>0</v>
      </c>
      <c r="AK210">
        <v>2</v>
      </c>
      <c r="AL210" t="str" cm="1">
        <f t="array" ref="AL210">_xlfn.IFS(Table1[[#This Row],[JobSatisfaction]]=1,"Low",Table1[[#This Row],[JobSatisfaction]]=2,"Medium",Table1[[#This Row],[JobSatisfaction]]=3,"High",Table1[[#This Row],[JobSatisfaction]]=4,"Very High")</f>
        <v>Very High</v>
      </c>
      <c r="AM210">
        <f>IF(Table1[[#This Row],[Attrition]]="Yes",1,0)</f>
        <v>0</v>
      </c>
    </row>
    <row r="211" spans="1:39" ht="13.8" x14ac:dyDescent="0.25">
      <c r="A211">
        <v>46</v>
      </c>
      <c r="B211" t="str" cm="1">
        <f t="array" ref="B211">_xlfn.IFS(Table1[[#This Row],[Age]]&lt;30,"Under 30",Table1[[#This Row],[Age]]&lt;=40,"30-40",Table1[[#This Row],[Age]]&lt;=50,"41-50",Table1[[#This Row],[Age]]&gt;50,"Over 50")</f>
        <v>41-50</v>
      </c>
      <c r="C211" t="s">
        <v>43</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t="str" cm="1">
        <f t="array" ref="AH211">_xlfn.IFS(Table1[[#This Row],[YearsAtCompany]]&lt;=2,"0-2 years",Table1[[#This Row],[YearsAtCompany]]&lt;=5,"3-5 years",Table1[[#This Row],[YearsAtCompany]]&lt;=10,"6-10 years",Table1[[#This Row],[YearsAtCompany]]&gt;10,"10+ years")</f>
        <v>3-5 years</v>
      </c>
      <c r="AI211">
        <v>2</v>
      </c>
      <c r="AJ211">
        <v>0</v>
      </c>
      <c r="AK211">
        <v>3</v>
      </c>
      <c r="AL211" t="str" cm="1">
        <f t="array" ref="AL211">_xlfn.IFS(Table1[[#This Row],[JobSatisfaction]]=1,"Low",Table1[[#This Row],[JobSatisfaction]]=2,"Medium",Table1[[#This Row],[JobSatisfaction]]=3,"High",Table1[[#This Row],[JobSatisfaction]]=4,"Very High")</f>
        <v>Low</v>
      </c>
      <c r="AM211">
        <f>IF(Table1[[#This Row],[Attrition]]="Yes",1,0)</f>
        <v>0</v>
      </c>
    </row>
    <row r="212" spans="1:39" ht="13.8" x14ac:dyDescent="0.25">
      <c r="A212">
        <v>32</v>
      </c>
      <c r="B212" t="str" cm="1">
        <f t="array" ref="B212">_xlfn.IFS(Table1[[#This Row],[Age]]&lt;30,"Under 30",Table1[[#This Row],[Age]]&lt;=40,"30-40",Table1[[#This Row],[Age]]&lt;=50,"41-50",Table1[[#This Row],[Age]]&gt;50,"Over 50")</f>
        <v>30-40</v>
      </c>
      <c r="C212" t="s">
        <v>35</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t="str" cm="1">
        <f t="array" ref="AH212">_xlfn.IFS(Table1[[#This Row],[YearsAtCompany]]&lt;=2,"0-2 years",Table1[[#This Row],[YearsAtCompany]]&lt;=5,"3-5 years",Table1[[#This Row],[YearsAtCompany]]&lt;=10,"6-10 years",Table1[[#This Row],[YearsAtCompany]]&gt;10,"10+ years")</f>
        <v>10+ years</v>
      </c>
      <c r="AI212">
        <v>8</v>
      </c>
      <c r="AJ212">
        <v>9</v>
      </c>
      <c r="AK212">
        <v>8</v>
      </c>
      <c r="AL212" t="str" cm="1">
        <f t="array" ref="AL212">_xlfn.IFS(Table1[[#This Row],[JobSatisfaction]]=1,"Low",Table1[[#This Row],[JobSatisfaction]]=2,"Medium",Table1[[#This Row],[JobSatisfaction]]=3,"High",Table1[[#This Row],[JobSatisfaction]]=4,"Very High")</f>
        <v>Very High</v>
      </c>
      <c r="AM212">
        <f>IF(Table1[[#This Row],[Attrition]]="Yes",1,0)</f>
        <v>1</v>
      </c>
    </row>
    <row r="213" spans="1:39" ht="13.8" x14ac:dyDescent="0.25">
      <c r="A213">
        <v>30</v>
      </c>
      <c r="B213" t="str" cm="1">
        <f t="array" ref="B213">_xlfn.IFS(Table1[[#This Row],[Age]]&lt;30,"Under 30",Table1[[#This Row],[Age]]&lt;=40,"30-40",Table1[[#This Row],[Age]]&lt;=50,"41-50",Table1[[#This Row],[Age]]&gt;50,"Over 50")</f>
        <v>30-40</v>
      </c>
      <c r="C213" t="s">
        <v>43</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t="str" cm="1">
        <f t="array" ref="AH213">_xlfn.IFS(Table1[[#This Row],[YearsAtCompany]]&lt;=2,"0-2 years",Table1[[#This Row],[YearsAtCompany]]&lt;=5,"3-5 years",Table1[[#This Row],[YearsAtCompany]]&lt;=10,"6-10 years",Table1[[#This Row],[YearsAtCompany]]&gt;10,"10+ years")</f>
        <v>10+ years</v>
      </c>
      <c r="AI213">
        <v>8</v>
      </c>
      <c r="AJ213">
        <v>5</v>
      </c>
      <c r="AK213">
        <v>8</v>
      </c>
      <c r="AL213" t="str" cm="1">
        <f t="array" ref="AL213">_xlfn.IFS(Table1[[#This Row],[JobSatisfaction]]=1,"Low",Table1[[#This Row],[JobSatisfaction]]=2,"Medium",Table1[[#This Row],[JobSatisfaction]]=3,"High",Table1[[#This Row],[JobSatisfaction]]=4,"Very High")</f>
        <v>High</v>
      </c>
      <c r="AM213">
        <f>IF(Table1[[#This Row],[Attrition]]="Yes",1,0)</f>
        <v>0</v>
      </c>
    </row>
    <row r="214" spans="1:39" ht="13.8" x14ac:dyDescent="0.25">
      <c r="A214">
        <v>27</v>
      </c>
      <c r="B214" t="str" cm="1">
        <f t="array" ref="B214">_xlfn.IFS(Table1[[#This Row],[Age]]&lt;30,"Under 30",Table1[[#This Row],[Age]]&lt;=40,"30-40",Table1[[#This Row],[Age]]&lt;=50,"41-50",Table1[[#This Row],[Age]]&gt;50,"Over 50")</f>
        <v>Under 30</v>
      </c>
      <c r="C214" t="s">
        <v>43</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t="str" cm="1">
        <f t="array" ref="AH214">_xlfn.IFS(Table1[[#This Row],[YearsAtCompany]]&lt;=2,"0-2 years",Table1[[#This Row],[YearsAtCompany]]&lt;=5,"3-5 years",Table1[[#This Row],[YearsAtCompany]]&lt;=10,"6-10 years",Table1[[#This Row],[YearsAtCompany]]&gt;10,"10+ years")</f>
        <v>6-10 years</v>
      </c>
      <c r="AI214">
        <v>7</v>
      </c>
      <c r="AJ214">
        <v>0</v>
      </c>
      <c r="AK214">
        <v>7</v>
      </c>
      <c r="AL214" t="str" cm="1">
        <f t="array" ref="AL214">_xlfn.IFS(Table1[[#This Row],[JobSatisfaction]]=1,"Low",Table1[[#This Row],[JobSatisfaction]]=2,"Medium",Table1[[#This Row],[JobSatisfaction]]=3,"High",Table1[[#This Row],[JobSatisfaction]]=4,"Very High")</f>
        <v>High</v>
      </c>
      <c r="AM214">
        <f>IF(Table1[[#This Row],[Attrition]]="Yes",1,0)</f>
        <v>0</v>
      </c>
    </row>
    <row r="215" spans="1:39" ht="13.8" x14ac:dyDescent="0.25">
      <c r="A215">
        <v>51</v>
      </c>
      <c r="B215" t="str" cm="1">
        <f t="array" ref="B215">_xlfn.IFS(Table1[[#This Row],[Age]]&lt;30,"Under 30",Table1[[#This Row],[Age]]&lt;=40,"30-40",Table1[[#This Row],[Age]]&lt;=50,"41-50",Table1[[#This Row],[Age]]&gt;50,"Over 50")</f>
        <v>Over 50</v>
      </c>
      <c r="C215" t="s">
        <v>43</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t="str" cm="1">
        <f t="array" ref="AH215">_xlfn.IFS(Table1[[#This Row],[YearsAtCompany]]&lt;=2,"0-2 years",Table1[[#This Row],[YearsAtCompany]]&lt;=5,"3-5 years",Table1[[#This Row],[YearsAtCompany]]&lt;=10,"6-10 years",Table1[[#This Row],[YearsAtCompany]]&gt;10,"10+ years")</f>
        <v>6-10 years</v>
      </c>
      <c r="AI215">
        <v>9</v>
      </c>
      <c r="AJ215">
        <v>4</v>
      </c>
      <c r="AK215">
        <v>7</v>
      </c>
      <c r="AL215" t="str" cm="1">
        <f t="array" ref="AL215">_xlfn.IFS(Table1[[#This Row],[JobSatisfaction]]=1,"Low",Table1[[#This Row],[JobSatisfaction]]=2,"Medium",Table1[[#This Row],[JobSatisfaction]]=3,"High",Table1[[#This Row],[JobSatisfaction]]=4,"Very High")</f>
        <v>Medium</v>
      </c>
      <c r="AM215">
        <f>IF(Table1[[#This Row],[Attrition]]="Yes",1,0)</f>
        <v>0</v>
      </c>
    </row>
    <row r="216" spans="1:39" ht="13.8" x14ac:dyDescent="0.25">
      <c r="A216">
        <v>30</v>
      </c>
      <c r="B216" t="str" cm="1">
        <f t="array" ref="B216">_xlfn.IFS(Table1[[#This Row],[Age]]&lt;30,"Under 30",Table1[[#This Row],[Age]]&lt;=40,"30-40",Table1[[#This Row],[Age]]&lt;=50,"41-50",Table1[[#This Row],[Age]]&gt;50,"Over 50")</f>
        <v>30-40</v>
      </c>
      <c r="C216" t="s">
        <v>35</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t="str" cm="1">
        <f t="array" ref="AH216">_xlfn.IFS(Table1[[#This Row],[YearsAtCompany]]&lt;=2,"0-2 years",Table1[[#This Row],[YearsAtCompany]]&lt;=5,"3-5 years",Table1[[#This Row],[YearsAtCompany]]&lt;=10,"6-10 years",Table1[[#This Row],[YearsAtCompany]]&gt;10,"10+ years")</f>
        <v>3-5 years</v>
      </c>
      <c r="AI216">
        <v>2</v>
      </c>
      <c r="AJ216">
        <v>0</v>
      </c>
      <c r="AK216">
        <v>4</v>
      </c>
      <c r="AL216" t="str" cm="1">
        <f t="array" ref="AL216">_xlfn.IFS(Table1[[#This Row],[JobSatisfaction]]=1,"Low",Table1[[#This Row],[JobSatisfaction]]=2,"Medium",Table1[[#This Row],[JobSatisfaction]]=3,"High",Table1[[#This Row],[JobSatisfaction]]=4,"Very High")</f>
        <v>Low</v>
      </c>
      <c r="AM216">
        <f>IF(Table1[[#This Row],[Attrition]]="Yes",1,0)</f>
        <v>1</v>
      </c>
    </row>
    <row r="217" spans="1:39" ht="13.8" x14ac:dyDescent="0.25">
      <c r="A217">
        <v>41</v>
      </c>
      <c r="B217" t="str" cm="1">
        <f t="array" ref="B217">_xlfn.IFS(Table1[[#This Row],[Age]]&lt;30,"Under 30",Table1[[#This Row],[Age]]&lt;=40,"30-40",Table1[[#This Row],[Age]]&lt;=50,"41-50",Table1[[#This Row],[Age]]&gt;50,"Over 50")</f>
        <v>41-50</v>
      </c>
      <c r="C217" t="s">
        <v>43</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t="str" cm="1">
        <f t="array" ref="AH217">_xlfn.IFS(Table1[[#This Row],[YearsAtCompany]]&lt;=2,"0-2 years",Table1[[#This Row],[YearsAtCompany]]&lt;=5,"3-5 years",Table1[[#This Row],[YearsAtCompany]]&lt;=10,"6-10 years",Table1[[#This Row],[YearsAtCompany]]&gt;10,"10+ years")</f>
        <v>0-2 years</v>
      </c>
      <c r="AI217">
        <v>0</v>
      </c>
      <c r="AJ217">
        <v>0</v>
      </c>
      <c r="AK217">
        <v>0</v>
      </c>
      <c r="AL217" t="str" cm="1">
        <f t="array" ref="AL217">_xlfn.IFS(Table1[[#This Row],[JobSatisfaction]]=1,"Low",Table1[[#This Row],[JobSatisfaction]]=2,"Medium",Table1[[#This Row],[JobSatisfaction]]=3,"High",Table1[[#This Row],[JobSatisfaction]]=4,"Very High")</f>
        <v>Very High</v>
      </c>
      <c r="AM217">
        <f>IF(Table1[[#This Row],[Attrition]]="Yes",1,0)</f>
        <v>0</v>
      </c>
    </row>
    <row r="218" spans="1:39" ht="13.8" x14ac:dyDescent="0.25">
      <c r="A218">
        <v>30</v>
      </c>
      <c r="B218" t="str" cm="1">
        <f t="array" ref="B218">_xlfn.IFS(Table1[[#This Row],[Age]]&lt;30,"Under 30",Table1[[#This Row],[Age]]&lt;=40,"30-40",Table1[[#This Row],[Age]]&lt;=50,"41-50",Table1[[#This Row],[Age]]&gt;50,"Over 50")</f>
        <v>30-40</v>
      </c>
      <c r="C218" t="s">
        <v>35</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t="str" cm="1">
        <f t="array" ref="AH218">_xlfn.IFS(Table1[[#This Row],[YearsAtCompany]]&lt;=2,"0-2 years",Table1[[#This Row],[YearsAtCompany]]&lt;=5,"3-5 years",Table1[[#This Row],[YearsAtCompany]]&lt;=10,"6-10 years",Table1[[#This Row],[YearsAtCompany]]&gt;10,"10+ years")</f>
        <v>6-10 years</v>
      </c>
      <c r="AI218">
        <v>3</v>
      </c>
      <c r="AJ218">
        <v>0</v>
      </c>
      <c r="AK218">
        <v>1</v>
      </c>
      <c r="AL218" t="str" cm="1">
        <f t="array" ref="AL218">_xlfn.IFS(Table1[[#This Row],[JobSatisfaction]]=1,"Low",Table1[[#This Row],[JobSatisfaction]]=2,"Medium",Table1[[#This Row],[JobSatisfaction]]=3,"High",Table1[[#This Row],[JobSatisfaction]]=4,"Very High")</f>
        <v>Low</v>
      </c>
      <c r="AM218">
        <f>IF(Table1[[#This Row],[Attrition]]="Yes",1,0)</f>
        <v>1</v>
      </c>
    </row>
    <row r="219" spans="1:39" ht="13.8" x14ac:dyDescent="0.25">
      <c r="A219">
        <v>29</v>
      </c>
      <c r="B219" t="str" cm="1">
        <f t="array" ref="B219">_xlfn.IFS(Table1[[#This Row],[Age]]&lt;30,"Under 30",Table1[[#This Row],[Age]]&lt;=40,"30-40",Table1[[#This Row],[Age]]&lt;=50,"41-50",Table1[[#This Row],[Age]]&gt;50,"Over 50")</f>
        <v>Under 30</v>
      </c>
      <c r="C219" t="s">
        <v>35</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t="str" cm="1">
        <f t="array" ref="AH219">_xlfn.IFS(Table1[[#This Row],[YearsAtCompany]]&lt;=2,"0-2 years",Table1[[#This Row],[YearsAtCompany]]&lt;=5,"3-5 years",Table1[[#This Row],[YearsAtCompany]]&lt;=10,"6-10 years",Table1[[#This Row],[YearsAtCompany]]&gt;10,"10+ years")</f>
        <v>6-10 years</v>
      </c>
      <c r="AI219">
        <v>2</v>
      </c>
      <c r="AJ219">
        <v>1</v>
      </c>
      <c r="AK219">
        <v>5</v>
      </c>
      <c r="AL219" t="str" cm="1">
        <f t="array" ref="AL219">_xlfn.IFS(Table1[[#This Row],[JobSatisfaction]]=1,"Low",Table1[[#This Row],[JobSatisfaction]]=2,"Medium",Table1[[#This Row],[JobSatisfaction]]=3,"High",Table1[[#This Row],[JobSatisfaction]]=4,"Very High")</f>
        <v>High</v>
      </c>
      <c r="AM219">
        <f>IF(Table1[[#This Row],[Attrition]]="Yes",1,0)</f>
        <v>1</v>
      </c>
    </row>
    <row r="220" spans="1:39" ht="13.8" x14ac:dyDescent="0.25">
      <c r="A220">
        <v>45</v>
      </c>
      <c r="B220" t="str" cm="1">
        <f t="array" ref="B220">_xlfn.IFS(Table1[[#This Row],[Age]]&lt;30,"Under 30",Table1[[#This Row],[Age]]&lt;=40,"30-40",Table1[[#This Row],[Age]]&lt;=50,"41-50",Table1[[#This Row],[Age]]&gt;50,"Over 50")</f>
        <v>41-50</v>
      </c>
      <c r="C220" t="s">
        <v>43</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t="str" cm="1">
        <f t="array" ref="AH220">_xlfn.IFS(Table1[[#This Row],[YearsAtCompany]]&lt;=2,"0-2 years",Table1[[#This Row],[YearsAtCompany]]&lt;=5,"3-5 years",Table1[[#This Row],[YearsAtCompany]]&lt;=10,"6-10 years",Table1[[#This Row],[YearsAtCompany]]&gt;10,"10+ years")</f>
        <v>10+ years</v>
      </c>
      <c r="AI220">
        <v>7</v>
      </c>
      <c r="AJ220">
        <v>12</v>
      </c>
      <c r="AK220">
        <v>8</v>
      </c>
      <c r="AL220" t="str" cm="1">
        <f t="array" ref="AL220">_xlfn.IFS(Table1[[#This Row],[JobSatisfaction]]=1,"Low",Table1[[#This Row],[JobSatisfaction]]=2,"Medium",Table1[[#This Row],[JobSatisfaction]]=3,"High",Table1[[#This Row],[JobSatisfaction]]=4,"Very High")</f>
        <v>Very High</v>
      </c>
      <c r="AM220">
        <f>IF(Table1[[#This Row],[Attrition]]="Yes",1,0)</f>
        <v>0</v>
      </c>
    </row>
    <row r="221" spans="1:39" ht="13.8" x14ac:dyDescent="0.25">
      <c r="A221">
        <v>54</v>
      </c>
      <c r="B221" t="str" cm="1">
        <f t="array" ref="B221">_xlfn.IFS(Table1[[#This Row],[Age]]&lt;30,"Under 30",Table1[[#This Row],[Age]]&lt;=40,"30-40",Table1[[#This Row],[Age]]&lt;=50,"41-50",Table1[[#This Row],[Age]]&gt;50,"Over 50")</f>
        <v>Over 50</v>
      </c>
      <c r="C221" t="s">
        <v>43</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t="str" cm="1">
        <f t="array" ref="AH221">_xlfn.IFS(Table1[[#This Row],[YearsAtCompany]]&lt;=2,"0-2 years",Table1[[#This Row],[YearsAtCompany]]&lt;=5,"3-5 years",Table1[[#This Row],[YearsAtCompany]]&lt;=10,"6-10 years",Table1[[#This Row],[YearsAtCompany]]&gt;10,"10+ years")</f>
        <v>6-10 years</v>
      </c>
      <c r="AI221">
        <v>2</v>
      </c>
      <c r="AJ221">
        <v>0</v>
      </c>
      <c r="AK221">
        <v>5</v>
      </c>
      <c r="AL221" t="str" cm="1">
        <f t="array" ref="AL221">_xlfn.IFS(Table1[[#This Row],[JobSatisfaction]]=1,"Low",Table1[[#This Row],[JobSatisfaction]]=2,"Medium",Table1[[#This Row],[JobSatisfaction]]=3,"High",Table1[[#This Row],[JobSatisfaction]]=4,"Very High")</f>
        <v>Low</v>
      </c>
      <c r="AM221">
        <f>IF(Table1[[#This Row],[Attrition]]="Yes",1,0)</f>
        <v>0</v>
      </c>
    </row>
    <row r="222" spans="1:39" ht="13.8" x14ac:dyDescent="0.25">
      <c r="A222">
        <v>36</v>
      </c>
      <c r="B222" t="str" cm="1">
        <f t="array" ref="B222">_xlfn.IFS(Table1[[#This Row],[Age]]&lt;30,"Under 30",Table1[[#This Row],[Age]]&lt;=40,"30-40",Table1[[#This Row],[Age]]&lt;=50,"41-50",Table1[[#This Row],[Age]]&gt;50,"Over 50")</f>
        <v>30-40</v>
      </c>
      <c r="C222" t="s">
        <v>43</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t="str" cm="1">
        <f t="array" ref="AH222">_xlfn.IFS(Table1[[#This Row],[YearsAtCompany]]&lt;=2,"0-2 years",Table1[[#This Row],[YearsAtCompany]]&lt;=5,"3-5 years",Table1[[#This Row],[YearsAtCompany]]&lt;=10,"6-10 years",Table1[[#This Row],[YearsAtCompany]]&gt;10,"10+ years")</f>
        <v>10+ years</v>
      </c>
      <c r="AI222">
        <v>11</v>
      </c>
      <c r="AJ222">
        <v>3</v>
      </c>
      <c r="AK222">
        <v>7</v>
      </c>
      <c r="AL222" t="str" cm="1">
        <f t="array" ref="AL222">_xlfn.IFS(Table1[[#This Row],[JobSatisfaction]]=1,"Low",Table1[[#This Row],[JobSatisfaction]]=2,"Medium",Table1[[#This Row],[JobSatisfaction]]=3,"High",Table1[[#This Row],[JobSatisfaction]]=4,"Very High")</f>
        <v>Medium</v>
      </c>
      <c r="AM222">
        <f>IF(Table1[[#This Row],[Attrition]]="Yes",1,0)</f>
        <v>0</v>
      </c>
    </row>
    <row r="223" spans="1:39" ht="13.8" x14ac:dyDescent="0.25">
      <c r="A223">
        <v>33</v>
      </c>
      <c r="B223" t="str" cm="1">
        <f t="array" ref="B223">_xlfn.IFS(Table1[[#This Row],[Age]]&lt;30,"Under 30",Table1[[#This Row],[Age]]&lt;=40,"30-40",Table1[[#This Row],[Age]]&lt;=50,"41-50",Table1[[#This Row],[Age]]&gt;50,"Over 50")</f>
        <v>30-40</v>
      </c>
      <c r="C223" t="s">
        <v>43</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t="str" cm="1">
        <f t="array" ref="AH223">_xlfn.IFS(Table1[[#This Row],[YearsAtCompany]]&lt;=2,"0-2 years",Table1[[#This Row],[YearsAtCompany]]&lt;=5,"3-5 years",Table1[[#This Row],[YearsAtCompany]]&lt;=10,"6-10 years",Table1[[#This Row],[YearsAtCompany]]&gt;10,"10+ years")</f>
        <v>3-5 years</v>
      </c>
      <c r="AI223">
        <v>2</v>
      </c>
      <c r="AJ223">
        <v>1</v>
      </c>
      <c r="AK223">
        <v>1</v>
      </c>
      <c r="AL223" t="str" cm="1">
        <f t="array" ref="AL223">_xlfn.IFS(Table1[[#This Row],[JobSatisfaction]]=1,"Low",Table1[[#This Row],[JobSatisfaction]]=2,"Medium",Table1[[#This Row],[JobSatisfaction]]=3,"High",Table1[[#This Row],[JobSatisfaction]]=4,"Very High")</f>
        <v>Medium</v>
      </c>
      <c r="AM223">
        <f>IF(Table1[[#This Row],[Attrition]]="Yes",1,0)</f>
        <v>0</v>
      </c>
    </row>
    <row r="224" spans="1:39" ht="13.8" x14ac:dyDescent="0.25">
      <c r="A224">
        <v>37</v>
      </c>
      <c r="B224" t="str" cm="1">
        <f t="array" ref="B224">_xlfn.IFS(Table1[[#This Row],[Age]]&lt;30,"Under 30",Table1[[#This Row],[Age]]&lt;=40,"30-40",Table1[[#This Row],[Age]]&lt;=50,"41-50",Table1[[#This Row],[Age]]&gt;50,"Over 50")</f>
        <v>30-40</v>
      </c>
      <c r="C224" t="s">
        <v>43</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t="str" cm="1">
        <f t="array" ref="AH224">_xlfn.IFS(Table1[[#This Row],[YearsAtCompany]]&lt;=2,"0-2 years",Table1[[#This Row],[YearsAtCompany]]&lt;=5,"3-5 years",Table1[[#This Row],[YearsAtCompany]]&lt;=10,"6-10 years",Table1[[#This Row],[YearsAtCompany]]&gt;10,"10+ years")</f>
        <v>6-10 years</v>
      </c>
      <c r="AI224">
        <v>8</v>
      </c>
      <c r="AJ224">
        <v>0</v>
      </c>
      <c r="AK224">
        <v>7</v>
      </c>
      <c r="AL224" t="str" cm="1">
        <f t="array" ref="AL224">_xlfn.IFS(Table1[[#This Row],[JobSatisfaction]]=1,"Low",Table1[[#This Row],[JobSatisfaction]]=2,"Medium",Table1[[#This Row],[JobSatisfaction]]=3,"High",Table1[[#This Row],[JobSatisfaction]]=4,"Very High")</f>
        <v>Very High</v>
      </c>
      <c r="AM224">
        <f>IF(Table1[[#This Row],[Attrition]]="Yes",1,0)</f>
        <v>0</v>
      </c>
    </row>
    <row r="225" spans="1:39" ht="13.8" x14ac:dyDescent="0.25">
      <c r="A225">
        <v>38</v>
      </c>
      <c r="B225" t="str" cm="1">
        <f t="array" ref="B225">_xlfn.IFS(Table1[[#This Row],[Age]]&lt;30,"Under 30",Table1[[#This Row],[Age]]&lt;=40,"30-40",Table1[[#This Row],[Age]]&lt;=50,"41-50",Table1[[#This Row],[Age]]&gt;50,"Over 50")</f>
        <v>30-40</v>
      </c>
      <c r="C225" t="s">
        <v>43</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t="str" cm="1">
        <f t="array" ref="AH225">_xlfn.IFS(Table1[[#This Row],[YearsAtCompany]]&lt;=2,"0-2 years",Table1[[#This Row],[YearsAtCompany]]&lt;=5,"3-5 years",Table1[[#This Row],[YearsAtCompany]]&lt;=10,"6-10 years",Table1[[#This Row],[YearsAtCompany]]&gt;10,"10+ years")</f>
        <v>10+ years</v>
      </c>
      <c r="AI225">
        <v>10</v>
      </c>
      <c r="AJ225">
        <v>5</v>
      </c>
      <c r="AK225">
        <v>13</v>
      </c>
      <c r="AL225" t="str" cm="1">
        <f t="array" ref="AL225">_xlfn.IFS(Table1[[#This Row],[JobSatisfaction]]=1,"Low",Table1[[#This Row],[JobSatisfaction]]=2,"Medium",Table1[[#This Row],[JobSatisfaction]]=3,"High",Table1[[#This Row],[JobSatisfaction]]=4,"Very High")</f>
        <v>High</v>
      </c>
      <c r="AM225">
        <f>IF(Table1[[#This Row],[Attrition]]="Yes",1,0)</f>
        <v>0</v>
      </c>
    </row>
    <row r="226" spans="1:39" ht="13.8" x14ac:dyDescent="0.25">
      <c r="A226">
        <v>31</v>
      </c>
      <c r="B226" t="str" cm="1">
        <f t="array" ref="B226">_xlfn.IFS(Table1[[#This Row],[Age]]&lt;30,"Under 30",Table1[[#This Row],[Age]]&lt;=40,"30-40",Table1[[#This Row],[Age]]&lt;=50,"41-50",Table1[[#This Row],[Age]]&gt;50,"Over 50")</f>
        <v>30-40</v>
      </c>
      <c r="C226" t="s">
        <v>43</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t="str" cm="1">
        <f t="array" ref="AH226">_xlfn.IFS(Table1[[#This Row],[YearsAtCompany]]&lt;=2,"0-2 years",Table1[[#This Row],[YearsAtCompany]]&lt;=5,"3-5 years",Table1[[#This Row],[YearsAtCompany]]&lt;=10,"6-10 years",Table1[[#This Row],[YearsAtCompany]]&gt;10,"10+ years")</f>
        <v>3-5 years</v>
      </c>
      <c r="AI226">
        <v>4</v>
      </c>
      <c r="AJ226">
        <v>1</v>
      </c>
      <c r="AK226">
        <v>4</v>
      </c>
      <c r="AL226" t="str" cm="1">
        <f t="array" ref="AL226">_xlfn.IFS(Table1[[#This Row],[JobSatisfaction]]=1,"Low",Table1[[#This Row],[JobSatisfaction]]=2,"Medium",Table1[[#This Row],[JobSatisfaction]]=3,"High",Table1[[#This Row],[JobSatisfaction]]=4,"Very High")</f>
        <v>High</v>
      </c>
      <c r="AM226">
        <f>IF(Table1[[#This Row],[Attrition]]="Yes",1,0)</f>
        <v>0</v>
      </c>
    </row>
    <row r="227" spans="1:39" ht="13.8" x14ac:dyDescent="0.25">
      <c r="A227">
        <v>59</v>
      </c>
      <c r="B227" t="str" cm="1">
        <f t="array" ref="B227">_xlfn.IFS(Table1[[#This Row],[Age]]&lt;30,"Under 30",Table1[[#This Row],[Age]]&lt;=40,"30-40",Table1[[#This Row],[Age]]&lt;=50,"41-50",Table1[[#This Row],[Age]]&gt;50,"Over 50")</f>
        <v>Over 50</v>
      </c>
      <c r="C227" t="s">
        <v>43</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t="str" cm="1">
        <f t="array" ref="AH227">_xlfn.IFS(Table1[[#This Row],[YearsAtCompany]]&lt;=2,"0-2 years",Table1[[#This Row],[YearsAtCompany]]&lt;=5,"3-5 years",Table1[[#This Row],[YearsAtCompany]]&lt;=10,"6-10 years",Table1[[#This Row],[YearsAtCompany]]&gt;10,"10+ years")</f>
        <v>0-2 years</v>
      </c>
      <c r="AI227">
        <v>0</v>
      </c>
      <c r="AJ227">
        <v>0</v>
      </c>
      <c r="AK227">
        <v>0</v>
      </c>
      <c r="AL227" t="str" cm="1">
        <f t="array" ref="AL227">_xlfn.IFS(Table1[[#This Row],[JobSatisfaction]]=1,"Low",Table1[[#This Row],[JobSatisfaction]]=2,"Medium",Table1[[#This Row],[JobSatisfaction]]=3,"High",Table1[[#This Row],[JobSatisfaction]]=4,"Very High")</f>
        <v>Very High</v>
      </c>
      <c r="AM227">
        <f>IF(Table1[[#This Row],[Attrition]]="Yes",1,0)</f>
        <v>0</v>
      </c>
    </row>
    <row r="228" spans="1:39" ht="13.8" x14ac:dyDescent="0.25">
      <c r="A228">
        <v>37</v>
      </c>
      <c r="B228" t="str" cm="1">
        <f t="array" ref="B228">_xlfn.IFS(Table1[[#This Row],[Age]]&lt;30,"Under 30",Table1[[#This Row],[Age]]&lt;=40,"30-40",Table1[[#This Row],[Age]]&lt;=50,"41-50",Table1[[#This Row],[Age]]&gt;50,"Over 50")</f>
        <v>30-40</v>
      </c>
      <c r="C228" t="s">
        <v>43</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t="str" cm="1">
        <f t="array" ref="AH228">_xlfn.IFS(Table1[[#This Row],[YearsAtCompany]]&lt;=2,"0-2 years",Table1[[#This Row],[YearsAtCompany]]&lt;=5,"3-5 years",Table1[[#This Row],[YearsAtCompany]]&lt;=10,"6-10 years",Table1[[#This Row],[YearsAtCompany]]&gt;10,"10+ years")</f>
        <v>6-10 years</v>
      </c>
      <c r="AI228">
        <v>8</v>
      </c>
      <c r="AJ228">
        <v>5</v>
      </c>
      <c r="AK228">
        <v>8</v>
      </c>
      <c r="AL228" t="str" cm="1">
        <f t="array" ref="AL228">_xlfn.IFS(Table1[[#This Row],[JobSatisfaction]]=1,"Low",Table1[[#This Row],[JobSatisfaction]]=2,"Medium",Table1[[#This Row],[JobSatisfaction]]=3,"High",Table1[[#This Row],[JobSatisfaction]]=4,"Very High")</f>
        <v>Very High</v>
      </c>
      <c r="AM228">
        <f>IF(Table1[[#This Row],[Attrition]]="Yes",1,0)</f>
        <v>0</v>
      </c>
    </row>
    <row r="229" spans="1:39" ht="13.8" x14ac:dyDescent="0.25">
      <c r="A229">
        <v>29</v>
      </c>
      <c r="B229" t="str" cm="1">
        <f t="array" ref="B229">_xlfn.IFS(Table1[[#This Row],[Age]]&lt;30,"Under 30",Table1[[#This Row],[Age]]&lt;=40,"30-40",Table1[[#This Row],[Age]]&lt;=50,"41-50",Table1[[#This Row],[Age]]&gt;50,"Over 50")</f>
        <v>Under 30</v>
      </c>
      <c r="C229" t="s">
        <v>43</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t="str" cm="1">
        <f t="array" ref="AH229">_xlfn.IFS(Table1[[#This Row],[YearsAtCompany]]&lt;=2,"0-2 years",Table1[[#This Row],[YearsAtCompany]]&lt;=5,"3-5 years",Table1[[#This Row],[YearsAtCompany]]&lt;=10,"6-10 years",Table1[[#This Row],[YearsAtCompany]]&gt;10,"10+ years")</f>
        <v>10+ years</v>
      </c>
      <c r="AI229">
        <v>10</v>
      </c>
      <c r="AJ229">
        <v>4</v>
      </c>
      <c r="AK229">
        <v>1</v>
      </c>
      <c r="AL229" t="str" cm="1">
        <f t="array" ref="AL229">_xlfn.IFS(Table1[[#This Row],[JobSatisfaction]]=1,"Low",Table1[[#This Row],[JobSatisfaction]]=2,"Medium",Table1[[#This Row],[JobSatisfaction]]=3,"High",Table1[[#This Row],[JobSatisfaction]]=4,"Very High")</f>
        <v>Very High</v>
      </c>
      <c r="AM229">
        <f>IF(Table1[[#This Row],[Attrition]]="Yes",1,0)</f>
        <v>0</v>
      </c>
    </row>
    <row r="230" spans="1:39" ht="13.8" x14ac:dyDescent="0.25">
      <c r="A230">
        <v>35</v>
      </c>
      <c r="B230" t="str" cm="1">
        <f t="array" ref="B230">_xlfn.IFS(Table1[[#This Row],[Age]]&lt;30,"Under 30",Table1[[#This Row],[Age]]&lt;=40,"30-40",Table1[[#This Row],[Age]]&lt;=50,"41-50",Table1[[#This Row],[Age]]&gt;50,"Over 50")</f>
        <v>30-40</v>
      </c>
      <c r="C230" t="s">
        <v>43</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t="str" cm="1">
        <f t="array" ref="AH230">_xlfn.IFS(Table1[[#This Row],[YearsAtCompany]]&lt;=2,"0-2 years",Table1[[#This Row],[YearsAtCompany]]&lt;=5,"3-5 years",Table1[[#This Row],[YearsAtCompany]]&lt;=10,"6-10 years",Table1[[#This Row],[YearsAtCompany]]&gt;10,"10+ years")</f>
        <v>6-10 years</v>
      </c>
      <c r="AI230">
        <v>7</v>
      </c>
      <c r="AJ230">
        <v>0</v>
      </c>
      <c r="AK230">
        <v>8</v>
      </c>
      <c r="AL230" t="str" cm="1">
        <f t="array" ref="AL230">_xlfn.IFS(Table1[[#This Row],[JobSatisfaction]]=1,"Low",Table1[[#This Row],[JobSatisfaction]]=2,"Medium",Table1[[#This Row],[JobSatisfaction]]=3,"High",Table1[[#This Row],[JobSatisfaction]]=4,"Very High")</f>
        <v>High</v>
      </c>
      <c r="AM230">
        <f>IF(Table1[[#This Row],[Attrition]]="Yes",1,0)</f>
        <v>0</v>
      </c>
    </row>
    <row r="231" spans="1:39" ht="13.8" x14ac:dyDescent="0.25">
      <c r="A231">
        <v>29</v>
      </c>
      <c r="B231" t="str" cm="1">
        <f t="array" ref="B231">_xlfn.IFS(Table1[[#This Row],[Age]]&lt;30,"Under 30",Table1[[#This Row],[Age]]&lt;=40,"30-40",Table1[[#This Row],[Age]]&lt;=50,"41-50",Table1[[#This Row],[Age]]&gt;50,"Over 50")</f>
        <v>Under 30</v>
      </c>
      <c r="C231" t="s">
        <v>35</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t="str" cm="1">
        <f t="array" ref="AH231">_xlfn.IFS(Table1[[#This Row],[YearsAtCompany]]&lt;=2,"0-2 years",Table1[[#This Row],[YearsAtCompany]]&lt;=5,"3-5 years",Table1[[#This Row],[YearsAtCompany]]&lt;=10,"6-10 years",Table1[[#This Row],[YearsAtCompany]]&gt;10,"10+ years")</f>
        <v>3-5 years</v>
      </c>
      <c r="AI231">
        <v>3</v>
      </c>
      <c r="AJ231">
        <v>0</v>
      </c>
      <c r="AK231">
        <v>1</v>
      </c>
      <c r="AL231" t="str" cm="1">
        <f t="array" ref="AL231">_xlfn.IFS(Table1[[#This Row],[JobSatisfaction]]=1,"Low",Table1[[#This Row],[JobSatisfaction]]=2,"Medium",Table1[[#This Row],[JobSatisfaction]]=3,"High",Table1[[#This Row],[JobSatisfaction]]=4,"Very High")</f>
        <v>Very High</v>
      </c>
      <c r="AM231">
        <f>IF(Table1[[#This Row],[Attrition]]="Yes",1,0)</f>
        <v>1</v>
      </c>
    </row>
    <row r="232" spans="1:39" ht="13.8" x14ac:dyDescent="0.25">
      <c r="A232">
        <v>52</v>
      </c>
      <c r="B232" t="str" cm="1">
        <f t="array" ref="B232">_xlfn.IFS(Table1[[#This Row],[Age]]&lt;30,"Under 30",Table1[[#This Row],[Age]]&lt;=40,"30-40",Table1[[#This Row],[Age]]&lt;=50,"41-50",Table1[[#This Row],[Age]]&gt;50,"Over 50")</f>
        <v>Over 50</v>
      </c>
      <c r="C232" t="s">
        <v>43</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t="str" cm="1">
        <f t="array" ref="AH232">_xlfn.IFS(Table1[[#This Row],[YearsAtCompany]]&lt;=2,"0-2 years",Table1[[#This Row],[YearsAtCompany]]&lt;=5,"3-5 years",Table1[[#This Row],[YearsAtCompany]]&lt;=10,"6-10 years",Table1[[#This Row],[YearsAtCompany]]&gt;10,"10+ years")</f>
        <v>0-2 years</v>
      </c>
      <c r="AI232">
        <v>2</v>
      </c>
      <c r="AJ232">
        <v>2</v>
      </c>
      <c r="AK232">
        <v>2</v>
      </c>
      <c r="AL232" t="str" cm="1">
        <f t="array" ref="AL232">_xlfn.IFS(Table1[[#This Row],[JobSatisfaction]]=1,"Low",Table1[[#This Row],[JobSatisfaction]]=2,"Medium",Table1[[#This Row],[JobSatisfaction]]=3,"High",Table1[[#This Row],[JobSatisfaction]]=4,"Very High")</f>
        <v>Very High</v>
      </c>
      <c r="AM232">
        <f>IF(Table1[[#This Row],[Attrition]]="Yes",1,0)</f>
        <v>0</v>
      </c>
    </row>
    <row r="233" spans="1:39" ht="13.8" x14ac:dyDescent="0.25">
      <c r="A233">
        <v>42</v>
      </c>
      <c r="B233" t="str" cm="1">
        <f t="array" ref="B233">_xlfn.IFS(Table1[[#This Row],[Age]]&lt;30,"Under 30",Table1[[#This Row],[Age]]&lt;=40,"30-40",Table1[[#This Row],[Age]]&lt;=50,"41-50",Table1[[#This Row],[Age]]&gt;50,"Over 50")</f>
        <v>41-50</v>
      </c>
      <c r="C233" t="s">
        <v>43</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t="str" cm="1">
        <f t="array" ref="AH233">_xlfn.IFS(Table1[[#This Row],[YearsAtCompany]]&lt;=2,"0-2 years",Table1[[#This Row],[YearsAtCompany]]&lt;=5,"3-5 years",Table1[[#This Row],[YearsAtCompany]]&lt;=10,"6-10 years",Table1[[#This Row],[YearsAtCompany]]&gt;10,"10+ years")</f>
        <v>10+ years</v>
      </c>
      <c r="AI233">
        <v>17</v>
      </c>
      <c r="AJ233">
        <v>11</v>
      </c>
      <c r="AK233">
        <v>15</v>
      </c>
      <c r="AL233" t="str" cm="1">
        <f t="array" ref="AL233">_xlfn.IFS(Table1[[#This Row],[JobSatisfaction]]=1,"Low",Table1[[#This Row],[JobSatisfaction]]=2,"Medium",Table1[[#This Row],[JobSatisfaction]]=3,"High",Table1[[#This Row],[JobSatisfaction]]=4,"Very High")</f>
        <v>Very High</v>
      </c>
      <c r="AM233">
        <f>IF(Table1[[#This Row],[Attrition]]="Yes",1,0)</f>
        <v>0</v>
      </c>
    </row>
    <row r="234" spans="1:39" ht="13.8" x14ac:dyDescent="0.25">
      <c r="A234">
        <v>59</v>
      </c>
      <c r="B234" t="str" cm="1">
        <f t="array" ref="B234">_xlfn.IFS(Table1[[#This Row],[Age]]&lt;30,"Under 30",Table1[[#This Row],[Age]]&lt;=40,"30-40",Table1[[#This Row],[Age]]&lt;=50,"41-50",Table1[[#This Row],[Age]]&gt;50,"Over 50")</f>
        <v>Over 50</v>
      </c>
      <c r="C234" t="s">
        <v>43</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t="str" cm="1">
        <f t="array" ref="AH234">_xlfn.IFS(Table1[[#This Row],[YearsAtCompany]]&lt;=2,"0-2 years",Table1[[#This Row],[YearsAtCompany]]&lt;=5,"3-5 years",Table1[[#This Row],[YearsAtCompany]]&lt;=10,"6-10 years",Table1[[#This Row],[YearsAtCompany]]&gt;10,"10+ years")</f>
        <v>0-2 years</v>
      </c>
      <c r="AI234">
        <v>2</v>
      </c>
      <c r="AJ234">
        <v>2</v>
      </c>
      <c r="AK234">
        <v>2</v>
      </c>
      <c r="AL234" t="str" cm="1">
        <f t="array" ref="AL234">_xlfn.IFS(Table1[[#This Row],[JobSatisfaction]]=1,"Low",Table1[[#This Row],[JobSatisfaction]]=2,"Medium",Table1[[#This Row],[JobSatisfaction]]=3,"High",Table1[[#This Row],[JobSatisfaction]]=4,"Very High")</f>
        <v>High</v>
      </c>
      <c r="AM234">
        <f>IF(Table1[[#This Row],[Attrition]]="Yes",1,0)</f>
        <v>0</v>
      </c>
    </row>
    <row r="235" spans="1:39" ht="13.8" x14ac:dyDescent="0.25">
      <c r="A235">
        <v>50</v>
      </c>
      <c r="B235" t="str" cm="1">
        <f t="array" ref="B235">_xlfn.IFS(Table1[[#This Row],[Age]]&lt;30,"Under 30",Table1[[#This Row],[Age]]&lt;=40,"30-40",Table1[[#This Row],[Age]]&lt;=50,"41-50",Table1[[#This Row],[Age]]&gt;50,"Over 50")</f>
        <v>41-50</v>
      </c>
      <c r="C235" t="s">
        <v>43</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t="str" cm="1">
        <f t="array" ref="AH235">_xlfn.IFS(Table1[[#This Row],[YearsAtCompany]]&lt;=2,"0-2 years",Table1[[#This Row],[YearsAtCompany]]&lt;=5,"3-5 years",Table1[[#This Row],[YearsAtCompany]]&lt;=10,"6-10 years",Table1[[#This Row],[YearsAtCompany]]&gt;10,"10+ years")</f>
        <v>6-10 years</v>
      </c>
      <c r="AI235">
        <v>0</v>
      </c>
      <c r="AJ235">
        <v>0</v>
      </c>
      <c r="AK235">
        <v>6</v>
      </c>
      <c r="AL235" t="str" cm="1">
        <f t="array" ref="AL235">_xlfn.IFS(Table1[[#This Row],[JobSatisfaction]]=1,"Low",Table1[[#This Row],[JobSatisfaction]]=2,"Medium",Table1[[#This Row],[JobSatisfaction]]=3,"High",Table1[[#This Row],[JobSatisfaction]]=4,"Very High")</f>
        <v>Very High</v>
      </c>
      <c r="AM235">
        <f>IF(Table1[[#This Row],[Attrition]]="Yes",1,0)</f>
        <v>0</v>
      </c>
    </row>
    <row r="236" spans="1:39" ht="13.8" x14ac:dyDescent="0.25">
      <c r="A236">
        <v>33</v>
      </c>
      <c r="B236" t="str" cm="1">
        <f t="array" ref="B236">_xlfn.IFS(Table1[[#This Row],[Age]]&lt;30,"Under 30",Table1[[#This Row],[Age]]&lt;=40,"30-40",Table1[[#This Row],[Age]]&lt;=50,"41-50",Table1[[#This Row],[Age]]&gt;50,"Over 50")</f>
        <v>30-40</v>
      </c>
      <c r="C236" t="s">
        <v>35</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t="str" cm="1">
        <f t="array" ref="AH236">_xlfn.IFS(Table1[[#This Row],[YearsAtCompany]]&lt;=2,"0-2 years",Table1[[#This Row],[YearsAtCompany]]&lt;=5,"3-5 years",Table1[[#This Row],[YearsAtCompany]]&lt;=10,"6-10 years",Table1[[#This Row],[YearsAtCompany]]&gt;10,"10+ years")</f>
        <v>3-5 years</v>
      </c>
      <c r="AI236">
        <v>4</v>
      </c>
      <c r="AJ236">
        <v>0</v>
      </c>
      <c r="AK236">
        <v>4</v>
      </c>
      <c r="AL236" t="str" cm="1">
        <f t="array" ref="AL236">_xlfn.IFS(Table1[[#This Row],[JobSatisfaction]]=1,"Low",Table1[[#This Row],[JobSatisfaction]]=2,"Medium",Table1[[#This Row],[JobSatisfaction]]=3,"High",Table1[[#This Row],[JobSatisfaction]]=4,"Very High")</f>
        <v>Very High</v>
      </c>
      <c r="AM236">
        <f>IF(Table1[[#This Row],[Attrition]]="Yes",1,0)</f>
        <v>1</v>
      </c>
    </row>
    <row r="237" spans="1:39" ht="13.8" x14ac:dyDescent="0.25">
      <c r="A237">
        <v>43</v>
      </c>
      <c r="B237" t="str" cm="1">
        <f t="array" ref="B237">_xlfn.IFS(Table1[[#This Row],[Age]]&lt;30,"Under 30",Table1[[#This Row],[Age]]&lt;=40,"30-40",Table1[[#This Row],[Age]]&lt;=50,"41-50",Table1[[#This Row],[Age]]&gt;50,"Over 50")</f>
        <v>41-50</v>
      </c>
      <c r="C237" t="s">
        <v>43</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t="str" cm="1">
        <f t="array" ref="AH237">_xlfn.IFS(Table1[[#This Row],[YearsAtCompany]]&lt;=2,"0-2 years",Table1[[#This Row],[YearsAtCompany]]&lt;=5,"3-5 years",Table1[[#This Row],[YearsAtCompany]]&lt;=10,"6-10 years",Table1[[#This Row],[YearsAtCompany]]&gt;10,"10+ years")</f>
        <v>10+ years</v>
      </c>
      <c r="AI237">
        <v>13</v>
      </c>
      <c r="AJ237">
        <v>1</v>
      </c>
      <c r="AK237">
        <v>9</v>
      </c>
      <c r="AL237" t="str" cm="1">
        <f t="array" ref="AL237">_xlfn.IFS(Table1[[#This Row],[JobSatisfaction]]=1,"Low",Table1[[#This Row],[JobSatisfaction]]=2,"Medium",Table1[[#This Row],[JobSatisfaction]]=3,"High",Table1[[#This Row],[JobSatisfaction]]=4,"Very High")</f>
        <v>Very High</v>
      </c>
      <c r="AM237">
        <f>IF(Table1[[#This Row],[Attrition]]="Yes",1,0)</f>
        <v>0</v>
      </c>
    </row>
    <row r="238" spans="1:39" ht="13.8" x14ac:dyDescent="0.25">
      <c r="A238">
        <v>33</v>
      </c>
      <c r="B238" t="str" cm="1">
        <f t="array" ref="B238">_xlfn.IFS(Table1[[#This Row],[Age]]&lt;30,"Under 30",Table1[[#This Row],[Age]]&lt;=40,"30-40",Table1[[#This Row],[Age]]&lt;=50,"41-50",Table1[[#This Row],[Age]]&gt;50,"Over 50")</f>
        <v>30-40</v>
      </c>
      <c r="C238" t="s">
        <v>35</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t="str" cm="1">
        <f t="array" ref="AH238">_xlfn.IFS(Table1[[#This Row],[YearsAtCompany]]&lt;=2,"0-2 years",Table1[[#This Row],[YearsAtCompany]]&lt;=5,"3-5 years",Table1[[#This Row],[YearsAtCompany]]&lt;=10,"6-10 years",Table1[[#This Row],[YearsAtCompany]]&gt;10,"10+ years")</f>
        <v>6-10 years</v>
      </c>
      <c r="AI238">
        <v>7</v>
      </c>
      <c r="AJ238">
        <v>1</v>
      </c>
      <c r="AK238">
        <v>7</v>
      </c>
      <c r="AL238" t="str" cm="1">
        <f t="array" ref="AL238">_xlfn.IFS(Table1[[#This Row],[JobSatisfaction]]=1,"Low",Table1[[#This Row],[JobSatisfaction]]=2,"Medium",Table1[[#This Row],[JobSatisfaction]]=3,"High",Table1[[#This Row],[JobSatisfaction]]=4,"Very High")</f>
        <v>Low</v>
      </c>
      <c r="AM238">
        <f>IF(Table1[[#This Row],[Attrition]]="Yes",1,0)</f>
        <v>1</v>
      </c>
    </row>
    <row r="239" spans="1:39" ht="13.8" x14ac:dyDescent="0.25">
      <c r="A239">
        <v>52</v>
      </c>
      <c r="B239" t="str" cm="1">
        <f t="array" ref="B239">_xlfn.IFS(Table1[[#This Row],[Age]]&lt;30,"Under 30",Table1[[#This Row],[Age]]&lt;=40,"30-40",Table1[[#This Row],[Age]]&lt;=50,"41-50",Table1[[#This Row],[Age]]&gt;50,"Over 50")</f>
        <v>Over 50</v>
      </c>
      <c r="C239" t="s">
        <v>43</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t="str" cm="1">
        <f t="array" ref="AH239">_xlfn.IFS(Table1[[#This Row],[YearsAtCompany]]&lt;=2,"0-2 years",Table1[[#This Row],[YearsAtCompany]]&lt;=5,"3-5 years",Table1[[#This Row],[YearsAtCompany]]&lt;=10,"6-10 years",Table1[[#This Row],[YearsAtCompany]]&gt;10,"10+ years")</f>
        <v>10+ years</v>
      </c>
      <c r="AI239">
        <v>7</v>
      </c>
      <c r="AJ239">
        <v>15</v>
      </c>
      <c r="AK239">
        <v>12</v>
      </c>
      <c r="AL239" t="str" cm="1">
        <f t="array" ref="AL239">_xlfn.IFS(Table1[[#This Row],[JobSatisfaction]]=1,"Low",Table1[[#This Row],[JobSatisfaction]]=2,"Medium",Table1[[#This Row],[JobSatisfaction]]=3,"High",Table1[[#This Row],[JobSatisfaction]]=4,"Very High")</f>
        <v>High</v>
      </c>
      <c r="AM239">
        <f>IF(Table1[[#This Row],[Attrition]]="Yes",1,0)</f>
        <v>0</v>
      </c>
    </row>
    <row r="240" spans="1:39" ht="13.8" x14ac:dyDescent="0.25">
      <c r="A240">
        <v>32</v>
      </c>
      <c r="B240" t="str" cm="1">
        <f t="array" ref="B240">_xlfn.IFS(Table1[[#This Row],[Age]]&lt;30,"Under 30",Table1[[#This Row],[Age]]&lt;=40,"30-40",Table1[[#This Row],[Age]]&lt;=50,"41-50",Table1[[#This Row],[Age]]&gt;50,"Over 50")</f>
        <v>30-40</v>
      </c>
      <c r="C240" t="s">
        <v>43</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t="str" cm="1">
        <f t="array" ref="AH240">_xlfn.IFS(Table1[[#This Row],[YearsAtCompany]]&lt;=2,"0-2 years",Table1[[#This Row],[YearsAtCompany]]&lt;=5,"3-5 years",Table1[[#This Row],[YearsAtCompany]]&lt;=10,"6-10 years",Table1[[#This Row],[YearsAtCompany]]&gt;10,"10+ years")</f>
        <v>3-5 years</v>
      </c>
      <c r="AI240">
        <v>3</v>
      </c>
      <c r="AJ240">
        <v>1</v>
      </c>
      <c r="AK240">
        <v>2</v>
      </c>
      <c r="AL240" t="str" cm="1">
        <f t="array" ref="AL240">_xlfn.IFS(Table1[[#This Row],[JobSatisfaction]]=1,"Low",Table1[[#This Row],[JobSatisfaction]]=2,"Medium",Table1[[#This Row],[JobSatisfaction]]=3,"High",Table1[[#This Row],[JobSatisfaction]]=4,"Very High")</f>
        <v>Medium</v>
      </c>
      <c r="AM240">
        <f>IF(Table1[[#This Row],[Attrition]]="Yes",1,0)</f>
        <v>0</v>
      </c>
    </row>
    <row r="241" spans="1:39" ht="13.8" x14ac:dyDescent="0.25">
      <c r="A241">
        <v>32</v>
      </c>
      <c r="B241" t="str" cm="1">
        <f t="array" ref="B241">_xlfn.IFS(Table1[[#This Row],[Age]]&lt;30,"Under 30",Table1[[#This Row],[Age]]&lt;=40,"30-40",Table1[[#This Row],[Age]]&lt;=50,"41-50",Table1[[#This Row],[Age]]&gt;50,"Over 50")</f>
        <v>30-40</v>
      </c>
      <c r="C241" t="s">
        <v>35</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t="str" cm="1">
        <f t="array" ref="AH241">_xlfn.IFS(Table1[[#This Row],[YearsAtCompany]]&lt;=2,"0-2 years",Table1[[#This Row],[YearsAtCompany]]&lt;=5,"3-5 years",Table1[[#This Row],[YearsAtCompany]]&lt;=10,"6-10 years",Table1[[#This Row],[YearsAtCompany]]&gt;10,"10+ years")</f>
        <v>3-5 years</v>
      </c>
      <c r="AI241">
        <v>2</v>
      </c>
      <c r="AJ241">
        <v>1</v>
      </c>
      <c r="AK241">
        <v>2</v>
      </c>
      <c r="AL241" t="str" cm="1">
        <f t="array" ref="AL241">_xlfn.IFS(Table1[[#This Row],[JobSatisfaction]]=1,"Low",Table1[[#This Row],[JobSatisfaction]]=2,"Medium",Table1[[#This Row],[JobSatisfaction]]=3,"High",Table1[[#This Row],[JobSatisfaction]]=4,"Very High")</f>
        <v>High</v>
      </c>
      <c r="AM241">
        <f>IF(Table1[[#This Row],[Attrition]]="Yes",1,0)</f>
        <v>1</v>
      </c>
    </row>
    <row r="242" spans="1:39" ht="13.8" x14ac:dyDescent="0.25">
      <c r="A242">
        <v>39</v>
      </c>
      <c r="B242" t="str" cm="1">
        <f t="array" ref="B242">_xlfn.IFS(Table1[[#This Row],[Age]]&lt;30,"Under 30",Table1[[#This Row],[Age]]&lt;=40,"30-40",Table1[[#This Row],[Age]]&lt;=50,"41-50",Table1[[#This Row],[Age]]&gt;50,"Over 50")</f>
        <v>30-40</v>
      </c>
      <c r="C242" t="s">
        <v>43</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t="str" cm="1">
        <f t="array" ref="AH242">_xlfn.IFS(Table1[[#This Row],[YearsAtCompany]]&lt;=2,"0-2 years",Table1[[#This Row],[YearsAtCompany]]&lt;=5,"3-5 years",Table1[[#This Row],[YearsAtCompany]]&lt;=10,"6-10 years",Table1[[#This Row],[YearsAtCompany]]&gt;10,"10+ years")</f>
        <v>3-5 years</v>
      </c>
      <c r="AI242">
        <v>2</v>
      </c>
      <c r="AJ242">
        <v>1</v>
      </c>
      <c r="AK242">
        <v>2</v>
      </c>
      <c r="AL242" t="str" cm="1">
        <f t="array" ref="AL242">_xlfn.IFS(Table1[[#This Row],[JobSatisfaction]]=1,"Low",Table1[[#This Row],[JobSatisfaction]]=2,"Medium",Table1[[#This Row],[JobSatisfaction]]=3,"High",Table1[[#This Row],[JobSatisfaction]]=4,"Very High")</f>
        <v>High</v>
      </c>
      <c r="AM242">
        <f>IF(Table1[[#This Row],[Attrition]]="Yes",1,0)</f>
        <v>0</v>
      </c>
    </row>
    <row r="243" spans="1:39" ht="13.8" x14ac:dyDescent="0.25">
      <c r="A243">
        <v>32</v>
      </c>
      <c r="B243" t="str" cm="1">
        <f t="array" ref="B243">_xlfn.IFS(Table1[[#This Row],[Age]]&lt;30,"Under 30",Table1[[#This Row],[Age]]&lt;=40,"30-40",Table1[[#This Row],[Age]]&lt;=50,"41-50",Table1[[#This Row],[Age]]&gt;50,"Over 50")</f>
        <v>30-40</v>
      </c>
      <c r="C243" t="s">
        <v>43</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t="str" cm="1">
        <f t="array" ref="AH243">_xlfn.IFS(Table1[[#This Row],[YearsAtCompany]]&lt;=2,"0-2 years",Table1[[#This Row],[YearsAtCompany]]&lt;=5,"3-5 years",Table1[[#This Row],[YearsAtCompany]]&lt;=10,"6-10 years",Table1[[#This Row],[YearsAtCompany]]&gt;10,"10+ years")</f>
        <v>3-5 years</v>
      </c>
      <c r="AI243">
        <v>2</v>
      </c>
      <c r="AJ243">
        <v>2</v>
      </c>
      <c r="AK243">
        <v>2</v>
      </c>
      <c r="AL243" t="str" cm="1">
        <f t="array" ref="AL243">_xlfn.IFS(Table1[[#This Row],[JobSatisfaction]]=1,"Low",Table1[[#This Row],[JobSatisfaction]]=2,"Medium",Table1[[#This Row],[JobSatisfaction]]=3,"High",Table1[[#This Row],[JobSatisfaction]]=4,"Very High")</f>
        <v>Very High</v>
      </c>
      <c r="AM243">
        <f>IF(Table1[[#This Row],[Attrition]]="Yes",1,0)</f>
        <v>0</v>
      </c>
    </row>
    <row r="244" spans="1:39" ht="13.8" x14ac:dyDescent="0.25">
      <c r="A244">
        <v>41</v>
      </c>
      <c r="B244" t="str" cm="1">
        <f t="array" ref="B244">_xlfn.IFS(Table1[[#This Row],[Age]]&lt;30,"Under 30",Table1[[#This Row],[Age]]&lt;=40,"30-40",Table1[[#This Row],[Age]]&lt;=50,"41-50",Table1[[#This Row],[Age]]&gt;50,"Over 50")</f>
        <v>41-50</v>
      </c>
      <c r="C244" t="s">
        <v>43</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t="str" cm="1">
        <f t="array" ref="AH244">_xlfn.IFS(Table1[[#This Row],[YearsAtCompany]]&lt;=2,"0-2 years",Table1[[#This Row],[YearsAtCompany]]&lt;=5,"3-5 years",Table1[[#This Row],[YearsAtCompany]]&lt;=10,"6-10 years",Table1[[#This Row],[YearsAtCompany]]&gt;10,"10+ years")</f>
        <v>0-2 years</v>
      </c>
      <c r="AI244">
        <v>0</v>
      </c>
      <c r="AJ244">
        <v>0</v>
      </c>
      <c r="AK244">
        <v>0</v>
      </c>
      <c r="AL244" t="str" cm="1">
        <f t="array" ref="AL244">_xlfn.IFS(Table1[[#This Row],[JobSatisfaction]]=1,"Low",Table1[[#This Row],[JobSatisfaction]]=2,"Medium",Table1[[#This Row],[JobSatisfaction]]=3,"High",Table1[[#This Row],[JobSatisfaction]]=4,"Very High")</f>
        <v>Low</v>
      </c>
      <c r="AM244">
        <f>IF(Table1[[#This Row],[Attrition]]="Yes",1,0)</f>
        <v>0</v>
      </c>
    </row>
    <row r="245" spans="1:39" ht="13.8" x14ac:dyDescent="0.25">
      <c r="A245">
        <v>40</v>
      </c>
      <c r="B245" t="str" cm="1">
        <f t="array" ref="B245">_xlfn.IFS(Table1[[#This Row],[Age]]&lt;30,"Under 30",Table1[[#This Row],[Age]]&lt;=40,"30-40",Table1[[#This Row],[Age]]&lt;=50,"41-50",Table1[[#This Row],[Age]]&gt;50,"Over 50")</f>
        <v>30-40</v>
      </c>
      <c r="C245" t="s">
        <v>43</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t="str" cm="1">
        <f t="array" ref="AH245">_xlfn.IFS(Table1[[#This Row],[YearsAtCompany]]&lt;=2,"0-2 years",Table1[[#This Row],[YearsAtCompany]]&lt;=5,"3-5 years",Table1[[#This Row],[YearsAtCompany]]&lt;=10,"6-10 years",Table1[[#This Row],[YearsAtCompany]]&gt;10,"10+ years")</f>
        <v>6-10 years</v>
      </c>
      <c r="AI245">
        <v>8</v>
      </c>
      <c r="AJ245">
        <v>4</v>
      </c>
      <c r="AK245">
        <v>7</v>
      </c>
      <c r="AL245" t="str" cm="1">
        <f t="array" ref="AL245">_xlfn.IFS(Table1[[#This Row],[JobSatisfaction]]=1,"Low",Table1[[#This Row],[JobSatisfaction]]=2,"Medium",Table1[[#This Row],[JobSatisfaction]]=3,"High",Table1[[#This Row],[JobSatisfaction]]=4,"Very High")</f>
        <v>Very High</v>
      </c>
      <c r="AM245">
        <f>IF(Table1[[#This Row],[Attrition]]="Yes",1,0)</f>
        <v>0</v>
      </c>
    </row>
    <row r="246" spans="1:39" ht="13.8" x14ac:dyDescent="0.25">
      <c r="A246">
        <v>45</v>
      </c>
      <c r="B246" t="str" cm="1">
        <f t="array" ref="B246">_xlfn.IFS(Table1[[#This Row],[Age]]&lt;30,"Under 30",Table1[[#This Row],[Age]]&lt;=40,"30-40",Table1[[#This Row],[Age]]&lt;=50,"41-50",Table1[[#This Row],[Age]]&gt;50,"Over 50")</f>
        <v>41-50</v>
      </c>
      <c r="C246" t="s">
        <v>43</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t="str" cm="1">
        <f t="array" ref="AH246">_xlfn.IFS(Table1[[#This Row],[YearsAtCompany]]&lt;=2,"0-2 years",Table1[[#This Row],[YearsAtCompany]]&lt;=5,"3-5 years",Table1[[#This Row],[YearsAtCompany]]&lt;=10,"6-10 years",Table1[[#This Row],[YearsAtCompany]]&gt;10,"10+ years")</f>
        <v>10+ years</v>
      </c>
      <c r="AI246">
        <v>0</v>
      </c>
      <c r="AJ246">
        <v>1</v>
      </c>
      <c r="AK246">
        <v>7</v>
      </c>
      <c r="AL246" t="str" cm="1">
        <f t="array" ref="AL246">_xlfn.IFS(Table1[[#This Row],[JobSatisfaction]]=1,"Low",Table1[[#This Row],[JobSatisfaction]]=2,"Medium",Table1[[#This Row],[JobSatisfaction]]=3,"High",Table1[[#This Row],[JobSatisfaction]]=4,"Very High")</f>
        <v>Very High</v>
      </c>
      <c r="AM246">
        <f>IF(Table1[[#This Row],[Attrition]]="Yes",1,0)</f>
        <v>0</v>
      </c>
    </row>
    <row r="247" spans="1:39" ht="13.8" x14ac:dyDescent="0.25">
      <c r="A247">
        <v>31</v>
      </c>
      <c r="B247" t="str" cm="1">
        <f t="array" ref="B247">_xlfn.IFS(Table1[[#This Row],[Age]]&lt;30,"Under 30",Table1[[#This Row],[Age]]&lt;=40,"30-40",Table1[[#This Row],[Age]]&lt;=50,"41-50",Table1[[#This Row],[Age]]&gt;50,"Over 50")</f>
        <v>30-40</v>
      </c>
      <c r="C247" t="s">
        <v>43</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t="str" cm="1">
        <f t="array" ref="AH247">_xlfn.IFS(Table1[[#This Row],[YearsAtCompany]]&lt;=2,"0-2 years",Table1[[#This Row],[YearsAtCompany]]&lt;=5,"3-5 years",Table1[[#This Row],[YearsAtCompany]]&lt;=10,"6-10 years",Table1[[#This Row],[YearsAtCompany]]&gt;10,"10+ years")</f>
        <v>0-2 years</v>
      </c>
      <c r="AI247">
        <v>2</v>
      </c>
      <c r="AJ247">
        <v>2</v>
      </c>
      <c r="AK247">
        <v>2</v>
      </c>
      <c r="AL247" t="str" cm="1">
        <f t="array" ref="AL247">_xlfn.IFS(Table1[[#This Row],[JobSatisfaction]]=1,"Low",Table1[[#This Row],[JobSatisfaction]]=2,"Medium",Table1[[#This Row],[JobSatisfaction]]=3,"High",Table1[[#This Row],[JobSatisfaction]]=4,"Very High")</f>
        <v>High</v>
      </c>
      <c r="AM247">
        <f>IF(Table1[[#This Row],[Attrition]]="Yes",1,0)</f>
        <v>0</v>
      </c>
    </row>
    <row r="248" spans="1:39" ht="13.8" x14ac:dyDescent="0.25">
      <c r="A248">
        <v>33</v>
      </c>
      <c r="B248" t="str" cm="1">
        <f t="array" ref="B248">_xlfn.IFS(Table1[[#This Row],[Age]]&lt;30,"Under 30",Table1[[#This Row],[Age]]&lt;=40,"30-40",Table1[[#This Row],[Age]]&lt;=50,"41-50",Table1[[#This Row],[Age]]&gt;50,"Over 50")</f>
        <v>30-40</v>
      </c>
      <c r="C248" t="s">
        <v>43</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t="str" cm="1">
        <f t="array" ref="AH248">_xlfn.IFS(Table1[[#This Row],[YearsAtCompany]]&lt;=2,"0-2 years",Table1[[#This Row],[YearsAtCompany]]&lt;=5,"3-5 years",Table1[[#This Row],[YearsAtCompany]]&lt;=10,"6-10 years",Table1[[#This Row],[YearsAtCompany]]&gt;10,"10+ years")</f>
        <v>0-2 years</v>
      </c>
      <c r="AI248">
        <v>2</v>
      </c>
      <c r="AJ248">
        <v>0</v>
      </c>
      <c r="AK248">
        <v>2</v>
      </c>
      <c r="AL248" t="str" cm="1">
        <f t="array" ref="AL248">_xlfn.IFS(Table1[[#This Row],[JobSatisfaction]]=1,"Low",Table1[[#This Row],[JobSatisfaction]]=2,"Medium",Table1[[#This Row],[JobSatisfaction]]=3,"High",Table1[[#This Row],[JobSatisfaction]]=4,"Very High")</f>
        <v>Very High</v>
      </c>
      <c r="AM248">
        <f>IF(Table1[[#This Row],[Attrition]]="Yes",1,0)</f>
        <v>0</v>
      </c>
    </row>
    <row r="249" spans="1:39" ht="13.8" x14ac:dyDescent="0.25">
      <c r="A249">
        <v>34</v>
      </c>
      <c r="B249" t="str" cm="1">
        <f t="array" ref="B249">_xlfn.IFS(Table1[[#This Row],[Age]]&lt;30,"Under 30",Table1[[#This Row],[Age]]&lt;=40,"30-40",Table1[[#This Row],[Age]]&lt;=50,"41-50",Table1[[#This Row],[Age]]&gt;50,"Over 50")</f>
        <v>30-40</v>
      </c>
      <c r="C249" t="s">
        <v>43</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t="str" cm="1">
        <f t="array" ref="AH249">_xlfn.IFS(Table1[[#This Row],[YearsAtCompany]]&lt;=2,"0-2 years",Table1[[#This Row],[YearsAtCompany]]&lt;=5,"3-5 years",Table1[[#This Row],[YearsAtCompany]]&lt;=10,"6-10 years",Table1[[#This Row],[YearsAtCompany]]&gt;10,"10+ years")</f>
        <v>10+ years</v>
      </c>
      <c r="AI249">
        <v>9</v>
      </c>
      <c r="AJ249">
        <v>5</v>
      </c>
      <c r="AK249">
        <v>9</v>
      </c>
      <c r="AL249" t="str" cm="1">
        <f t="array" ref="AL249">_xlfn.IFS(Table1[[#This Row],[JobSatisfaction]]=1,"Low",Table1[[#This Row],[JobSatisfaction]]=2,"Medium",Table1[[#This Row],[JobSatisfaction]]=3,"High",Table1[[#This Row],[JobSatisfaction]]=4,"Very High")</f>
        <v>Low</v>
      </c>
      <c r="AM249">
        <f>IF(Table1[[#This Row],[Attrition]]="Yes",1,0)</f>
        <v>0</v>
      </c>
    </row>
    <row r="250" spans="1:39" ht="13.8" x14ac:dyDescent="0.25">
      <c r="A250">
        <v>37</v>
      </c>
      <c r="B250" t="str" cm="1">
        <f t="array" ref="B250">_xlfn.IFS(Table1[[#This Row],[Age]]&lt;30,"Under 30",Table1[[#This Row],[Age]]&lt;=40,"30-40",Table1[[#This Row],[Age]]&lt;=50,"41-50",Table1[[#This Row],[Age]]&gt;50,"Over 50")</f>
        <v>30-40</v>
      </c>
      <c r="C250" t="s">
        <v>43</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t="str" cm="1">
        <f t="array" ref="AH250">_xlfn.IFS(Table1[[#This Row],[YearsAtCompany]]&lt;=2,"0-2 years",Table1[[#This Row],[YearsAtCompany]]&lt;=5,"3-5 years",Table1[[#This Row],[YearsAtCompany]]&lt;=10,"6-10 years",Table1[[#This Row],[YearsAtCompany]]&gt;10,"10+ years")</f>
        <v>3-5 years</v>
      </c>
      <c r="AI250">
        <v>1</v>
      </c>
      <c r="AJ250">
        <v>0</v>
      </c>
      <c r="AK250">
        <v>2</v>
      </c>
      <c r="AL250" t="str" cm="1">
        <f t="array" ref="AL250">_xlfn.IFS(Table1[[#This Row],[JobSatisfaction]]=1,"Low",Table1[[#This Row],[JobSatisfaction]]=2,"Medium",Table1[[#This Row],[JobSatisfaction]]=3,"High",Table1[[#This Row],[JobSatisfaction]]=4,"Very High")</f>
        <v>Low</v>
      </c>
      <c r="AM250">
        <f>IF(Table1[[#This Row],[Attrition]]="Yes",1,0)</f>
        <v>0</v>
      </c>
    </row>
    <row r="251" spans="1:39" ht="13.8" x14ac:dyDescent="0.25">
      <c r="A251">
        <v>45</v>
      </c>
      <c r="B251" t="str" cm="1">
        <f t="array" ref="B251">_xlfn.IFS(Table1[[#This Row],[Age]]&lt;30,"Under 30",Table1[[#This Row],[Age]]&lt;=40,"30-40",Table1[[#This Row],[Age]]&lt;=50,"41-50",Table1[[#This Row],[Age]]&gt;50,"Over 50")</f>
        <v>41-50</v>
      </c>
      <c r="C251" t="s">
        <v>43</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t="str" cm="1">
        <f t="array" ref="AH251">_xlfn.IFS(Table1[[#This Row],[YearsAtCompany]]&lt;=2,"0-2 years",Table1[[#This Row],[YearsAtCompany]]&lt;=5,"3-5 years",Table1[[#This Row],[YearsAtCompany]]&lt;=10,"6-10 years",Table1[[#This Row],[YearsAtCompany]]&gt;10,"10+ years")</f>
        <v>3-5 years</v>
      </c>
      <c r="AI251">
        <v>2</v>
      </c>
      <c r="AJ251">
        <v>0</v>
      </c>
      <c r="AK251">
        <v>2</v>
      </c>
      <c r="AL251" t="str" cm="1">
        <f t="array" ref="AL251">_xlfn.IFS(Table1[[#This Row],[JobSatisfaction]]=1,"Low",Table1[[#This Row],[JobSatisfaction]]=2,"Medium",Table1[[#This Row],[JobSatisfaction]]=3,"High",Table1[[#This Row],[JobSatisfaction]]=4,"Very High")</f>
        <v>High</v>
      </c>
      <c r="AM251">
        <f>IF(Table1[[#This Row],[Attrition]]="Yes",1,0)</f>
        <v>0</v>
      </c>
    </row>
    <row r="252" spans="1:39" ht="13.8" x14ac:dyDescent="0.25">
      <c r="A252">
        <v>37</v>
      </c>
      <c r="B252" t="str" cm="1">
        <f t="array" ref="B252">_xlfn.IFS(Table1[[#This Row],[Age]]&lt;30,"Under 30",Table1[[#This Row],[Age]]&lt;=40,"30-40",Table1[[#This Row],[Age]]&lt;=50,"41-50",Table1[[#This Row],[Age]]&gt;50,"Over 50")</f>
        <v>30-40</v>
      </c>
      <c r="C252" t="s">
        <v>35</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t="str" cm="1">
        <f t="array" ref="AH252">_xlfn.IFS(Table1[[#This Row],[YearsAtCompany]]&lt;=2,"0-2 years",Table1[[#This Row],[YearsAtCompany]]&lt;=5,"3-5 years",Table1[[#This Row],[YearsAtCompany]]&lt;=10,"6-10 years",Table1[[#This Row],[YearsAtCompany]]&gt;10,"10+ years")</f>
        <v>0-2 years</v>
      </c>
      <c r="AI252">
        <v>0</v>
      </c>
      <c r="AJ252">
        <v>0</v>
      </c>
      <c r="AK252">
        <v>0</v>
      </c>
      <c r="AL252" t="str" cm="1">
        <f t="array" ref="AL252">_xlfn.IFS(Table1[[#This Row],[JobSatisfaction]]=1,"Low",Table1[[#This Row],[JobSatisfaction]]=2,"Medium",Table1[[#This Row],[JobSatisfaction]]=3,"High",Table1[[#This Row],[JobSatisfaction]]=4,"Very High")</f>
        <v>High</v>
      </c>
      <c r="AM252">
        <f>IF(Table1[[#This Row],[Attrition]]="Yes",1,0)</f>
        <v>1</v>
      </c>
    </row>
    <row r="253" spans="1:39" ht="13.8" x14ac:dyDescent="0.25">
      <c r="A253">
        <v>39</v>
      </c>
      <c r="B253" t="str" cm="1">
        <f t="array" ref="B253">_xlfn.IFS(Table1[[#This Row],[Age]]&lt;30,"Under 30",Table1[[#This Row],[Age]]&lt;=40,"30-40",Table1[[#This Row],[Age]]&lt;=50,"41-50",Table1[[#This Row],[Age]]&gt;50,"Over 50")</f>
        <v>30-40</v>
      </c>
      <c r="C253" t="s">
        <v>43</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t="str" cm="1">
        <f t="array" ref="AH253">_xlfn.IFS(Table1[[#This Row],[YearsAtCompany]]&lt;=2,"0-2 years",Table1[[#This Row],[YearsAtCompany]]&lt;=5,"3-5 years",Table1[[#This Row],[YearsAtCompany]]&lt;=10,"6-10 years",Table1[[#This Row],[YearsAtCompany]]&gt;10,"10+ years")</f>
        <v>10+ years</v>
      </c>
      <c r="AI253">
        <v>6</v>
      </c>
      <c r="AJ253">
        <v>11</v>
      </c>
      <c r="AK253">
        <v>8</v>
      </c>
      <c r="AL253" t="str" cm="1">
        <f t="array" ref="AL253">_xlfn.IFS(Table1[[#This Row],[JobSatisfaction]]=1,"Low",Table1[[#This Row],[JobSatisfaction]]=2,"Medium",Table1[[#This Row],[JobSatisfaction]]=3,"High",Table1[[#This Row],[JobSatisfaction]]=4,"Very High")</f>
        <v>High</v>
      </c>
      <c r="AM253">
        <f>IF(Table1[[#This Row],[Attrition]]="Yes",1,0)</f>
        <v>0</v>
      </c>
    </row>
    <row r="254" spans="1:39" ht="13.8" x14ac:dyDescent="0.25">
      <c r="A254">
        <v>29</v>
      </c>
      <c r="B254" t="str" cm="1">
        <f t="array" ref="B254">_xlfn.IFS(Table1[[#This Row],[Age]]&lt;30,"Under 30",Table1[[#This Row],[Age]]&lt;=40,"30-40",Table1[[#This Row],[Age]]&lt;=50,"41-50",Table1[[#This Row],[Age]]&gt;50,"Over 50")</f>
        <v>Under 30</v>
      </c>
      <c r="C254" t="s">
        <v>43</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t="str" cm="1">
        <f t="array" ref="AH254">_xlfn.IFS(Table1[[#This Row],[YearsAtCompany]]&lt;=2,"0-2 years",Table1[[#This Row],[YearsAtCompany]]&lt;=5,"3-5 years",Table1[[#This Row],[YearsAtCompany]]&lt;=10,"6-10 years",Table1[[#This Row],[YearsAtCompany]]&gt;10,"10+ years")</f>
        <v>6-10 years</v>
      </c>
      <c r="AI254">
        <v>5</v>
      </c>
      <c r="AJ254">
        <v>1</v>
      </c>
      <c r="AK254">
        <v>5</v>
      </c>
      <c r="AL254" t="str" cm="1">
        <f t="array" ref="AL254">_xlfn.IFS(Table1[[#This Row],[JobSatisfaction]]=1,"Low",Table1[[#This Row],[JobSatisfaction]]=2,"Medium",Table1[[#This Row],[JobSatisfaction]]=3,"High",Table1[[#This Row],[JobSatisfaction]]=4,"Very High")</f>
        <v>Very High</v>
      </c>
      <c r="AM254">
        <f>IF(Table1[[#This Row],[Attrition]]="Yes",1,0)</f>
        <v>0</v>
      </c>
    </row>
    <row r="255" spans="1:39" ht="13.8" x14ac:dyDescent="0.25">
      <c r="A255">
        <v>42</v>
      </c>
      <c r="B255" t="str" cm="1">
        <f t="array" ref="B255">_xlfn.IFS(Table1[[#This Row],[Age]]&lt;30,"Under 30",Table1[[#This Row],[Age]]&lt;=40,"30-40",Table1[[#This Row],[Age]]&lt;=50,"41-50",Table1[[#This Row],[Age]]&gt;50,"Over 50")</f>
        <v>41-50</v>
      </c>
      <c r="C255" t="s">
        <v>43</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t="str" cm="1">
        <f t="array" ref="AH255">_xlfn.IFS(Table1[[#This Row],[YearsAtCompany]]&lt;=2,"0-2 years",Table1[[#This Row],[YearsAtCompany]]&lt;=5,"3-5 years",Table1[[#This Row],[YearsAtCompany]]&lt;=10,"6-10 years",Table1[[#This Row],[YearsAtCompany]]&gt;10,"10+ years")</f>
        <v>3-5 years</v>
      </c>
      <c r="AI255">
        <v>2</v>
      </c>
      <c r="AJ255">
        <v>0</v>
      </c>
      <c r="AK255">
        <v>2</v>
      </c>
      <c r="AL255" t="str" cm="1">
        <f t="array" ref="AL255">_xlfn.IFS(Table1[[#This Row],[JobSatisfaction]]=1,"Low",Table1[[#This Row],[JobSatisfaction]]=2,"Medium",Table1[[#This Row],[JobSatisfaction]]=3,"High",Table1[[#This Row],[JobSatisfaction]]=4,"Very High")</f>
        <v>Low</v>
      </c>
      <c r="AM255">
        <f>IF(Table1[[#This Row],[Attrition]]="Yes",1,0)</f>
        <v>0</v>
      </c>
    </row>
    <row r="256" spans="1:39" ht="13.8" x14ac:dyDescent="0.25">
      <c r="A256">
        <v>29</v>
      </c>
      <c r="B256" t="str" cm="1">
        <f t="array" ref="B256">_xlfn.IFS(Table1[[#This Row],[Age]]&lt;30,"Under 30",Table1[[#This Row],[Age]]&lt;=40,"30-40",Table1[[#This Row],[Age]]&lt;=50,"41-50",Table1[[#This Row],[Age]]&gt;50,"Over 50")</f>
        <v>Under 30</v>
      </c>
      <c r="C256" t="s">
        <v>43</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t="str" cm="1">
        <f t="array" ref="AH256">_xlfn.IFS(Table1[[#This Row],[YearsAtCompany]]&lt;=2,"0-2 years",Table1[[#This Row],[YearsAtCompany]]&lt;=5,"3-5 years",Table1[[#This Row],[YearsAtCompany]]&lt;=10,"6-10 years",Table1[[#This Row],[YearsAtCompany]]&gt;10,"10+ years")</f>
        <v>3-5 years</v>
      </c>
      <c r="AI256">
        <v>2</v>
      </c>
      <c r="AJ256">
        <v>0</v>
      </c>
      <c r="AK256">
        <v>2</v>
      </c>
      <c r="AL256" t="str" cm="1">
        <f t="array" ref="AL256">_xlfn.IFS(Table1[[#This Row],[JobSatisfaction]]=1,"Low",Table1[[#This Row],[JobSatisfaction]]=2,"Medium",Table1[[#This Row],[JobSatisfaction]]=3,"High",Table1[[#This Row],[JobSatisfaction]]=4,"Very High")</f>
        <v>Very High</v>
      </c>
      <c r="AM256">
        <f>IF(Table1[[#This Row],[Attrition]]="Yes",1,0)</f>
        <v>0</v>
      </c>
    </row>
    <row r="257" spans="1:39" ht="13.8" x14ac:dyDescent="0.25">
      <c r="A257">
        <v>25</v>
      </c>
      <c r="B257" t="str" cm="1">
        <f t="array" ref="B257">_xlfn.IFS(Table1[[#This Row],[Age]]&lt;30,"Under 30",Table1[[#This Row],[Age]]&lt;=40,"30-40",Table1[[#This Row],[Age]]&lt;=50,"41-50",Table1[[#This Row],[Age]]&gt;50,"Over 50")</f>
        <v>Under 30</v>
      </c>
      <c r="C257" t="s">
        <v>43</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t="str" cm="1">
        <f t="array" ref="AH257">_xlfn.IFS(Table1[[#This Row],[YearsAtCompany]]&lt;=2,"0-2 years",Table1[[#This Row],[YearsAtCompany]]&lt;=5,"3-5 years",Table1[[#This Row],[YearsAtCompany]]&lt;=10,"6-10 years",Table1[[#This Row],[YearsAtCompany]]&gt;10,"10+ years")</f>
        <v>3-5 years</v>
      </c>
      <c r="AI257">
        <v>2</v>
      </c>
      <c r="AJ257">
        <v>1</v>
      </c>
      <c r="AK257">
        <v>2</v>
      </c>
      <c r="AL257" t="str" cm="1">
        <f t="array" ref="AL257">_xlfn.IFS(Table1[[#This Row],[JobSatisfaction]]=1,"Low",Table1[[#This Row],[JobSatisfaction]]=2,"Medium",Table1[[#This Row],[JobSatisfaction]]=3,"High",Table1[[#This Row],[JobSatisfaction]]=4,"Very High")</f>
        <v>High</v>
      </c>
      <c r="AM257">
        <f>IF(Table1[[#This Row],[Attrition]]="Yes",1,0)</f>
        <v>0</v>
      </c>
    </row>
    <row r="258" spans="1:39" ht="13.8" x14ac:dyDescent="0.25">
      <c r="A258">
        <v>42</v>
      </c>
      <c r="B258" t="str" cm="1">
        <f t="array" ref="B258">_xlfn.IFS(Table1[[#This Row],[Age]]&lt;30,"Under 30",Table1[[#This Row],[Age]]&lt;=40,"30-40",Table1[[#This Row],[Age]]&lt;=50,"41-50",Table1[[#This Row],[Age]]&gt;50,"Over 50")</f>
        <v>41-50</v>
      </c>
      <c r="C258" t="s">
        <v>43</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t="str" cm="1">
        <f t="array" ref="AH258">_xlfn.IFS(Table1[[#This Row],[YearsAtCompany]]&lt;=2,"0-2 years",Table1[[#This Row],[YearsAtCompany]]&lt;=5,"3-5 years",Table1[[#This Row],[YearsAtCompany]]&lt;=10,"6-10 years",Table1[[#This Row],[YearsAtCompany]]&gt;10,"10+ years")</f>
        <v>6-10 years</v>
      </c>
      <c r="AI258">
        <v>6</v>
      </c>
      <c r="AJ258">
        <v>7</v>
      </c>
      <c r="AK258">
        <v>8</v>
      </c>
      <c r="AL258" t="str" cm="1">
        <f t="array" ref="AL258">_xlfn.IFS(Table1[[#This Row],[JobSatisfaction]]=1,"Low",Table1[[#This Row],[JobSatisfaction]]=2,"Medium",Table1[[#This Row],[JobSatisfaction]]=3,"High",Table1[[#This Row],[JobSatisfaction]]=4,"Very High")</f>
        <v>Low</v>
      </c>
      <c r="AM258">
        <f>IF(Table1[[#This Row],[Attrition]]="Yes",1,0)</f>
        <v>0</v>
      </c>
    </row>
    <row r="259" spans="1:39" ht="13.8" x14ac:dyDescent="0.25">
      <c r="A259">
        <v>40</v>
      </c>
      <c r="B259" t="str" cm="1">
        <f t="array" ref="B259">_xlfn.IFS(Table1[[#This Row],[Age]]&lt;30,"Under 30",Table1[[#This Row],[Age]]&lt;=40,"30-40",Table1[[#This Row],[Age]]&lt;=50,"41-50",Table1[[#This Row],[Age]]&gt;50,"Over 50")</f>
        <v>30-40</v>
      </c>
      <c r="C259" t="s">
        <v>43</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t="str" cm="1">
        <f t="array" ref="AH259">_xlfn.IFS(Table1[[#This Row],[YearsAtCompany]]&lt;=2,"0-2 years",Table1[[#This Row],[YearsAtCompany]]&lt;=5,"3-5 years",Table1[[#This Row],[YearsAtCompany]]&lt;=10,"6-10 years",Table1[[#This Row],[YearsAtCompany]]&gt;10,"10+ years")</f>
        <v>10+ years</v>
      </c>
      <c r="AI259">
        <v>7</v>
      </c>
      <c r="AJ259">
        <v>3</v>
      </c>
      <c r="AK259">
        <v>9</v>
      </c>
      <c r="AL259" t="str" cm="1">
        <f t="array" ref="AL259">_xlfn.IFS(Table1[[#This Row],[JobSatisfaction]]=1,"Low",Table1[[#This Row],[JobSatisfaction]]=2,"Medium",Table1[[#This Row],[JobSatisfaction]]=3,"High",Table1[[#This Row],[JobSatisfaction]]=4,"Very High")</f>
        <v>High</v>
      </c>
      <c r="AM259">
        <f>IF(Table1[[#This Row],[Attrition]]="Yes",1,0)</f>
        <v>0</v>
      </c>
    </row>
    <row r="260" spans="1:39" ht="13.8" x14ac:dyDescent="0.25">
      <c r="A260">
        <v>51</v>
      </c>
      <c r="B260" t="str" cm="1">
        <f t="array" ref="B260">_xlfn.IFS(Table1[[#This Row],[Age]]&lt;30,"Under 30",Table1[[#This Row],[Age]]&lt;=40,"30-40",Table1[[#This Row],[Age]]&lt;=50,"41-50",Table1[[#This Row],[Age]]&gt;50,"Over 50")</f>
        <v>Over 50</v>
      </c>
      <c r="C260" t="s">
        <v>43</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t="str" cm="1">
        <f t="array" ref="AH260">_xlfn.IFS(Table1[[#This Row],[YearsAtCompany]]&lt;=2,"0-2 years",Table1[[#This Row],[YearsAtCompany]]&lt;=5,"3-5 years",Table1[[#This Row],[YearsAtCompany]]&lt;=10,"6-10 years",Table1[[#This Row],[YearsAtCompany]]&gt;10,"10+ years")</f>
        <v>0-2 years</v>
      </c>
      <c r="AI260">
        <v>0</v>
      </c>
      <c r="AJ260">
        <v>0</v>
      </c>
      <c r="AK260">
        <v>0</v>
      </c>
      <c r="AL260" t="str" cm="1">
        <f t="array" ref="AL260">_xlfn.IFS(Table1[[#This Row],[JobSatisfaction]]=1,"Low",Table1[[#This Row],[JobSatisfaction]]=2,"Medium",Table1[[#This Row],[JobSatisfaction]]=3,"High",Table1[[#This Row],[JobSatisfaction]]=4,"Very High")</f>
        <v>Very High</v>
      </c>
      <c r="AM260">
        <f>IF(Table1[[#This Row],[Attrition]]="Yes",1,0)</f>
        <v>0</v>
      </c>
    </row>
    <row r="261" spans="1:39" ht="13.8" x14ac:dyDescent="0.25">
      <c r="A261">
        <v>31</v>
      </c>
      <c r="B261" t="str" cm="1">
        <f t="array" ref="B261">_xlfn.IFS(Table1[[#This Row],[Age]]&lt;30,"Under 30",Table1[[#This Row],[Age]]&lt;=40,"30-40",Table1[[#This Row],[Age]]&lt;=50,"41-50",Table1[[#This Row],[Age]]&gt;50,"Over 50")</f>
        <v>30-40</v>
      </c>
      <c r="C261" t="s">
        <v>35</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t="str" cm="1">
        <f t="array" ref="AH261">_xlfn.IFS(Table1[[#This Row],[YearsAtCompany]]&lt;=2,"0-2 years",Table1[[#This Row],[YearsAtCompany]]&lt;=5,"3-5 years",Table1[[#This Row],[YearsAtCompany]]&lt;=10,"6-10 years",Table1[[#This Row],[YearsAtCompany]]&gt;10,"10+ years")</f>
        <v>3-5 years</v>
      </c>
      <c r="AI261">
        <v>4</v>
      </c>
      <c r="AJ261">
        <v>1</v>
      </c>
      <c r="AK261">
        <v>4</v>
      </c>
      <c r="AL261" t="str" cm="1">
        <f t="array" ref="AL261">_xlfn.IFS(Table1[[#This Row],[JobSatisfaction]]=1,"Low",Table1[[#This Row],[JobSatisfaction]]=2,"Medium",Table1[[#This Row],[JobSatisfaction]]=3,"High",Table1[[#This Row],[JobSatisfaction]]=4,"Very High")</f>
        <v>Medium</v>
      </c>
      <c r="AM261">
        <f>IF(Table1[[#This Row],[Attrition]]="Yes",1,0)</f>
        <v>1</v>
      </c>
    </row>
    <row r="262" spans="1:39" ht="13.8" x14ac:dyDescent="0.25">
      <c r="A262">
        <v>32</v>
      </c>
      <c r="B262" t="str" cm="1">
        <f t="array" ref="B262">_xlfn.IFS(Table1[[#This Row],[Age]]&lt;30,"Under 30",Table1[[#This Row],[Age]]&lt;=40,"30-40",Table1[[#This Row],[Age]]&lt;=50,"41-50",Table1[[#This Row],[Age]]&gt;50,"Over 50")</f>
        <v>30-40</v>
      </c>
      <c r="C262" t="s">
        <v>43</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t="str" cm="1">
        <f t="array" ref="AH262">_xlfn.IFS(Table1[[#This Row],[YearsAtCompany]]&lt;=2,"0-2 years",Table1[[#This Row],[YearsAtCompany]]&lt;=5,"3-5 years",Table1[[#This Row],[YearsAtCompany]]&lt;=10,"6-10 years",Table1[[#This Row],[YearsAtCompany]]&gt;10,"10+ years")</f>
        <v>3-5 years</v>
      </c>
      <c r="AI262">
        <v>1</v>
      </c>
      <c r="AJ262">
        <v>0</v>
      </c>
      <c r="AK262">
        <v>3</v>
      </c>
      <c r="AL262" t="str" cm="1">
        <f t="array" ref="AL262">_xlfn.IFS(Table1[[#This Row],[JobSatisfaction]]=1,"Low",Table1[[#This Row],[JobSatisfaction]]=2,"Medium",Table1[[#This Row],[JobSatisfaction]]=3,"High",Table1[[#This Row],[JobSatisfaction]]=4,"Very High")</f>
        <v>Medium</v>
      </c>
      <c r="AM262">
        <f>IF(Table1[[#This Row],[Attrition]]="Yes",1,0)</f>
        <v>0</v>
      </c>
    </row>
    <row r="263" spans="1:39" ht="13.8" x14ac:dyDescent="0.25">
      <c r="A263">
        <v>38</v>
      </c>
      <c r="B263" t="str" cm="1">
        <f t="array" ref="B263">_xlfn.IFS(Table1[[#This Row],[Age]]&lt;30,"Under 30",Table1[[#This Row],[Age]]&lt;=40,"30-40",Table1[[#This Row],[Age]]&lt;=50,"41-50",Table1[[#This Row],[Age]]&gt;50,"Over 50")</f>
        <v>30-40</v>
      </c>
      <c r="C263" t="s">
        <v>43</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t="str" cm="1">
        <f t="array" ref="AH263">_xlfn.IFS(Table1[[#This Row],[YearsAtCompany]]&lt;=2,"0-2 years",Table1[[#This Row],[YearsAtCompany]]&lt;=5,"3-5 years",Table1[[#This Row],[YearsAtCompany]]&lt;=10,"6-10 years",Table1[[#This Row],[YearsAtCompany]]&gt;10,"10+ years")</f>
        <v>6-10 years</v>
      </c>
      <c r="AI263">
        <v>7</v>
      </c>
      <c r="AJ263">
        <v>7</v>
      </c>
      <c r="AK263">
        <v>5</v>
      </c>
      <c r="AL263" t="str" cm="1">
        <f t="array" ref="AL263">_xlfn.IFS(Table1[[#This Row],[JobSatisfaction]]=1,"Low",Table1[[#This Row],[JobSatisfaction]]=2,"Medium",Table1[[#This Row],[JobSatisfaction]]=3,"High",Table1[[#This Row],[JobSatisfaction]]=4,"Very High")</f>
        <v>Very High</v>
      </c>
      <c r="AM263">
        <f>IF(Table1[[#This Row],[Attrition]]="Yes",1,0)</f>
        <v>0</v>
      </c>
    </row>
    <row r="264" spans="1:39" ht="13.8" x14ac:dyDescent="0.25">
      <c r="A264">
        <v>32</v>
      </c>
      <c r="B264" t="str" cm="1">
        <f t="array" ref="B264">_xlfn.IFS(Table1[[#This Row],[Age]]&lt;30,"Under 30",Table1[[#This Row],[Age]]&lt;=40,"30-40",Table1[[#This Row],[Age]]&lt;=50,"41-50",Table1[[#This Row],[Age]]&gt;50,"Over 50")</f>
        <v>30-40</v>
      </c>
      <c r="C264" t="s">
        <v>43</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t="str" cm="1">
        <f t="array" ref="AH264">_xlfn.IFS(Table1[[#This Row],[YearsAtCompany]]&lt;=2,"0-2 years",Table1[[#This Row],[YearsAtCompany]]&lt;=5,"3-5 years",Table1[[#This Row],[YearsAtCompany]]&lt;=10,"6-10 years",Table1[[#This Row],[YearsAtCompany]]&gt;10,"10+ years")</f>
        <v>6-10 years</v>
      </c>
      <c r="AI264">
        <v>2</v>
      </c>
      <c r="AJ264">
        <v>0</v>
      </c>
      <c r="AK264">
        <v>4</v>
      </c>
      <c r="AL264" t="str" cm="1">
        <f t="array" ref="AL264">_xlfn.IFS(Table1[[#This Row],[JobSatisfaction]]=1,"Low",Table1[[#This Row],[JobSatisfaction]]=2,"Medium",Table1[[#This Row],[JobSatisfaction]]=3,"High",Table1[[#This Row],[JobSatisfaction]]=4,"Very High")</f>
        <v>Low</v>
      </c>
      <c r="AM264">
        <f>IF(Table1[[#This Row],[Attrition]]="Yes",1,0)</f>
        <v>0</v>
      </c>
    </row>
    <row r="265" spans="1:39" ht="13.8" x14ac:dyDescent="0.25">
      <c r="A265">
        <v>46</v>
      </c>
      <c r="B265" t="str" cm="1">
        <f t="array" ref="B265">_xlfn.IFS(Table1[[#This Row],[Age]]&lt;30,"Under 30",Table1[[#This Row],[Age]]&lt;=40,"30-40",Table1[[#This Row],[Age]]&lt;=50,"41-50",Table1[[#This Row],[Age]]&gt;50,"Over 50")</f>
        <v>41-50</v>
      </c>
      <c r="C265" t="s">
        <v>43</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t="str" cm="1">
        <f t="array" ref="AH265">_xlfn.IFS(Table1[[#This Row],[YearsAtCompany]]&lt;=2,"0-2 years",Table1[[#This Row],[YearsAtCompany]]&lt;=5,"3-5 years",Table1[[#This Row],[YearsAtCompany]]&lt;=10,"6-10 years",Table1[[#This Row],[YearsAtCompany]]&gt;10,"10+ years")</f>
        <v>6-10 years</v>
      </c>
      <c r="AI265">
        <v>7</v>
      </c>
      <c r="AJ265">
        <v>7</v>
      </c>
      <c r="AK265">
        <v>7</v>
      </c>
      <c r="AL265" t="str" cm="1">
        <f t="array" ref="AL265">_xlfn.IFS(Table1[[#This Row],[JobSatisfaction]]=1,"Low",Table1[[#This Row],[JobSatisfaction]]=2,"Medium",Table1[[#This Row],[JobSatisfaction]]=3,"High",Table1[[#This Row],[JobSatisfaction]]=4,"Very High")</f>
        <v>Medium</v>
      </c>
      <c r="AM265">
        <f>IF(Table1[[#This Row],[Attrition]]="Yes",1,0)</f>
        <v>0</v>
      </c>
    </row>
    <row r="266" spans="1:39" ht="13.8" x14ac:dyDescent="0.25">
      <c r="A266">
        <v>28</v>
      </c>
      <c r="B266" t="str" cm="1">
        <f t="array" ref="B266">_xlfn.IFS(Table1[[#This Row],[Age]]&lt;30,"Under 30",Table1[[#This Row],[Age]]&lt;=40,"30-40",Table1[[#This Row],[Age]]&lt;=50,"41-50",Table1[[#This Row],[Age]]&gt;50,"Over 50")</f>
        <v>Under 30</v>
      </c>
      <c r="C266" t="s">
        <v>35</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t="str" cm="1">
        <f t="array" ref="AH266">_xlfn.IFS(Table1[[#This Row],[YearsAtCompany]]&lt;=2,"0-2 years",Table1[[#This Row],[YearsAtCompany]]&lt;=5,"3-5 years",Table1[[#This Row],[YearsAtCompany]]&lt;=10,"6-10 years",Table1[[#This Row],[YearsAtCompany]]&gt;10,"10+ years")</f>
        <v>0-2 years</v>
      </c>
      <c r="AI266">
        <v>0</v>
      </c>
      <c r="AJ266">
        <v>0</v>
      </c>
      <c r="AK266">
        <v>0</v>
      </c>
      <c r="AL266" t="str" cm="1">
        <f t="array" ref="AL266">_xlfn.IFS(Table1[[#This Row],[JobSatisfaction]]=1,"Low",Table1[[#This Row],[JobSatisfaction]]=2,"Medium",Table1[[#This Row],[JobSatisfaction]]=3,"High",Table1[[#This Row],[JobSatisfaction]]=4,"Very High")</f>
        <v>High</v>
      </c>
      <c r="AM266">
        <f>IF(Table1[[#This Row],[Attrition]]="Yes",1,0)</f>
        <v>1</v>
      </c>
    </row>
    <row r="267" spans="1:39" ht="13.8" x14ac:dyDescent="0.25">
      <c r="A267">
        <v>29</v>
      </c>
      <c r="B267" t="str" cm="1">
        <f t="array" ref="B267">_xlfn.IFS(Table1[[#This Row],[Age]]&lt;30,"Under 30",Table1[[#This Row],[Age]]&lt;=40,"30-40",Table1[[#This Row],[Age]]&lt;=50,"41-50",Table1[[#This Row],[Age]]&gt;50,"Over 50")</f>
        <v>Under 30</v>
      </c>
      <c r="C267" t="s">
        <v>43</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t="str" cm="1">
        <f t="array" ref="AH267">_xlfn.IFS(Table1[[#This Row],[YearsAtCompany]]&lt;=2,"0-2 years",Table1[[#This Row],[YearsAtCompany]]&lt;=5,"3-5 years",Table1[[#This Row],[YearsAtCompany]]&lt;=10,"6-10 years",Table1[[#This Row],[YearsAtCompany]]&gt;10,"10+ years")</f>
        <v>0-2 years</v>
      </c>
      <c r="AI267">
        <v>0</v>
      </c>
      <c r="AJ267">
        <v>0</v>
      </c>
      <c r="AK267">
        <v>0</v>
      </c>
      <c r="AL267" t="str" cm="1">
        <f t="array" ref="AL267">_xlfn.IFS(Table1[[#This Row],[JobSatisfaction]]=1,"Low",Table1[[#This Row],[JobSatisfaction]]=2,"Medium",Table1[[#This Row],[JobSatisfaction]]=3,"High",Table1[[#This Row],[JobSatisfaction]]=4,"Very High")</f>
        <v>Medium</v>
      </c>
      <c r="AM267">
        <f>IF(Table1[[#This Row],[Attrition]]="Yes",1,0)</f>
        <v>0</v>
      </c>
    </row>
    <row r="268" spans="1:39" ht="13.8" x14ac:dyDescent="0.25">
      <c r="A268">
        <v>31</v>
      </c>
      <c r="B268" t="str" cm="1">
        <f t="array" ref="B268">_xlfn.IFS(Table1[[#This Row],[Age]]&lt;30,"Under 30",Table1[[#This Row],[Age]]&lt;=40,"30-40",Table1[[#This Row],[Age]]&lt;=50,"41-50",Table1[[#This Row],[Age]]&gt;50,"Over 50")</f>
        <v>30-40</v>
      </c>
      <c r="C268" t="s">
        <v>43</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t="str" cm="1">
        <f t="array" ref="AH268">_xlfn.IFS(Table1[[#This Row],[YearsAtCompany]]&lt;=2,"0-2 years",Table1[[#This Row],[YearsAtCompany]]&lt;=5,"3-5 years",Table1[[#This Row],[YearsAtCompany]]&lt;=10,"6-10 years",Table1[[#This Row],[YearsAtCompany]]&gt;10,"10+ years")</f>
        <v>6-10 years</v>
      </c>
      <c r="AI268">
        <v>0</v>
      </c>
      <c r="AJ268">
        <v>7</v>
      </c>
      <c r="AK268">
        <v>8</v>
      </c>
      <c r="AL268" t="str" cm="1">
        <f t="array" ref="AL268">_xlfn.IFS(Table1[[#This Row],[JobSatisfaction]]=1,"Low",Table1[[#This Row],[JobSatisfaction]]=2,"Medium",Table1[[#This Row],[JobSatisfaction]]=3,"High",Table1[[#This Row],[JobSatisfaction]]=4,"Very High")</f>
        <v>Very High</v>
      </c>
      <c r="AM268">
        <f>IF(Table1[[#This Row],[Attrition]]="Yes",1,0)</f>
        <v>0</v>
      </c>
    </row>
    <row r="269" spans="1:39" ht="13.8" x14ac:dyDescent="0.25">
      <c r="A269">
        <v>25</v>
      </c>
      <c r="B269" t="str" cm="1">
        <f t="array" ref="B269">_xlfn.IFS(Table1[[#This Row],[Age]]&lt;30,"Under 30",Table1[[#This Row],[Age]]&lt;=40,"30-40",Table1[[#This Row],[Age]]&lt;=50,"41-50",Table1[[#This Row],[Age]]&gt;50,"Over 50")</f>
        <v>Under 30</v>
      </c>
      <c r="C269" t="s">
        <v>43</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t="str" cm="1">
        <f t="array" ref="AH269">_xlfn.IFS(Table1[[#This Row],[YearsAtCompany]]&lt;=2,"0-2 years",Table1[[#This Row],[YearsAtCompany]]&lt;=5,"3-5 years",Table1[[#This Row],[YearsAtCompany]]&lt;=10,"6-10 years",Table1[[#This Row],[YearsAtCompany]]&gt;10,"10+ years")</f>
        <v>6-10 years</v>
      </c>
      <c r="AI269">
        <v>3</v>
      </c>
      <c r="AJ269">
        <v>1</v>
      </c>
      <c r="AK269">
        <v>5</v>
      </c>
      <c r="AL269" t="str" cm="1">
        <f t="array" ref="AL269">_xlfn.IFS(Table1[[#This Row],[JobSatisfaction]]=1,"Low",Table1[[#This Row],[JobSatisfaction]]=2,"Medium",Table1[[#This Row],[JobSatisfaction]]=3,"High",Table1[[#This Row],[JobSatisfaction]]=4,"Very High")</f>
        <v>Low</v>
      </c>
      <c r="AM269">
        <f>IF(Table1[[#This Row],[Attrition]]="Yes",1,0)</f>
        <v>0</v>
      </c>
    </row>
    <row r="270" spans="1:39" ht="13.8" x14ac:dyDescent="0.25">
      <c r="A270">
        <v>45</v>
      </c>
      <c r="B270" t="str" cm="1">
        <f t="array" ref="B270">_xlfn.IFS(Table1[[#This Row],[Age]]&lt;30,"Under 30",Table1[[#This Row],[Age]]&lt;=40,"30-40",Table1[[#This Row],[Age]]&lt;=50,"41-50",Table1[[#This Row],[Age]]&gt;50,"Over 50")</f>
        <v>41-50</v>
      </c>
      <c r="C270" t="s">
        <v>43</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t="str" cm="1">
        <f t="array" ref="AH270">_xlfn.IFS(Table1[[#This Row],[YearsAtCompany]]&lt;=2,"0-2 years",Table1[[#This Row],[YearsAtCompany]]&lt;=5,"3-5 years",Table1[[#This Row],[YearsAtCompany]]&lt;=10,"6-10 years",Table1[[#This Row],[YearsAtCompany]]&gt;10,"10+ years")</f>
        <v>10+ years</v>
      </c>
      <c r="AI270">
        <v>7</v>
      </c>
      <c r="AJ270">
        <v>4</v>
      </c>
      <c r="AK270">
        <v>10</v>
      </c>
      <c r="AL270" t="str" cm="1">
        <f t="array" ref="AL270">_xlfn.IFS(Table1[[#This Row],[JobSatisfaction]]=1,"Low",Table1[[#This Row],[JobSatisfaction]]=2,"Medium",Table1[[#This Row],[JobSatisfaction]]=3,"High",Table1[[#This Row],[JobSatisfaction]]=4,"Very High")</f>
        <v>Very High</v>
      </c>
      <c r="AM270">
        <f>IF(Table1[[#This Row],[Attrition]]="Yes",1,0)</f>
        <v>0</v>
      </c>
    </row>
    <row r="271" spans="1:39" ht="13.8" x14ac:dyDescent="0.25">
      <c r="A271">
        <v>36</v>
      </c>
      <c r="B271" t="str" cm="1">
        <f t="array" ref="B271">_xlfn.IFS(Table1[[#This Row],[Age]]&lt;30,"Under 30",Table1[[#This Row],[Age]]&lt;=40,"30-40",Table1[[#This Row],[Age]]&lt;=50,"41-50",Table1[[#This Row],[Age]]&gt;50,"Over 50")</f>
        <v>30-40</v>
      </c>
      <c r="C271" t="s">
        <v>43</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t="str" cm="1">
        <f t="array" ref="AH271">_xlfn.IFS(Table1[[#This Row],[YearsAtCompany]]&lt;=2,"0-2 years",Table1[[#This Row],[YearsAtCompany]]&lt;=5,"3-5 years",Table1[[#This Row],[YearsAtCompany]]&lt;=10,"6-10 years",Table1[[#This Row],[YearsAtCompany]]&gt;10,"10+ years")</f>
        <v>10+ years</v>
      </c>
      <c r="AI271">
        <v>13</v>
      </c>
      <c r="AJ271">
        <v>10</v>
      </c>
      <c r="AK271">
        <v>11</v>
      </c>
      <c r="AL271" t="str" cm="1">
        <f t="array" ref="AL271">_xlfn.IFS(Table1[[#This Row],[JobSatisfaction]]=1,"Low",Table1[[#This Row],[JobSatisfaction]]=2,"Medium",Table1[[#This Row],[JobSatisfaction]]=3,"High",Table1[[#This Row],[JobSatisfaction]]=4,"Very High")</f>
        <v>Very High</v>
      </c>
      <c r="AM271">
        <f>IF(Table1[[#This Row],[Attrition]]="Yes",1,0)</f>
        <v>0</v>
      </c>
    </row>
    <row r="272" spans="1:39" ht="13.8" x14ac:dyDescent="0.25">
      <c r="A272">
        <v>55</v>
      </c>
      <c r="B272" t="str" cm="1">
        <f t="array" ref="B272">_xlfn.IFS(Table1[[#This Row],[Age]]&lt;30,"Under 30",Table1[[#This Row],[Age]]&lt;=40,"30-40",Table1[[#This Row],[Age]]&lt;=50,"41-50",Table1[[#This Row],[Age]]&gt;50,"Over 50")</f>
        <v>Over 50</v>
      </c>
      <c r="C272" t="s">
        <v>43</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t="str" cm="1">
        <f t="array" ref="AH272">_xlfn.IFS(Table1[[#This Row],[YearsAtCompany]]&lt;=2,"0-2 years",Table1[[#This Row],[YearsAtCompany]]&lt;=5,"3-5 years",Table1[[#This Row],[YearsAtCompany]]&lt;=10,"6-10 years",Table1[[#This Row],[YearsAtCompany]]&gt;10,"10+ years")</f>
        <v>10+ years</v>
      </c>
      <c r="AI272">
        <v>10</v>
      </c>
      <c r="AJ272">
        <v>4</v>
      </c>
      <c r="AK272">
        <v>13</v>
      </c>
      <c r="AL272" t="str" cm="1">
        <f t="array" ref="AL272">_xlfn.IFS(Table1[[#This Row],[JobSatisfaction]]=1,"Low",Table1[[#This Row],[JobSatisfaction]]=2,"Medium",Table1[[#This Row],[JobSatisfaction]]=3,"High",Table1[[#This Row],[JobSatisfaction]]=4,"Very High")</f>
        <v>Low</v>
      </c>
      <c r="AM272">
        <f>IF(Table1[[#This Row],[Attrition]]="Yes",1,0)</f>
        <v>0</v>
      </c>
    </row>
    <row r="273" spans="1:39" ht="13.8" x14ac:dyDescent="0.25">
      <c r="A273">
        <v>47</v>
      </c>
      <c r="B273" t="str" cm="1">
        <f t="array" ref="B273">_xlfn.IFS(Table1[[#This Row],[Age]]&lt;30,"Under 30",Table1[[#This Row],[Age]]&lt;=40,"30-40",Table1[[#This Row],[Age]]&lt;=50,"41-50",Table1[[#This Row],[Age]]&gt;50,"Over 50")</f>
        <v>41-50</v>
      </c>
      <c r="C273" t="s">
        <v>35</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t="str" cm="1">
        <f t="array" ref="AH273">_xlfn.IFS(Table1[[#This Row],[YearsAtCompany]]&lt;=2,"0-2 years",Table1[[#This Row],[YearsAtCompany]]&lt;=5,"3-5 years",Table1[[#This Row],[YearsAtCompany]]&lt;=10,"6-10 years",Table1[[#This Row],[YearsAtCompany]]&gt;10,"10+ years")</f>
        <v>6-10 years</v>
      </c>
      <c r="AI273">
        <v>7</v>
      </c>
      <c r="AJ273">
        <v>9</v>
      </c>
      <c r="AK273">
        <v>9</v>
      </c>
      <c r="AL273" t="str" cm="1">
        <f t="array" ref="AL273">_xlfn.IFS(Table1[[#This Row],[JobSatisfaction]]=1,"Low",Table1[[#This Row],[JobSatisfaction]]=2,"Medium",Table1[[#This Row],[JobSatisfaction]]=3,"High",Table1[[#This Row],[JobSatisfaction]]=4,"Very High")</f>
        <v>Medium</v>
      </c>
      <c r="AM273">
        <f>IF(Table1[[#This Row],[Attrition]]="Yes",1,0)</f>
        <v>1</v>
      </c>
    </row>
    <row r="274" spans="1:39" ht="13.8" x14ac:dyDescent="0.25">
      <c r="A274">
        <v>28</v>
      </c>
      <c r="B274" t="str" cm="1">
        <f t="array" ref="B274">_xlfn.IFS(Table1[[#This Row],[Age]]&lt;30,"Under 30",Table1[[#This Row],[Age]]&lt;=40,"30-40",Table1[[#This Row],[Age]]&lt;=50,"41-50",Table1[[#This Row],[Age]]&gt;50,"Over 50")</f>
        <v>Under 30</v>
      </c>
      <c r="C274" t="s">
        <v>43</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t="str" cm="1">
        <f t="array" ref="AH274">_xlfn.IFS(Table1[[#This Row],[YearsAtCompany]]&lt;=2,"0-2 years",Table1[[#This Row],[YearsAtCompany]]&lt;=5,"3-5 years",Table1[[#This Row],[YearsAtCompany]]&lt;=10,"6-10 years",Table1[[#This Row],[YearsAtCompany]]&gt;10,"10+ years")</f>
        <v>3-5 years</v>
      </c>
      <c r="AI274">
        <v>2</v>
      </c>
      <c r="AJ274">
        <v>0</v>
      </c>
      <c r="AK274">
        <v>4</v>
      </c>
      <c r="AL274" t="str" cm="1">
        <f t="array" ref="AL274">_xlfn.IFS(Table1[[#This Row],[JobSatisfaction]]=1,"Low",Table1[[#This Row],[JobSatisfaction]]=2,"Medium",Table1[[#This Row],[JobSatisfaction]]=3,"High",Table1[[#This Row],[JobSatisfaction]]=4,"Very High")</f>
        <v>Very High</v>
      </c>
      <c r="AM274">
        <f>IF(Table1[[#This Row],[Attrition]]="Yes",1,0)</f>
        <v>0</v>
      </c>
    </row>
    <row r="275" spans="1:39" ht="13.8" x14ac:dyDescent="0.25">
      <c r="A275">
        <v>37</v>
      </c>
      <c r="B275" t="str" cm="1">
        <f t="array" ref="B275">_xlfn.IFS(Table1[[#This Row],[Age]]&lt;30,"Under 30",Table1[[#This Row],[Age]]&lt;=40,"30-40",Table1[[#This Row],[Age]]&lt;=50,"41-50",Table1[[#This Row],[Age]]&gt;50,"Over 50")</f>
        <v>30-40</v>
      </c>
      <c r="C275" t="s">
        <v>43</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t="str" cm="1">
        <f t="array" ref="AH275">_xlfn.IFS(Table1[[#This Row],[YearsAtCompany]]&lt;=2,"0-2 years",Table1[[#This Row],[YearsAtCompany]]&lt;=5,"3-5 years",Table1[[#This Row],[YearsAtCompany]]&lt;=10,"6-10 years",Table1[[#This Row],[YearsAtCompany]]&gt;10,"10+ years")</f>
        <v>3-5 years</v>
      </c>
      <c r="AI275">
        <v>4</v>
      </c>
      <c r="AJ275">
        <v>0</v>
      </c>
      <c r="AK275">
        <v>1</v>
      </c>
      <c r="AL275" t="str" cm="1">
        <f t="array" ref="AL275">_xlfn.IFS(Table1[[#This Row],[JobSatisfaction]]=1,"Low",Table1[[#This Row],[JobSatisfaction]]=2,"Medium",Table1[[#This Row],[JobSatisfaction]]=3,"High",Table1[[#This Row],[JobSatisfaction]]=4,"Very High")</f>
        <v>Very High</v>
      </c>
      <c r="AM275">
        <f>IF(Table1[[#This Row],[Attrition]]="Yes",1,0)</f>
        <v>0</v>
      </c>
    </row>
    <row r="276" spans="1:39" ht="13.8" x14ac:dyDescent="0.25">
      <c r="A276">
        <v>21</v>
      </c>
      <c r="B276" t="str" cm="1">
        <f t="array" ref="B276">_xlfn.IFS(Table1[[#This Row],[Age]]&lt;30,"Under 30",Table1[[#This Row],[Age]]&lt;=40,"30-40",Table1[[#This Row],[Age]]&lt;=50,"41-50",Table1[[#This Row],[Age]]&gt;50,"Over 50")</f>
        <v>Under 30</v>
      </c>
      <c r="C276" t="s">
        <v>43</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t="str" cm="1">
        <f t="array" ref="AH276">_xlfn.IFS(Table1[[#This Row],[YearsAtCompany]]&lt;=2,"0-2 years",Table1[[#This Row],[YearsAtCompany]]&lt;=5,"3-5 years",Table1[[#This Row],[YearsAtCompany]]&lt;=10,"6-10 years",Table1[[#This Row],[YearsAtCompany]]&gt;10,"10+ years")</f>
        <v>3-5 years</v>
      </c>
      <c r="AI276">
        <v>2</v>
      </c>
      <c r="AJ276">
        <v>1</v>
      </c>
      <c r="AK276">
        <v>0</v>
      </c>
      <c r="AL276" t="str" cm="1">
        <f t="array" ref="AL276">_xlfn.IFS(Table1[[#This Row],[JobSatisfaction]]=1,"Low",Table1[[#This Row],[JobSatisfaction]]=2,"Medium",Table1[[#This Row],[JobSatisfaction]]=3,"High",Table1[[#This Row],[JobSatisfaction]]=4,"Very High")</f>
        <v>High</v>
      </c>
      <c r="AM276">
        <f>IF(Table1[[#This Row],[Attrition]]="Yes",1,0)</f>
        <v>0</v>
      </c>
    </row>
    <row r="277" spans="1:39" ht="13.8" x14ac:dyDescent="0.25">
      <c r="A277">
        <v>37</v>
      </c>
      <c r="B277" t="str" cm="1">
        <f t="array" ref="B277">_xlfn.IFS(Table1[[#This Row],[Age]]&lt;30,"Under 30",Table1[[#This Row],[Age]]&lt;=40,"30-40",Table1[[#This Row],[Age]]&lt;=50,"41-50",Table1[[#This Row],[Age]]&gt;50,"Over 50")</f>
        <v>30-40</v>
      </c>
      <c r="C277" t="s">
        <v>43</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t="str" cm="1">
        <f t="array" ref="AH277">_xlfn.IFS(Table1[[#This Row],[YearsAtCompany]]&lt;=2,"0-2 years",Table1[[#This Row],[YearsAtCompany]]&lt;=5,"3-5 years",Table1[[#This Row],[YearsAtCompany]]&lt;=10,"6-10 years",Table1[[#This Row],[YearsAtCompany]]&gt;10,"10+ years")</f>
        <v>3-5 years</v>
      </c>
      <c r="AI277">
        <v>2</v>
      </c>
      <c r="AJ277">
        <v>0</v>
      </c>
      <c r="AK277">
        <v>2</v>
      </c>
      <c r="AL277" t="str" cm="1">
        <f t="array" ref="AL277">_xlfn.IFS(Table1[[#This Row],[JobSatisfaction]]=1,"Low",Table1[[#This Row],[JobSatisfaction]]=2,"Medium",Table1[[#This Row],[JobSatisfaction]]=3,"High",Table1[[#This Row],[JobSatisfaction]]=4,"Very High")</f>
        <v>Very High</v>
      </c>
      <c r="AM277">
        <f>IF(Table1[[#This Row],[Attrition]]="Yes",1,0)</f>
        <v>0</v>
      </c>
    </row>
    <row r="278" spans="1:39" ht="13.8" x14ac:dyDescent="0.25">
      <c r="A278">
        <v>35</v>
      </c>
      <c r="B278" t="str" cm="1">
        <f t="array" ref="B278">_xlfn.IFS(Table1[[#This Row],[Age]]&lt;30,"Under 30",Table1[[#This Row],[Age]]&lt;=40,"30-40",Table1[[#This Row],[Age]]&lt;=50,"41-50",Table1[[#This Row],[Age]]&gt;50,"Over 50")</f>
        <v>30-40</v>
      </c>
      <c r="C278" t="s">
        <v>43</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t="str" cm="1">
        <f t="array" ref="AH278">_xlfn.IFS(Table1[[#This Row],[YearsAtCompany]]&lt;=2,"0-2 years",Table1[[#This Row],[YearsAtCompany]]&lt;=5,"3-5 years",Table1[[#This Row],[YearsAtCompany]]&lt;=10,"6-10 years",Table1[[#This Row],[YearsAtCompany]]&gt;10,"10+ years")</f>
        <v>6-10 years</v>
      </c>
      <c r="AI278">
        <v>7</v>
      </c>
      <c r="AJ278">
        <v>6</v>
      </c>
      <c r="AK278">
        <v>2</v>
      </c>
      <c r="AL278" t="str" cm="1">
        <f t="array" ref="AL278">_xlfn.IFS(Table1[[#This Row],[JobSatisfaction]]=1,"Low",Table1[[#This Row],[JobSatisfaction]]=2,"Medium",Table1[[#This Row],[JobSatisfaction]]=3,"High",Table1[[#This Row],[JobSatisfaction]]=4,"Very High")</f>
        <v>Medium</v>
      </c>
      <c r="AM278">
        <f>IF(Table1[[#This Row],[Attrition]]="Yes",1,0)</f>
        <v>0</v>
      </c>
    </row>
    <row r="279" spans="1:39" ht="13.8" x14ac:dyDescent="0.25">
      <c r="A279">
        <v>38</v>
      </c>
      <c r="B279" t="str" cm="1">
        <f t="array" ref="B279">_xlfn.IFS(Table1[[#This Row],[Age]]&lt;30,"Under 30",Table1[[#This Row],[Age]]&lt;=40,"30-40",Table1[[#This Row],[Age]]&lt;=50,"41-50",Table1[[#This Row],[Age]]&gt;50,"Over 50")</f>
        <v>30-40</v>
      </c>
      <c r="C279" t="s">
        <v>43</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t="str" cm="1">
        <f t="array" ref="AH279">_xlfn.IFS(Table1[[#This Row],[YearsAtCompany]]&lt;=2,"0-2 years",Table1[[#This Row],[YearsAtCompany]]&lt;=5,"3-5 years",Table1[[#This Row],[YearsAtCompany]]&lt;=10,"6-10 years",Table1[[#This Row],[YearsAtCompany]]&gt;10,"10+ years")</f>
        <v>6-10 years</v>
      </c>
      <c r="AI279">
        <v>0</v>
      </c>
      <c r="AJ279">
        <v>7</v>
      </c>
      <c r="AK279">
        <v>7</v>
      </c>
      <c r="AL279" t="str" cm="1">
        <f t="array" ref="AL279">_xlfn.IFS(Table1[[#This Row],[JobSatisfaction]]=1,"Low",Table1[[#This Row],[JobSatisfaction]]=2,"Medium",Table1[[#This Row],[JobSatisfaction]]=3,"High",Table1[[#This Row],[JobSatisfaction]]=4,"Very High")</f>
        <v>Low</v>
      </c>
      <c r="AM279">
        <f>IF(Table1[[#This Row],[Attrition]]="Yes",1,0)</f>
        <v>0</v>
      </c>
    </row>
    <row r="280" spans="1:39" ht="13.8" x14ac:dyDescent="0.25">
      <c r="A280">
        <v>26</v>
      </c>
      <c r="B280" t="str" cm="1">
        <f t="array" ref="B280">_xlfn.IFS(Table1[[#This Row],[Age]]&lt;30,"Under 30",Table1[[#This Row],[Age]]&lt;=40,"30-40",Table1[[#This Row],[Age]]&lt;=50,"41-50",Table1[[#This Row],[Age]]&gt;50,"Over 50")</f>
        <v>Under 30</v>
      </c>
      <c r="C280" t="s">
        <v>43</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t="str" cm="1">
        <f t="array" ref="AH280">_xlfn.IFS(Table1[[#This Row],[YearsAtCompany]]&lt;=2,"0-2 years",Table1[[#This Row],[YearsAtCompany]]&lt;=5,"3-5 years",Table1[[#This Row],[YearsAtCompany]]&lt;=10,"6-10 years",Table1[[#This Row],[YearsAtCompany]]&gt;10,"10+ years")</f>
        <v>6-10 years</v>
      </c>
      <c r="AI280">
        <v>5</v>
      </c>
      <c r="AJ280">
        <v>1</v>
      </c>
      <c r="AK280">
        <v>4</v>
      </c>
      <c r="AL280" t="str" cm="1">
        <f t="array" ref="AL280">_xlfn.IFS(Table1[[#This Row],[JobSatisfaction]]=1,"Low",Table1[[#This Row],[JobSatisfaction]]=2,"Medium",Table1[[#This Row],[JobSatisfaction]]=3,"High",Table1[[#This Row],[JobSatisfaction]]=4,"Very High")</f>
        <v>Medium</v>
      </c>
      <c r="AM280">
        <f>IF(Table1[[#This Row],[Attrition]]="Yes",1,0)</f>
        <v>0</v>
      </c>
    </row>
    <row r="281" spans="1:39" ht="13.8" x14ac:dyDescent="0.25">
      <c r="A281">
        <v>50</v>
      </c>
      <c r="B281" t="str" cm="1">
        <f t="array" ref="B281">_xlfn.IFS(Table1[[#This Row],[Age]]&lt;30,"Under 30",Table1[[#This Row],[Age]]&lt;=40,"30-40",Table1[[#This Row],[Age]]&lt;=50,"41-50",Table1[[#This Row],[Age]]&gt;50,"Over 50")</f>
        <v>41-50</v>
      </c>
      <c r="C281" t="s">
        <v>43</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t="str" cm="1">
        <f t="array" ref="AH281">_xlfn.IFS(Table1[[#This Row],[YearsAtCompany]]&lt;=2,"0-2 years",Table1[[#This Row],[YearsAtCompany]]&lt;=5,"3-5 years",Table1[[#This Row],[YearsAtCompany]]&lt;=10,"6-10 years",Table1[[#This Row],[YearsAtCompany]]&gt;10,"10+ years")</f>
        <v>6-10 years</v>
      </c>
      <c r="AI281">
        <v>4</v>
      </c>
      <c r="AJ281">
        <v>1</v>
      </c>
      <c r="AK281">
        <v>6</v>
      </c>
      <c r="AL281" t="str" cm="1">
        <f t="array" ref="AL281">_xlfn.IFS(Table1[[#This Row],[JobSatisfaction]]=1,"Low",Table1[[#This Row],[JobSatisfaction]]=2,"Medium",Table1[[#This Row],[JobSatisfaction]]=3,"High",Table1[[#This Row],[JobSatisfaction]]=4,"Very High")</f>
        <v>Medium</v>
      </c>
      <c r="AM281">
        <f>IF(Table1[[#This Row],[Attrition]]="Yes",1,0)</f>
        <v>0</v>
      </c>
    </row>
    <row r="282" spans="1:39" ht="13.8" x14ac:dyDescent="0.25">
      <c r="A282">
        <v>53</v>
      </c>
      <c r="B282" t="str" cm="1">
        <f t="array" ref="B282">_xlfn.IFS(Table1[[#This Row],[Age]]&lt;30,"Under 30",Table1[[#This Row],[Age]]&lt;=40,"30-40",Table1[[#This Row],[Age]]&lt;=50,"41-50",Table1[[#This Row],[Age]]&gt;50,"Over 50")</f>
        <v>Over 50</v>
      </c>
      <c r="C282" t="s">
        <v>43</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t="str" cm="1">
        <f t="array" ref="AH282">_xlfn.IFS(Table1[[#This Row],[YearsAtCompany]]&lt;=2,"0-2 years",Table1[[#This Row],[YearsAtCompany]]&lt;=5,"3-5 years",Table1[[#This Row],[YearsAtCompany]]&lt;=10,"6-10 years",Table1[[#This Row],[YearsAtCompany]]&gt;10,"10+ years")</f>
        <v>3-5 years</v>
      </c>
      <c r="AI282">
        <v>3</v>
      </c>
      <c r="AJ282">
        <v>1</v>
      </c>
      <c r="AK282">
        <v>3</v>
      </c>
      <c r="AL282" t="str" cm="1">
        <f t="array" ref="AL282">_xlfn.IFS(Table1[[#This Row],[JobSatisfaction]]=1,"Low",Table1[[#This Row],[JobSatisfaction]]=2,"Medium",Table1[[#This Row],[JobSatisfaction]]=3,"High",Table1[[#This Row],[JobSatisfaction]]=4,"Very High")</f>
        <v>High</v>
      </c>
      <c r="AM282">
        <f>IF(Table1[[#This Row],[Attrition]]="Yes",1,0)</f>
        <v>0</v>
      </c>
    </row>
    <row r="283" spans="1:39" ht="13.8" x14ac:dyDescent="0.25">
      <c r="A283">
        <v>42</v>
      </c>
      <c r="B283" t="str" cm="1">
        <f t="array" ref="B283">_xlfn.IFS(Table1[[#This Row],[Age]]&lt;30,"Under 30",Table1[[#This Row],[Age]]&lt;=40,"30-40",Table1[[#This Row],[Age]]&lt;=50,"41-50",Table1[[#This Row],[Age]]&gt;50,"Over 50")</f>
        <v>41-50</v>
      </c>
      <c r="C283" t="s">
        <v>43</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t="str" cm="1">
        <f t="array" ref="AH283">_xlfn.IFS(Table1[[#This Row],[YearsAtCompany]]&lt;=2,"0-2 years",Table1[[#This Row],[YearsAtCompany]]&lt;=5,"3-5 years",Table1[[#This Row],[YearsAtCompany]]&lt;=10,"6-10 years",Table1[[#This Row],[YearsAtCompany]]&gt;10,"10+ years")</f>
        <v>10+ years</v>
      </c>
      <c r="AI283">
        <v>16</v>
      </c>
      <c r="AJ283">
        <v>11</v>
      </c>
      <c r="AK283">
        <v>6</v>
      </c>
      <c r="AL283" t="str" cm="1">
        <f t="array" ref="AL283">_xlfn.IFS(Table1[[#This Row],[JobSatisfaction]]=1,"Low",Table1[[#This Row],[JobSatisfaction]]=2,"Medium",Table1[[#This Row],[JobSatisfaction]]=3,"High",Table1[[#This Row],[JobSatisfaction]]=4,"Very High")</f>
        <v>High</v>
      </c>
      <c r="AM283">
        <f>IF(Table1[[#This Row],[Attrition]]="Yes",1,0)</f>
        <v>0</v>
      </c>
    </row>
    <row r="284" spans="1:39" ht="13.8" x14ac:dyDescent="0.25">
      <c r="A284">
        <v>29</v>
      </c>
      <c r="B284" t="str" cm="1">
        <f t="array" ref="B284">_xlfn.IFS(Table1[[#This Row],[Age]]&lt;30,"Under 30",Table1[[#This Row],[Age]]&lt;=40,"30-40",Table1[[#This Row],[Age]]&lt;=50,"41-50",Table1[[#This Row],[Age]]&gt;50,"Over 50")</f>
        <v>Under 30</v>
      </c>
      <c r="C284" t="s">
        <v>43</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t="str" cm="1">
        <f t="array" ref="AH284">_xlfn.IFS(Table1[[#This Row],[YearsAtCompany]]&lt;=2,"0-2 years",Table1[[#This Row],[YearsAtCompany]]&lt;=5,"3-5 years",Table1[[#This Row],[YearsAtCompany]]&lt;=10,"6-10 years",Table1[[#This Row],[YearsAtCompany]]&gt;10,"10+ years")</f>
        <v>6-10 years</v>
      </c>
      <c r="AI284">
        <v>7</v>
      </c>
      <c r="AJ284">
        <v>0</v>
      </c>
      <c r="AK284">
        <v>9</v>
      </c>
      <c r="AL284" t="str" cm="1">
        <f t="array" ref="AL284">_xlfn.IFS(Table1[[#This Row],[JobSatisfaction]]=1,"Low",Table1[[#This Row],[JobSatisfaction]]=2,"Medium",Table1[[#This Row],[JobSatisfaction]]=3,"High",Table1[[#This Row],[JobSatisfaction]]=4,"Very High")</f>
        <v>Very High</v>
      </c>
      <c r="AM284">
        <f>IF(Table1[[#This Row],[Attrition]]="Yes",1,0)</f>
        <v>0</v>
      </c>
    </row>
    <row r="285" spans="1:39" ht="13.8" x14ac:dyDescent="0.25">
      <c r="A285">
        <v>55</v>
      </c>
      <c r="B285" t="str" cm="1">
        <f t="array" ref="B285">_xlfn.IFS(Table1[[#This Row],[Age]]&lt;30,"Under 30",Table1[[#This Row],[Age]]&lt;=40,"30-40",Table1[[#This Row],[Age]]&lt;=50,"41-50",Table1[[#This Row],[Age]]&gt;50,"Over 50")</f>
        <v>Over 50</v>
      </c>
      <c r="C285" t="s">
        <v>43</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t="str" cm="1">
        <f t="array" ref="AH285">_xlfn.IFS(Table1[[#This Row],[YearsAtCompany]]&lt;=2,"0-2 years",Table1[[#This Row],[YearsAtCompany]]&lt;=5,"3-5 years",Table1[[#This Row],[YearsAtCompany]]&lt;=10,"6-10 years",Table1[[#This Row],[YearsAtCompany]]&gt;10,"10+ years")</f>
        <v>6-10 years</v>
      </c>
      <c r="AI285">
        <v>7</v>
      </c>
      <c r="AJ285">
        <v>0</v>
      </c>
      <c r="AK285">
        <v>8</v>
      </c>
      <c r="AL285" t="str" cm="1">
        <f t="array" ref="AL285">_xlfn.IFS(Table1[[#This Row],[JobSatisfaction]]=1,"Low",Table1[[#This Row],[JobSatisfaction]]=2,"Medium",Table1[[#This Row],[JobSatisfaction]]=3,"High",Table1[[#This Row],[JobSatisfaction]]=4,"Very High")</f>
        <v>Very High</v>
      </c>
      <c r="AM285">
        <f>IF(Table1[[#This Row],[Attrition]]="Yes",1,0)</f>
        <v>0</v>
      </c>
    </row>
    <row r="286" spans="1:39" ht="13.8" x14ac:dyDescent="0.25">
      <c r="A286">
        <v>26</v>
      </c>
      <c r="B286" t="str" cm="1">
        <f t="array" ref="B286">_xlfn.IFS(Table1[[#This Row],[Age]]&lt;30,"Under 30",Table1[[#This Row],[Age]]&lt;=40,"30-40",Table1[[#This Row],[Age]]&lt;=50,"41-50",Table1[[#This Row],[Age]]&gt;50,"Over 50")</f>
        <v>Under 30</v>
      </c>
      <c r="C286" t="s">
        <v>43</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t="str" cm="1">
        <f t="array" ref="AH286">_xlfn.IFS(Table1[[#This Row],[YearsAtCompany]]&lt;=2,"0-2 years",Table1[[#This Row],[YearsAtCompany]]&lt;=5,"3-5 years",Table1[[#This Row],[YearsAtCompany]]&lt;=10,"6-10 years",Table1[[#This Row],[YearsAtCompany]]&gt;10,"10+ years")</f>
        <v>3-5 years</v>
      </c>
      <c r="AI286">
        <v>3</v>
      </c>
      <c r="AJ286">
        <v>3</v>
      </c>
      <c r="AK286">
        <v>3</v>
      </c>
      <c r="AL286" t="str" cm="1">
        <f t="array" ref="AL286">_xlfn.IFS(Table1[[#This Row],[JobSatisfaction]]=1,"Low",Table1[[#This Row],[JobSatisfaction]]=2,"Medium",Table1[[#This Row],[JobSatisfaction]]=3,"High",Table1[[#This Row],[JobSatisfaction]]=4,"Very High")</f>
        <v>Low</v>
      </c>
      <c r="AM286">
        <f>IF(Table1[[#This Row],[Attrition]]="Yes",1,0)</f>
        <v>0</v>
      </c>
    </row>
    <row r="287" spans="1:39" ht="13.8" x14ac:dyDescent="0.25">
      <c r="A287">
        <v>37</v>
      </c>
      <c r="B287" t="str" cm="1">
        <f t="array" ref="B287">_xlfn.IFS(Table1[[#This Row],[Age]]&lt;30,"Under 30",Table1[[#This Row],[Age]]&lt;=40,"30-40",Table1[[#This Row],[Age]]&lt;=50,"41-50",Table1[[#This Row],[Age]]&gt;50,"Over 50")</f>
        <v>30-40</v>
      </c>
      <c r="C287" t="s">
        <v>43</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t="str" cm="1">
        <f t="array" ref="AH287">_xlfn.IFS(Table1[[#This Row],[YearsAtCompany]]&lt;=2,"0-2 years",Table1[[#This Row],[YearsAtCompany]]&lt;=5,"3-5 years",Table1[[#This Row],[YearsAtCompany]]&lt;=10,"6-10 years",Table1[[#This Row],[YearsAtCompany]]&gt;10,"10+ years")</f>
        <v>10+ years</v>
      </c>
      <c r="AI287">
        <v>12</v>
      </c>
      <c r="AJ287">
        <v>5</v>
      </c>
      <c r="AK287">
        <v>7</v>
      </c>
      <c r="AL287" t="str" cm="1">
        <f t="array" ref="AL287">_xlfn.IFS(Table1[[#This Row],[JobSatisfaction]]=1,"Low",Table1[[#This Row],[JobSatisfaction]]=2,"Medium",Table1[[#This Row],[JobSatisfaction]]=3,"High",Table1[[#This Row],[JobSatisfaction]]=4,"Very High")</f>
        <v>Very High</v>
      </c>
      <c r="AM287">
        <f>IF(Table1[[#This Row],[Attrition]]="Yes",1,0)</f>
        <v>0</v>
      </c>
    </row>
    <row r="288" spans="1:39" ht="13.8" x14ac:dyDescent="0.25">
      <c r="A288">
        <v>44</v>
      </c>
      <c r="B288" t="str" cm="1">
        <f t="array" ref="B288">_xlfn.IFS(Table1[[#This Row],[Age]]&lt;30,"Under 30",Table1[[#This Row],[Age]]&lt;=40,"30-40",Table1[[#This Row],[Age]]&lt;=50,"41-50",Table1[[#This Row],[Age]]&gt;50,"Over 50")</f>
        <v>41-50</v>
      </c>
      <c r="C288" t="s">
        <v>35</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t="str" cm="1">
        <f t="array" ref="AH288">_xlfn.IFS(Table1[[#This Row],[YearsAtCompany]]&lt;=2,"0-2 years",Table1[[#This Row],[YearsAtCompany]]&lt;=5,"3-5 years",Table1[[#This Row],[YearsAtCompany]]&lt;=10,"6-10 years",Table1[[#This Row],[YearsAtCompany]]&gt;10,"10+ years")</f>
        <v>0-2 years</v>
      </c>
      <c r="AI288">
        <v>0</v>
      </c>
      <c r="AJ288">
        <v>0</v>
      </c>
      <c r="AK288">
        <v>0</v>
      </c>
      <c r="AL288" t="str" cm="1">
        <f t="array" ref="AL288">_xlfn.IFS(Table1[[#This Row],[JobSatisfaction]]=1,"Low",Table1[[#This Row],[JobSatisfaction]]=2,"Medium",Table1[[#This Row],[JobSatisfaction]]=3,"High",Table1[[#This Row],[JobSatisfaction]]=4,"Very High")</f>
        <v>High</v>
      </c>
      <c r="AM288">
        <f>IF(Table1[[#This Row],[Attrition]]="Yes",1,0)</f>
        <v>1</v>
      </c>
    </row>
    <row r="289" spans="1:39" ht="13.8" x14ac:dyDescent="0.25">
      <c r="A289">
        <v>38</v>
      </c>
      <c r="B289" t="str" cm="1">
        <f t="array" ref="B289">_xlfn.IFS(Table1[[#This Row],[Age]]&lt;30,"Under 30",Table1[[#This Row],[Age]]&lt;=40,"30-40",Table1[[#This Row],[Age]]&lt;=50,"41-50",Table1[[#This Row],[Age]]&gt;50,"Over 50")</f>
        <v>30-40</v>
      </c>
      <c r="C289" t="s">
        <v>43</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t="str" cm="1">
        <f t="array" ref="AH289">_xlfn.IFS(Table1[[#This Row],[YearsAtCompany]]&lt;=2,"0-2 years",Table1[[#This Row],[YearsAtCompany]]&lt;=5,"3-5 years",Table1[[#This Row],[YearsAtCompany]]&lt;=10,"6-10 years",Table1[[#This Row],[YearsAtCompany]]&gt;10,"10+ years")</f>
        <v>0-2 years</v>
      </c>
      <c r="AI289">
        <v>2</v>
      </c>
      <c r="AJ289">
        <v>1</v>
      </c>
      <c r="AK289">
        <v>2</v>
      </c>
      <c r="AL289" t="str" cm="1">
        <f t="array" ref="AL289">_xlfn.IFS(Table1[[#This Row],[JobSatisfaction]]=1,"Low",Table1[[#This Row],[JobSatisfaction]]=2,"Medium",Table1[[#This Row],[JobSatisfaction]]=3,"High",Table1[[#This Row],[JobSatisfaction]]=4,"Very High")</f>
        <v>Very High</v>
      </c>
      <c r="AM289">
        <f>IF(Table1[[#This Row],[Attrition]]="Yes",1,0)</f>
        <v>0</v>
      </c>
    </row>
    <row r="290" spans="1:39" ht="13.8" x14ac:dyDescent="0.25">
      <c r="A290">
        <v>26</v>
      </c>
      <c r="B290" t="str" cm="1">
        <f t="array" ref="B290">_xlfn.IFS(Table1[[#This Row],[Age]]&lt;30,"Under 30",Table1[[#This Row],[Age]]&lt;=40,"30-40",Table1[[#This Row],[Age]]&lt;=50,"41-50",Table1[[#This Row],[Age]]&gt;50,"Over 50")</f>
        <v>Under 30</v>
      </c>
      <c r="C290" t="s">
        <v>35</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t="str" cm="1">
        <f t="array" ref="AH290">_xlfn.IFS(Table1[[#This Row],[YearsAtCompany]]&lt;=2,"0-2 years",Table1[[#This Row],[YearsAtCompany]]&lt;=5,"3-5 years",Table1[[#This Row],[YearsAtCompany]]&lt;=10,"6-10 years",Table1[[#This Row],[YearsAtCompany]]&gt;10,"10+ years")</f>
        <v>3-5 years</v>
      </c>
      <c r="AI290">
        <v>2</v>
      </c>
      <c r="AJ290">
        <v>0</v>
      </c>
      <c r="AK290">
        <v>2</v>
      </c>
      <c r="AL290" t="str" cm="1">
        <f t="array" ref="AL290">_xlfn.IFS(Table1[[#This Row],[JobSatisfaction]]=1,"Low",Table1[[#This Row],[JobSatisfaction]]=2,"Medium",Table1[[#This Row],[JobSatisfaction]]=3,"High",Table1[[#This Row],[JobSatisfaction]]=4,"Very High")</f>
        <v>Medium</v>
      </c>
      <c r="AM290">
        <f>IF(Table1[[#This Row],[Attrition]]="Yes",1,0)</f>
        <v>1</v>
      </c>
    </row>
    <row r="291" spans="1:39" ht="13.8" x14ac:dyDescent="0.25">
      <c r="A291">
        <v>28</v>
      </c>
      <c r="B291" t="str" cm="1">
        <f t="array" ref="B291">_xlfn.IFS(Table1[[#This Row],[Age]]&lt;30,"Under 30",Table1[[#This Row],[Age]]&lt;=40,"30-40",Table1[[#This Row],[Age]]&lt;=50,"41-50",Table1[[#This Row],[Age]]&gt;50,"Over 50")</f>
        <v>Under 30</v>
      </c>
      <c r="C291" t="s">
        <v>43</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t="str" cm="1">
        <f t="array" ref="AH291">_xlfn.IFS(Table1[[#This Row],[YearsAtCompany]]&lt;=2,"0-2 years",Table1[[#This Row],[YearsAtCompany]]&lt;=5,"3-5 years",Table1[[#This Row],[YearsAtCompany]]&lt;=10,"6-10 years",Table1[[#This Row],[YearsAtCompany]]&gt;10,"10+ years")</f>
        <v>3-5 years</v>
      </c>
      <c r="AI291">
        <v>3</v>
      </c>
      <c r="AJ291">
        <v>0</v>
      </c>
      <c r="AK291">
        <v>2</v>
      </c>
      <c r="AL291" t="str" cm="1">
        <f t="array" ref="AL291">_xlfn.IFS(Table1[[#This Row],[JobSatisfaction]]=1,"Low",Table1[[#This Row],[JobSatisfaction]]=2,"Medium",Table1[[#This Row],[JobSatisfaction]]=3,"High",Table1[[#This Row],[JobSatisfaction]]=4,"Very High")</f>
        <v>Very High</v>
      </c>
      <c r="AM291">
        <f>IF(Table1[[#This Row],[Attrition]]="Yes",1,0)</f>
        <v>0</v>
      </c>
    </row>
    <row r="292" spans="1:39" ht="13.8" x14ac:dyDescent="0.25">
      <c r="A292">
        <v>49</v>
      </c>
      <c r="B292" t="str" cm="1">
        <f t="array" ref="B292">_xlfn.IFS(Table1[[#This Row],[Age]]&lt;30,"Under 30",Table1[[#This Row],[Age]]&lt;=40,"30-40",Table1[[#This Row],[Age]]&lt;=50,"41-50",Table1[[#This Row],[Age]]&gt;50,"Over 50")</f>
        <v>41-50</v>
      </c>
      <c r="C292" t="s">
        <v>43</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t="str" cm="1">
        <f t="array" ref="AH292">_xlfn.IFS(Table1[[#This Row],[YearsAtCompany]]&lt;=2,"0-2 years",Table1[[#This Row],[YearsAtCompany]]&lt;=5,"3-5 years",Table1[[#This Row],[YearsAtCompany]]&lt;=10,"6-10 years",Table1[[#This Row],[YearsAtCompany]]&gt;10,"10+ years")</f>
        <v>3-5 years</v>
      </c>
      <c r="AI292">
        <v>2</v>
      </c>
      <c r="AJ292">
        <v>1</v>
      </c>
      <c r="AK292">
        <v>2</v>
      </c>
      <c r="AL292" t="str" cm="1">
        <f t="array" ref="AL292">_xlfn.IFS(Table1[[#This Row],[JobSatisfaction]]=1,"Low",Table1[[#This Row],[JobSatisfaction]]=2,"Medium",Table1[[#This Row],[JobSatisfaction]]=3,"High",Table1[[#This Row],[JobSatisfaction]]=4,"Very High")</f>
        <v>Low</v>
      </c>
      <c r="AM292">
        <f>IF(Table1[[#This Row],[Attrition]]="Yes",1,0)</f>
        <v>0</v>
      </c>
    </row>
    <row r="293" spans="1:39" ht="13.8" x14ac:dyDescent="0.25">
      <c r="A293">
        <v>36</v>
      </c>
      <c r="B293" t="str" cm="1">
        <f t="array" ref="B293">_xlfn.IFS(Table1[[#This Row],[Age]]&lt;30,"Under 30",Table1[[#This Row],[Age]]&lt;=40,"30-40",Table1[[#This Row],[Age]]&lt;=50,"41-50",Table1[[#This Row],[Age]]&gt;50,"Over 50")</f>
        <v>30-40</v>
      </c>
      <c r="C293" t="s">
        <v>43</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t="str" cm="1">
        <f t="array" ref="AH293">_xlfn.IFS(Table1[[#This Row],[YearsAtCompany]]&lt;=2,"0-2 years",Table1[[#This Row],[YearsAtCompany]]&lt;=5,"3-5 years",Table1[[#This Row],[YearsAtCompany]]&lt;=10,"6-10 years",Table1[[#This Row],[YearsAtCompany]]&gt;10,"10+ years")</f>
        <v>6-10 years</v>
      </c>
      <c r="AI293">
        <v>0</v>
      </c>
      <c r="AJ293">
        <v>7</v>
      </c>
      <c r="AK293">
        <v>7</v>
      </c>
      <c r="AL293" t="str" cm="1">
        <f t="array" ref="AL293">_xlfn.IFS(Table1[[#This Row],[JobSatisfaction]]=1,"Low",Table1[[#This Row],[JobSatisfaction]]=2,"Medium",Table1[[#This Row],[JobSatisfaction]]=3,"High",Table1[[#This Row],[JobSatisfaction]]=4,"Very High")</f>
        <v>Medium</v>
      </c>
      <c r="AM293">
        <f>IF(Table1[[#This Row],[Attrition]]="Yes",1,0)</f>
        <v>0</v>
      </c>
    </row>
    <row r="294" spans="1:39" ht="13.8" x14ac:dyDescent="0.25">
      <c r="A294">
        <v>31</v>
      </c>
      <c r="B294" t="str" cm="1">
        <f t="array" ref="B294">_xlfn.IFS(Table1[[#This Row],[Age]]&lt;30,"Under 30",Table1[[#This Row],[Age]]&lt;=40,"30-40",Table1[[#This Row],[Age]]&lt;=50,"41-50",Table1[[#This Row],[Age]]&gt;50,"Over 50")</f>
        <v>30-40</v>
      </c>
      <c r="C294" t="s">
        <v>43</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t="str" cm="1">
        <f t="array" ref="AH294">_xlfn.IFS(Table1[[#This Row],[YearsAtCompany]]&lt;=2,"0-2 years",Table1[[#This Row],[YearsAtCompany]]&lt;=5,"3-5 years",Table1[[#This Row],[YearsAtCompany]]&lt;=10,"6-10 years",Table1[[#This Row],[YearsAtCompany]]&gt;10,"10+ years")</f>
        <v>0-2 years</v>
      </c>
      <c r="AI294">
        <v>2</v>
      </c>
      <c r="AJ294">
        <v>2</v>
      </c>
      <c r="AK294">
        <v>2</v>
      </c>
      <c r="AL294" t="str" cm="1">
        <f t="array" ref="AL294">_xlfn.IFS(Table1[[#This Row],[JobSatisfaction]]=1,"Low",Table1[[#This Row],[JobSatisfaction]]=2,"Medium",Table1[[#This Row],[JobSatisfaction]]=3,"High",Table1[[#This Row],[JobSatisfaction]]=4,"Very High")</f>
        <v>Medium</v>
      </c>
      <c r="AM294">
        <f>IF(Table1[[#This Row],[Attrition]]="Yes",1,0)</f>
        <v>0</v>
      </c>
    </row>
    <row r="295" spans="1:39" ht="13.8" x14ac:dyDescent="0.25">
      <c r="A295">
        <v>26</v>
      </c>
      <c r="B295" t="str" cm="1">
        <f t="array" ref="B295">_xlfn.IFS(Table1[[#This Row],[Age]]&lt;30,"Under 30",Table1[[#This Row],[Age]]&lt;=40,"30-40",Table1[[#This Row],[Age]]&lt;=50,"41-50",Table1[[#This Row],[Age]]&gt;50,"Over 50")</f>
        <v>Under 30</v>
      </c>
      <c r="C295" t="s">
        <v>35</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t="str" cm="1">
        <f t="array" ref="AH295">_xlfn.IFS(Table1[[#This Row],[YearsAtCompany]]&lt;=2,"0-2 years",Table1[[#This Row],[YearsAtCompany]]&lt;=5,"3-5 years",Table1[[#This Row],[YearsAtCompany]]&lt;=10,"6-10 years",Table1[[#This Row],[YearsAtCompany]]&gt;10,"10+ years")</f>
        <v>6-10 years</v>
      </c>
      <c r="AI295">
        <v>7</v>
      </c>
      <c r="AJ295">
        <v>7</v>
      </c>
      <c r="AK295">
        <v>4</v>
      </c>
      <c r="AL295" t="str" cm="1">
        <f t="array" ref="AL295">_xlfn.IFS(Table1[[#This Row],[JobSatisfaction]]=1,"Low",Table1[[#This Row],[JobSatisfaction]]=2,"Medium",Table1[[#This Row],[JobSatisfaction]]=3,"High",Table1[[#This Row],[JobSatisfaction]]=4,"Very High")</f>
        <v>Very High</v>
      </c>
      <c r="AM295">
        <f>IF(Table1[[#This Row],[Attrition]]="Yes",1,0)</f>
        <v>1</v>
      </c>
    </row>
    <row r="296" spans="1:39" ht="13.8" x14ac:dyDescent="0.25">
      <c r="A296">
        <v>37</v>
      </c>
      <c r="B296" t="str" cm="1">
        <f t="array" ref="B296">_xlfn.IFS(Table1[[#This Row],[Age]]&lt;30,"Under 30",Table1[[#This Row],[Age]]&lt;=40,"30-40",Table1[[#This Row],[Age]]&lt;=50,"41-50",Table1[[#This Row],[Age]]&gt;50,"Over 50")</f>
        <v>30-40</v>
      </c>
      <c r="C296" t="s">
        <v>43</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t="str" cm="1">
        <f t="array" ref="AH296">_xlfn.IFS(Table1[[#This Row],[YearsAtCompany]]&lt;=2,"0-2 years",Table1[[#This Row],[YearsAtCompany]]&lt;=5,"3-5 years",Table1[[#This Row],[YearsAtCompany]]&lt;=10,"6-10 years",Table1[[#This Row],[YearsAtCompany]]&gt;10,"10+ years")</f>
        <v>3-5 years</v>
      </c>
      <c r="AI296">
        <v>2</v>
      </c>
      <c r="AJ296">
        <v>1</v>
      </c>
      <c r="AK296">
        <v>2</v>
      </c>
      <c r="AL296" t="str" cm="1">
        <f t="array" ref="AL296">_xlfn.IFS(Table1[[#This Row],[JobSatisfaction]]=1,"Low",Table1[[#This Row],[JobSatisfaction]]=2,"Medium",Table1[[#This Row],[JobSatisfaction]]=3,"High",Table1[[#This Row],[JobSatisfaction]]=4,"Very High")</f>
        <v>Very High</v>
      </c>
      <c r="AM296">
        <f>IF(Table1[[#This Row],[Attrition]]="Yes",1,0)</f>
        <v>0</v>
      </c>
    </row>
    <row r="297" spans="1:39" ht="13.8" x14ac:dyDescent="0.25">
      <c r="A297">
        <v>42</v>
      </c>
      <c r="B297" t="str" cm="1">
        <f t="array" ref="B297">_xlfn.IFS(Table1[[#This Row],[Age]]&lt;30,"Under 30",Table1[[#This Row],[Age]]&lt;=40,"30-40",Table1[[#This Row],[Age]]&lt;=50,"41-50",Table1[[#This Row],[Age]]&gt;50,"Over 50")</f>
        <v>41-50</v>
      </c>
      <c r="C297" t="s">
        <v>43</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t="str" cm="1">
        <f t="array" ref="AH297">_xlfn.IFS(Table1[[#This Row],[YearsAtCompany]]&lt;=2,"0-2 years",Table1[[#This Row],[YearsAtCompany]]&lt;=5,"3-5 years",Table1[[#This Row],[YearsAtCompany]]&lt;=10,"6-10 years",Table1[[#This Row],[YearsAtCompany]]&gt;10,"10+ years")</f>
        <v>10+ years</v>
      </c>
      <c r="AI297">
        <v>4</v>
      </c>
      <c r="AJ297">
        <v>4</v>
      </c>
      <c r="AK297">
        <v>8</v>
      </c>
      <c r="AL297" t="str" cm="1">
        <f t="array" ref="AL297">_xlfn.IFS(Table1[[#This Row],[JobSatisfaction]]=1,"Low",Table1[[#This Row],[JobSatisfaction]]=2,"Medium",Table1[[#This Row],[JobSatisfaction]]=3,"High",Table1[[#This Row],[JobSatisfaction]]=4,"Very High")</f>
        <v>Medium</v>
      </c>
      <c r="AM297">
        <f>IF(Table1[[#This Row],[Attrition]]="Yes",1,0)</f>
        <v>0</v>
      </c>
    </row>
    <row r="298" spans="1:39" ht="13.8" x14ac:dyDescent="0.25">
      <c r="A298">
        <v>18</v>
      </c>
      <c r="B298" t="str" cm="1">
        <f t="array" ref="B298">_xlfn.IFS(Table1[[#This Row],[Age]]&lt;30,"Under 30",Table1[[#This Row],[Age]]&lt;=40,"30-40",Table1[[#This Row],[Age]]&lt;=50,"41-50",Table1[[#This Row],[Age]]&gt;50,"Over 50")</f>
        <v>Under 30</v>
      </c>
      <c r="C298" t="s">
        <v>35</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t="str" cm="1">
        <f t="array" ref="AH298">_xlfn.IFS(Table1[[#This Row],[YearsAtCompany]]&lt;=2,"0-2 years",Table1[[#This Row],[YearsAtCompany]]&lt;=5,"3-5 years",Table1[[#This Row],[YearsAtCompany]]&lt;=10,"6-10 years",Table1[[#This Row],[YearsAtCompany]]&gt;10,"10+ years")</f>
        <v>0-2 years</v>
      </c>
      <c r="AI298">
        <v>0</v>
      </c>
      <c r="AJ298">
        <v>0</v>
      </c>
      <c r="AK298">
        <v>0</v>
      </c>
      <c r="AL298" t="str" cm="1">
        <f t="array" ref="AL298">_xlfn.IFS(Table1[[#This Row],[JobSatisfaction]]=1,"Low",Table1[[#This Row],[JobSatisfaction]]=2,"Medium",Table1[[#This Row],[JobSatisfaction]]=3,"High",Table1[[#This Row],[JobSatisfaction]]=4,"Very High")</f>
        <v>High</v>
      </c>
      <c r="AM298">
        <f>IF(Table1[[#This Row],[Attrition]]="Yes",1,0)</f>
        <v>1</v>
      </c>
    </row>
    <row r="299" spans="1:39" ht="13.8" x14ac:dyDescent="0.25">
      <c r="A299">
        <v>35</v>
      </c>
      <c r="B299" t="str" cm="1">
        <f t="array" ref="B299">_xlfn.IFS(Table1[[#This Row],[Age]]&lt;30,"Under 30",Table1[[#This Row],[Age]]&lt;=40,"30-40",Table1[[#This Row],[Age]]&lt;=50,"41-50",Table1[[#This Row],[Age]]&gt;50,"Over 50")</f>
        <v>30-40</v>
      </c>
      <c r="C299" t="s">
        <v>43</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t="str" cm="1">
        <f t="array" ref="AH299">_xlfn.IFS(Table1[[#This Row],[YearsAtCompany]]&lt;=2,"0-2 years",Table1[[#This Row],[YearsAtCompany]]&lt;=5,"3-5 years",Table1[[#This Row],[YearsAtCompany]]&lt;=10,"6-10 years",Table1[[#This Row],[YearsAtCompany]]&gt;10,"10+ years")</f>
        <v>10+ years</v>
      </c>
      <c r="AI299">
        <v>9</v>
      </c>
      <c r="AJ299">
        <v>6</v>
      </c>
      <c r="AK299">
        <v>9</v>
      </c>
      <c r="AL299" t="str" cm="1">
        <f t="array" ref="AL299">_xlfn.IFS(Table1[[#This Row],[JobSatisfaction]]=1,"Low",Table1[[#This Row],[JobSatisfaction]]=2,"Medium",Table1[[#This Row],[JobSatisfaction]]=3,"High",Table1[[#This Row],[JobSatisfaction]]=4,"Very High")</f>
        <v>Medium</v>
      </c>
      <c r="AM299">
        <f>IF(Table1[[#This Row],[Attrition]]="Yes",1,0)</f>
        <v>0</v>
      </c>
    </row>
    <row r="300" spans="1:39" ht="13.8" x14ac:dyDescent="0.25">
      <c r="A300">
        <v>36</v>
      </c>
      <c r="B300" t="str" cm="1">
        <f t="array" ref="B300">_xlfn.IFS(Table1[[#This Row],[Age]]&lt;30,"Under 30",Table1[[#This Row],[Age]]&lt;=40,"30-40",Table1[[#This Row],[Age]]&lt;=50,"41-50",Table1[[#This Row],[Age]]&gt;50,"Over 50")</f>
        <v>30-40</v>
      </c>
      <c r="C300" t="s">
        <v>43</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t="str" cm="1">
        <f t="array" ref="AH300">_xlfn.IFS(Table1[[#This Row],[YearsAtCompany]]&lt;=2,"0-2 years",Table1[[#This Row],[YearsAtCompany]]&lt;=5,"3-5 years",Table1[[#This Row],[YearsAtCompany]]&lt;=10,"6-10 years",Table1[[#This Row],[YearsAtCompany]]&gt;10,"10+ years")</f>
        <v>0-2 years</v>
      </c>
      <c r="AI300">
        <v>0</v>
      </c>
      <c r="AJ300">
        <v>0</v>
      </c>
      <c r="AK300">
        <v>0</v>
      </c>
      <c r="AL300" t="str" cm="1">
        <f t="array" ref="AL300">_xlfn.IFS(Table1[[#This Row],[JobSatisfaction]]=1,"Low",Table1[[#This Row],[JobSatisfaction]]=2,"Medium",Table1[[#This Row],[JobSatisfaction]]=3,"High",Table1[[#This Row],[JobSatisfaction]]=4,"Very High")</f>
        <v>Very High</v>
      </c>
      <c r="AM300">
        <f>IF(Table1[[#This Row],[Attrition]]="Yes",1,0)</f>
        <v>0</v>
      </c>
    </row>
    <row r="301" spans="1:39" ht="13.8" x14ac:dyDescent="0.25">
      <c r="A301">
        <v>51</v>
      </c>
      <c r="B301" t="str" cm="1">
        <f t="array" ref="B301">_xlfn.IFS(Table1[[#This Row],[Age]]&lt;30,"Under 30",Table1[[#This Row],[Age]]&lt;=40,"30-40",Table1[[#This Row],[Age]]&lt;=50,"41-50",Table1[[#This Row],[Age]]&gt;50,"Over 50")</f>
        <v>Over 50</v>
      </c>
      <c r="C301" t="s">
        <v>43</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t="str" cm="1">
        <f t="array" ref="AH301">_xlfn.IFS(Table1[[#This Row],[YearsAtCompany]]&lt;=2,"0-2 years",Table1[[#This Row],[YearsAtCompany]]&lt;=5,"3-5 years",Table1[[#This Row],[YearsAtCompany]]&lt;=10,"6-10 years",Table1[[#This Row],[YearsAtCompany]]&gt;10,"10+ years")</f>
        <v>3-5 years</v>
      </c>
      <c r="AI301">
        <v>1</v>
      </c>
      <c r="AJ301">
        <v>1</v>
      </c>
      <c r="AK301">
        <v>2</v>
      </c>
      <c r="AL301" t="str" cm="1">
        <f t="array" ref="AL301">_xlfn.IFS(Table1[[#This Row],[JobSatisfaction]]=1,"Low",Table1[[#This Row],[JobSatisfaction]]=2,"Medium",Table1[[#This Row],[JobSatisfaction]]=3,"High",Table1[[#This Row],[JobSatisfaction]]=4,"Very High")</f>
        <v>Medium</v>
      </c>
      <c r="AM301">
        <f>IF(Table1[[#This Row],[Attrition]]="Yes",1,0)</f>
        <v>0</v>
      </c>
    </row>
    <row r="302" spans="1:39" ht="13.8" x14ac:dyDescent="0.25">
      <c r="A302">
        <v>41</v>
      </c>
      <c r="B302" t="str" cm="1">
        <f t="array" ref="B302">_xlfn.IFS(Table1[[#This Row],[Age]]&lt;30,"Under 30",Table1[[#This Row],[Age]]&lt;=40,"30-40",Table1[[#This Row],[Age]]&lt;=50,"41-50",Table1[[#This Row],[Age]]&gt;50,"Over 50")</f>
        <v>41-50</v>
      </c>
      <c r="C302" t="s">
        <v>43</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t="str" cm="1">
        <f t="array" ref="AH302">_xlfn.IFS(Table1[[#This Row],[YearsAtCompany]]&lt;=2,"0-2 years",Table1[[#This Row],[YearsAtCompany]]&lt;=5,"3-5 years",Table1[[#This Row],[YearsAtCompany]]&lt;=10,"6-10 years",Table1[[#This Row],[YearsAtCompany]]&gt;10,"10+ years")</f>
        <v>10+ years</v>
      </c>
      <c r="AI302">
        <v>10</v>
      </c>
      <c r="AJ302">
        <v>0</v>
      </c>
      <c r="AK302">
        <v>4</v>
      </c>
      <c r="AL302" t="str" cm="1">
        <f t="array" ref="AL302">_xlfn.IFS(Table1[[#This Row],[JobSatisfaction]]=1,"Low",Table1[[#This Row],[JobSatisfaction]]=2,"Medium",Table1[[#This Row],[JobSatisfaction]]=3,"High",Table1[[#This Row],[JobSatisfaction]]=4,"Very High")</f>
        <v>Medium</v>
      </c>
      <c r="AM302">
        <f>IF(Table1[[#This Row],[Attrition]]="Yes",1,0)</f>
        <v>0</v>
      </c>
    </row>
    <row r="303" spans="1:39" ht="13.8" x14ac:dyDescent="0.25">
      <c r="A303">
        <v>18</v>
      </c>
      <c r="B303" t="str" cm="1">
        <f t="array" ref="B303">_xlfn.IFS(Table1[[#This Row],[Age]]&lt;30,"Under 30",Table1[[#This Row],[Age]]&lt;=40,"30-40",Table1[[#This Row],[Age]]&lt;=50,"41-50",Table1[[#This Row],[Age]]&gt;50,"Over 50")</f>
        <v>Under 30</v>
      </c>
      <c r="C303" t="s">
        <v>43</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t="str" cm="1">
        <f t="array" ref="AH303">_xlfn.IFS(Table1[[#This Row],[YearsAtCompany]]&lt;=2,"0-2 years",Table1[[#This Row],[YearsAtCompany]]&lt;=5,"3-5 years",Table1[[#This Row],[YearsAtCompany]]&lt;=10,"6-10 years",Table1[[#This Row],[YearsAtCompany]]&gt;10,"10+ years")</f>
        <v>0-2 years</v>
      </c>
      <c r="AI303">
        <v>0</v>
      </c>
      <c r="AJ303">
        <v>0</v>
      </c>
      <c r="AK303">
        <v>0</v>
      </c>
      <c r="AL303" t="str" cm="1">
        <f t="array" ref="AL303">_xlfn.IFS(Table1[[#This Row],[JobSatisfaction]]=1,"Low",Table1[[#This Row],[JobSatisfaction]]=2,"Medium",Table1[[#This Row],[JobSatisfaction]]=3,"High",Table1[[#This Row],[JobSatisfaction]]=4,"Very High")</f>
        <v>High</v>
      </c>
      <c r="AM303">
        <f>IF(Table1[[#This Row],[Attrition]]="Yes",1,0)</f>
        <v>0</v>
      </c>
    </row>
    <row r="304" spans="1:39" ht="13.8" x14ac:dyDescent="0.25">
      <c r="A304">
        <v>28</v>
      </c>
      <c r="B304" t="str" cm="1">
        <f t="array" ref="B304">_xlfn.IFS(Table1[[#This Row],[Age]]&lt;30,"Under 30",Table1[[#This Row],[Age]]&lt;=40,"30-40",Table1[[#This Row],[Age]]&lt;=50,"41-50",Table1[[#This Row],[Age]]&gt;50,"Over 50")</f>
        <v>Under 30</v>
      </c>
      <c r="C304" t="s">
        <v>43</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t="str" cm="1">
        <f t="array" ref="AH304">_xlfn.IFS(Table1[[#This Row],[YearsAtCompany]]&lt;=2,"0-2 years",Table1[[#This Row],[YearsAtCompany]]&lt;=5,"3-5 years",Table1[[#This Row],[YearsAtCompany]]&lt;=10,"6-10 years",Table1[[#This Row],[YearsAtCompany]]&gt;10,"10+ years")</f>
        <v>6-10 years</v>
      </c>
      <c r="AI304">
        <v>3</v>
      </c>
      <c r="AJ304">
        <v>0</v>
      </c>
      <c r="AK304">
        <v>7</v>
      </c>
      <c r="AL304" t="str" cm="1">
        <f t="array" ref="AL304">_xlfn.IFS(Table1[[#This Row],[JobSatisfaction]]=1,"Low",Table1[[#This Row],[JobSatisfaction]]=2,"Medium",Table1[[#This Row],[JobSatisfaction]]=3,"High",Table1[[#This Row],[JobSatisfaction]]=4,"Very High")</f>
        <v>Low</v>
      </c>
      <c r="AM304">
        <f>IF(Table1[[#This Row],[Attrition]]="Yes",1,0)</f>
        <v>0</v>
      </c>
    </row>
    <row r="305" spans="1:39" ht="13.8" x14ac:dyDescent="0.25">
      <c r="A305">
        <v>31</v>
      </c>
      <c r="B305" t="str" cm="1">
        <f t="array" ref="B305">_xlfn.IFS(Table1[[#This Row],[Age]]&lt;30,"Under 30",Table1[[#This Row],[Age]]&lt;=40,"30-40",Table1[[#This Row],[Age]]&lt;=50,"41-50",Table1[[#This Row],[Age]]&gt;50,"Over 50")</f>
        <v>30-40</v>
      </c>
      <c r="C305" t="s">
        <v>43</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t="str" cm="1">
        <f t="array" ref="AH305">_xlfn.IFS(Table1[[#This Row],[YearsAtCompany]]&lt;=2,"0-2 years",Table1[[#This Row],[YearsAtCompany]]&lt;=5,"3-5 years",Table1[[#This Row],[YearsAtCompany]]&lt;=10,"6-10 years",Table1[[#This Row],[YearsAtCompany]]&gt;10,"10+ years")</f>
        <v>6-10 years</v>
      </c>
      <c r="AI305">
        <v>7</v>
      </c>
      <c r="AJ305">
        <v>7</v>
      </c>
      <c r="AK305">
        <v>7</v>
      </c>
      <c r="AL305" t="str" cm="1">
        <f t="array" ref="AL305">_xlfn.IFS(Table1[[#This Row],[JobSatisfaction]]=1,"Low",Table1[[#This Row],[JobSatisfaction]]=2,"Medium",Table1[[#This Row],[JobSatisfaction]]=3,"High",Table1[[#This Row],[JobSatisfaction]]=4,"Very High")</f>
        <v>Very High</v>
      </c>
      <c r="AM305">
        <f>IF(Table1[[#This Row],[Attrition]]="Yes",1,0)</f>
        <v>0</v>
      </c>
    </row>
    <row r="306" spans="1:39" ht="13.8" x14ac:dyDescent="0.25">
      <c r="A306">
        <v>39</v>
      </c>
      <c r="B306" t="str" cm="1">
        <f t="array" ref="B306">_xlfn.IFS(Table1[[#This Row],[Age]]&lt;30,"Under 30",Table1[[#This Row],[Age]]&lt;=40,"30-40",Table1[[#This Row],[Age]]&lt;=50,"41-50",Table1[[#This Row],[Age]]&gt;50,"Over 50")</f>
        <v>30-40</v>
      </c>
      <c r="C306" t="s">
        <v>43</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t="str" cm="1">
        <f t="array" ref="AH306">_xlfn.IFS(Table1[[#This Row],[YearsAtCompany]]&lt;=2,"0-2 years",Table1[[#This Row],[YearsAtCompany]]&lt;=5,"3-5 years",Table1[[#This Row],[YearsAtCompany]]&lt;=10,"6-10 years",Table1[[#This Row],[YearsAtCompany]]&gt;10,"10+ years")</f>
        <v>10+ years</v>
      </c>
      <c r="AI306">
        <v>10</v>
      </c>
      <c r="AJ306">
        <v>3</v>
      </c>
      <c r="AK306">
        <v>7</v>
      </c>
      <c r="AL306" t="str" cm="1">
        <f t="array" ref="AL306">_xlfn.IFS(Table1[[#This Row],[JobSatisfaction]]=1,"Low",Table1[[#This Row],[JobSatisfaction]]=2,"Medium",Table1[[#This Row],[JobSatisfaction]]=3,"High",Table1[[#This Row],[JobSatisfaction]]=4,"Very High")</f>
        <v>Very High</v>
      </c>
      <c r="AM306">
        <f>IF(Table1[[#This Row],[Attrition]]="Yes",1,0)</f>
        <v>0</v>
      </c>
    </row>
    <row r="307" spans="1:39" ht="13.8" x14ac:dyDescent="0.25">
      <c r="A307">
        <v>36</v>
      </c>
      <c r="B307" t="str" cm="1">
        <f t="array" ref="B307">_xlfn.IFS(Table1[[#This Row],[Age]]&lt;30,"Under 30",Table1[[#This Row],[Age]]&lt;=40,"30-40",Table1[[#This Row],[Age]]&lt;=50,"41-50",Table1[[#This Row],[Age]]&gt;50,"Over 50")</f>
        <v>30-40</v>
      </c>
      <c r="C307" t="s">
        <v>43</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t="str" cm="1">
        <f t="array" ref="AH307">_xlfn.IFS(Table1[[#This Row],[YearsAtCompany]]&lt;=2,"0-2 years",Table1[[#This Row],[YearsAtCompany]]&lt;=5,"3-5 years",Table1[[#This Row],[YearsAtCompany]]&lt;=10,"6-10 years",Table1[[#This Row],[YearsAtCompany]]&gt;10,"10+ years")</f>
        <v>6-10 years</v>
      </c>
      <c r="AI307">
        <v>8</v>
      </c>
      <c r="AJ307">
        <v>0</v>
      </c>
      <c r="AK307">
        <v>8</v>
      </c>
      <c r="AL307" t="str" cm="1">
        <f t="array" ref="AL307">_xlfn.IFS(Table1[[#This Row],[JobSatisfaction]]=1,"Low",Table1[[#This Row],[JobSatisfaction]]=2,"Medium",Table1[[#This Row],[JobSatisfaction]]=3,"High",Table1[[#This Row],[JobSatisfaction]]=4,"Very High")</f>
        <v>Medium</v>
      </c>
      <c r="AM307">
        <f>IF(Table1[[#This Row],[Attrition]]="Yes",1,0)</f>
        <v>0</v>
      </c>
    </row>
    <row r="308" spans="1:39" ht="13.8" x14ac:dyDescent="0.25">
      <c r="A308">
        <v>32</v>
      </c>
      <c r="B308" t="str" cm="1">
        <f t="array" ref="B308">_xlfn.IFS(Table1[[#This Row],[Age]]&lt;30,"Under 30",Table1[[#This Row],[Age]]&lt;=40,"30-40",Table1[[#This Row],[Age]]&lt;=50,"41-50",Table1[[#This Row],[Age]]&gt;50,"Over 50")</f>
        <v>30-40</v>
      </c>
      <c r="C308" t="s">
        <v>43</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t="str" cm="1">
        <f t="array" ref="AH308">_xlfn.IFS(Table1[[#This Row],[YearsAtCompany]]&lt;=2,"0-2 years",Table1[[#This Row],[YearsAtCompany]]&lt;=5,"3-5 years",Table1[[#This Row],[YearsAtCompany]]&lt;=10,"6-10 years",Table1[[#This Row],[YearsAtCompany]]&gt;10,"10+ years")</f>
        <v>10+ years</v>
      </c>
      <c r="AI308">
        <v>8</v>
      </c>
      <c r="AJ308">
        <v>4</v>
      </c>
      <c r="AK308">
        <v>8</v>
      </c>
      <c r="AL308" t="str" cm="1">
        <f t="array" ref="AL308">_xlfn.IFS(Table1[[#This Row],[JobSatisfaction]]=1,"Low",Table1[[#This Row],[JobSatisfaction]]=2,"Medium",Table1[[#This Row],[JobSatisfaction]]=3,"High",Table1[[#This Row],[JobSatisfaction]]=4,"Very High")</f>
        <v>High</v>
      </c>
      <c r="AM308">
        <f>IF(Table1[[#This Row],[Attrition]]="Yes",1,0)</f>
        <v>0</v>
      </c>
    </row>
    <row r="309" spans="1:39" ht="13.8" x14ac:dyDescent="0.25">
      <c r="A309">
        <v>38</v>
      </c>
      <c r="B309" t="str" cm="1">
        <f t="array" ref="B309">_xlfn.IFS(Table1[[#This Row],[Age]]&lt;30,"Under 30",Table1[[#This Row],[Age]]&lt;=40,"30-40",Table1[[#This Row],[Age]]&lt;=50,"41-50",Table1[[#This Row],[Age]]&gt;50,"Over 50")</f>
        <v>30-40</v>
      </c>
      <c r="C309" t="s">
        <v>43</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t="str" cm="1">
        <f t="array" ref="AH309">_xlfn.IFS(Table1[[#This Row],[YearsAtCompany]]&lt;=2,"0-2 years",Table1[[#This Row],[YearsAtCompany]]&lt;=5,"3-5 years",Table1[[#This Row],[YearsAtCompany]]&lt;=10,"6-10 years",Table1[[#This Row],[YearsAtCompany]]&gt;10,"10+ years")</f>
        <v>6-10 years</v>
      </c>
      <c r="AI309">
        <v>8</v>
      </c>
      <c r="AJ309">
        <v>0</v>
      </c>
      <c r="AK309">
        <v>1</v>
      </c>
      <c r="AL309" t="str" cm="1">
        <f t="array" ref="AL309">_xlfn.IFS(Table1[[#This Row],[JobSatisfaction]]=1,"Low",Table1[[#This Row],[JobSatisfaction]]=2,"Medium",Table1[[#This Row],[JobSatisfaction]]=3,"High",Table1[[#This Row],[JobSatisfaction]]=4,"Very High")</f>
        <v>Medium</v>
      </c>
      <c r="AM309">
        <f>IF(Table1[[#This Row],[Attrition]]="Yes",1,0)</f>
        <v>0</v>
      </c>
    </row>
    <row r="310" spans="1:39" ht="13.8" x14ac:dyDescent="0.25">
      <c r="A310">
        <v>58</v>
      </c>
      <c r="B310" t="str" cm="1">
        <f t="array" ref="B310">_xlfn.IFS(Table1[[#This Row],[Age]]&lt;30,"Under 30",Table1[[#This Row],[Age]]&lt;=40,"30-40",Table1[[#This Row],[Age]]&lt;=50,"41-50",Table1[[#This Row],[Age]]&gt;50,"Over 50")</f>
        <v>Over 50</v>
      </c>
      <c r="C310" t="s">
        <v>43</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t="str" cm="1">
        <f t="array" ref="AH310">_xlfn.IFS(Table1[[#This Row],[YearsAtCompany]]&lt;=2,"0-2 years",Table1[[#This Row],[YearsAtCompany]]&lt;=5,"3-5 years",Table1[[#This Row],[YearsAtCompany]]&lt;=10,"6-10 years",Table1[[#This Row],[YearsAtCompany]]&gt;10,"10+ years")</f>
        <v>3-5 years</v>
      </c>
      <c r="AI310">
        <v>3</v>
      </c>
      <c r="AJ310">
        <v>1</v>
      </c>
      <c r="AK310">
        <v>2</v>
      </c>
      <c r="AL310" t="str" cm="1">
        <f t="array" ref="AL310">_xlfn.IFS(Table1[[#This Row],[JobSatisfaction]]=1,"Low",Table1[[#This Row],[JobSatisfaction]]=2,"Medium",Table1[[#This Row],[JobSatisfaction]]=3,"High",Table1[[#This Row],[JobSatisfaction]]=4,"Very High")</f>
        <v>High</v>
      </c>
      <c r="AM310">
        <f>IF(Table1[[#This Row],[Attrition]]="Yes",1,0)</f>
        <v>0</v>
      </c>
    </row>
    <row r="311" spans="1:39" ht="13.8" x14ac:dyDescent="0.25">
      <c r="A311">
        <v>31</v>
      </c>
      <c r="B311" t="str" cm="1">
        <f t="array" ref="B311">_xlfn.IFS(Table1[[#This Row],[Age]]&lt;30,"Under 30",Table1[[#This Row],[Age]]&lt;=40,"30-40",Table1[[#This Row],[Age]]&lt;=50,"41-50",Table1[[#This Row],[Age]]&gt;50,"Over 50")</f>
        <v>30-40</v>
      </c>
      <c r="C311" t="s">
        <v>43</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t="str" cm="1">
        <f t="array" ref="AH311">_xlfn.IFS(Table1[[#This Row],[YearsAtCompany]]&lt;=2,"0-2 years",Table1[[#This Row],[YearsAtCompany]]&lt;=5,"3-5 years",Table1[[#This Row],[YearsAtCompany]]&lt;=10,"6-10 years",Table1[[#This Row],[YearsAtCompany]]&gt;10,"10+ years")</f>
        <v>3-5 years</v>
      </c>
      <c r="AI311">
        <v>2</v>
      </c>
      <c r="AJ311">
        <v>0</v>
      </c>
      <c r="AK311">
        <v>3</v>
      </c>
      <c r="AL311" t="str" cm="1">
        <f t="array" ref="AL311">_xlfn.IFS(Table1[[#This Row],[JobSatisfaction]]=1,"Low",Table1[[#This Row],[JobSatisfaction]]=2,"Medium",Table1[[#This Row],[JobSatisfaction]]=3,"High",Table1[[#This Row],[JobSatisfaction]]=4,"Very High")</f>
        <v>Very High</v>
      </c>
      <c r="AM311">
        <f>IF(Table1[[#This Row],[Attrition]]="Yes",1,0)</f>
        <v>0</v>
      </c>
    </row>
    <row r="312" spans="1:39" ht="13.8" x14ac:dyDescent="0.25">
      <c r="A312">
        <v>31</v>
      </c>
      <c r="B312" t="str" cm="1">
        <f t="array" ref="B312">_xlfn.IFS(Table1[[#This Row],[Age]]&lt;30,"Under 30",Table1[[#This Row],[Age]]&lt;=40,"30-40",Table1[[#This Row],[Age]]&lt;=50,"41-50",Table1[[#This Row],[Age]]&gt;50,"Over 50")</f>
        <v>30-40</v>
      </c>
      <c r="C312" t="s">
        <v>43</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t="str" cm="1">
        <f t="array" ref="AH312">_xlfn.IFS(Table1[[#This Row],[YearsAtCompany]]&lt;=2,"0-2 years",Table1[[#This Row],[YearsAtCompany]]&lt;=5,"3-5 years",Table1[[#This Row],[YearsAtCompany]]&lt;=10,"6-10 years",Table1[[#This Row],[YearsAtCompany]]&gt;10,"10+ years")</f>
        <v>0-2 years</v>
      </c>
      <c r="AI312">
        <v>2</v>
      </c>
      <c r="AJ312">
        <v>1</v>
      </c>
      <c r="AK312">
        <v>0</v>
      </c>
      <c r="AL312" t="str" cm="1">
        <f t="array" ref="AL312">_xlfn.IFS(Table1[[#This Row],[JobSatisfaction]]=1,"Low",Table1[[#This Row],[JobSatisfaction]]=2,"Medium",Table1[[#This Row],[JobSatisfaction]]=3,"High",Table1[[#This Row],[JobSatisfaction]]=4,"Very High")</f>
        <v>Low</v>
      </c>
      <c r="AM312">
        <f>IF(Table1[[#This Row],[Attrition]]="Yes",1,0)</f>
        <v>0</v>
      </c>
    </row>
    <row r="313" spans="1:39" ht="13.8" x14ac:dyDescent="0.25">
      <c r="A313">
        <v>45</v>
      </c>
      <c r="B313" t="str" cm="1">
        <f t="array" ref="B313">_xlfn.IFS(Table1[[#This Row],[Age]]&lt;30,"Under 30",Table1[[#This Row],[Age]]&lt;=40,"30-40",Table1[[#This Row],[Age]]&lt;=50,"41-50",Table1[[#This Row],[Age]]&gt;50,"Over 50")</f>
        <v>41-50</v>
      </c>
      <c r="C313" t="s">
        <v>43</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t="str" cm="1">
        <f t="array" ref="AH313">_xlfn.IFS(Table1[[#This Row],[YearsAtCompany]]&lt;=2,"0-2 years",Table1[[#This Row],[YearsAtCompany]]&lt;=5,"3-5 years",Table1[[#This Row],[YearsAtCompany]]&lt;=10,"6-10 years",Table1[[#This Row],[YearsAtCompany]]&gt;10,"10+ years")</f>
        <v>10+ years</v>
      </c>
      <c r="AI313">
        <v>9</v>
      </c>
      <c r="AJ313">
        <v>9</v>
      </c>
      <c r="AK313">
        <v>11</v>
      </c>
      <c r="AL313" t="str" cm="1">
        <f t="array" ref="AL313">_xlfn.IFS(Table1[[#This Row],[JobSatisfaction]]=1,"Low",Table1[[#This Row],[JobSatisfaction]]=2,"Medium",Table1[[#This Row],[JobSatisfaction]]=3,"High",Table1[[#This Row],[JobSatisfaction]]=4,"Very High")</f>
        <v>Low</v>
      </c>
      <c r="AM313">
        <f>IF(Table1[[#This Row],[Attrition]]="Yes",1,0)</f>
        <v>0</v>
      </c>
    </row>
    <row r="314" spans="1:39" ht="13.8" x14ac:dyDescent="0.25">
      <c r="A314">
        <v>31</v>
      </c>
      <c r="B314" t="str" cm="1">
        <f t="array" ref="B314">_xlfn.IFS(Table1[[#This Row],[Age]]&lt;30,"Under 30",Table1[[#This Row],[Age]]&lt;=40,"30-40",Table1[[#This Row],[Age]]&lt;=50,"41-50",Table1[[#This Row],[Age]]&gt;50,"Over 50")</f>
        <v>30-40</v>
      </c>
      <c r="C314" t="s">
        <v>43</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t="str" cm="1">
        <f t="array" ref="AH314">_xlfn.IFS(Table1[[#This Row],[YearsAtCompany]]&lt;=2,"0-2 years",Table1[[#This Row],[YearsAtCompany]]&lt;=5,"3-5 years",Table1[[#This Row],[YearsAtCompany]]&lt;=10,"6-10 years",Table1[[#This Row],[YearsAtCompany]]&gt;10,"10+ years")</f>
        <v>0-2 years</v>
      </c>
      <c r="AI314">
        <v>2</v>
      </c>
      <c r="AJ314">
        <v>2</v>
      </c>
      <c r="AK314">
        <v>2</v>
      </c>
      <c r="AL314" t="str" cm="1">
        <f t="array" ref="AL314">_xlfn.IFS(Table1[[#This Row],[JobSatisfaction]]=1,"Low",Table1[[#This Row],[JobSatisfaction]]=2,"Medium",Table1[[#This Row],[JobSatisfaction]]=3,"High",Table1[[#This Row],[JobSatisfaction]]=4,"Very High")</f>
        <v>Very High</v>
      </c>
      <c r="AM314">
        <f>IF(Table1[[#This Row],[Attrition]]="Yes",1,0)</f>
        <v>0</v>
      </c>
    </row>
    <row r="315" spans="1:39" ht="13.8" x14ac:dyDescent="0.25">
      <c r="A315">
        <v>33</v>
      </c>
      <c r="B315" t="str" cm="1">
        <f t="array" ref="B315">_xlfn.IFS(Table1[[#This Row],[Age]]&lt;30,"Under 30",Table1[[#This Row],[Age]]&lt;=40,"30-40",Table1[[#This Row],[Age]]&lt;=50,"41-50",Table1[[#This Row],[Age]]&gt;50,"Over 50")</f>
        <v>30-40</v>
      </c>
      <c r="C315" t="s">
        <v>43</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t="str" cm="1">
        <f t="array" ref="AH315">_xlfn.IFS(Table1[[#This Row],[YearsAtCompany]]&lt;=2,"0-2 years",Table1[[#This Row],[YearsAtCompany]]&lt;=5,"3-5 years",Table1[[#This Row],[YearsAtCompany]]&lt;=10,"6-10 years",Table1[[#This Row],[YearsAtCompany]]&gt;10,"10+ years")</f>
        <v>6-10 years</v>
      </c>
      <c r="AI315">
        <v>6</v>
      </c>
      <c r="AJ315">
        <v>8</v>
      </c>
      <c r="AK315">
        <v>8</v>
      </c>
      <c r="AL315" t="str" cm="1">
        <f t="array" ref="AL315">_xlfn.IFS(Table1[[#This Row],[JobSatisfaction]]=1,"Low",Table1[[#This Row],[JobSatisfaction]]=2,"Medium",Table1[[#This Row],[JobSatisfaction]]=3,"High",Table1[[#This Row],[JobSatisfaction]]=4,"Very High")</f>
        <v>Medium</v>
      </c>
      <c r="AM315">
        <f>IF(Table1[[#This Row],[Attrition]]="Yes",1,0)</f>
        <v>0</v>
      </c>
    </row>
    <row r="316" spans="1:39" ht="13.8" x14ac:dyDescent="0.25">
      <c r="A316">
        <v>39</v>
      </c>
      <c r="B316" t="str" cm="1">
        <f t="array" ref="B316">_xlfn.IFS(Table1[[#This Row],[Age]]&lt;30,"Under 30",Table1[[#This Row],[Age]]&lt;=40,"30-40",Table1[[#This Row],[Age]]&lt;=50,"41-50",Table1[[#This Row],[Age]]&gt;50,"Over 50")</f>
        <v>30-40</v>
      </c>
      <c r="C316" t="s">
        <v>43</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t="str" cm="1">
        <f t="array" ref="AH316">_xlfn.IFS(Table1[[#This Row],[YearsAtCompany]]&lt;=2,"0-2 years",Table1[[#This Row],[YearsAtCompany]]&lt;=5,"3-5 years",Table1[[#This Row],[YearsAtCompany]]&lt;=10,"6-10 years",Table1[[#This Row],[YearsAtCompany]]&gt;10,"10+ years")</f>
        <v>10+ years</v>
      </c>
      <c r="AI316">
        <v>9</v>
      </c>
      <c r="AJ316">
        <v>11</v>
      </c>
      <c r="AK316">
        <v>10</v>
      </c>
      <c r="AL316" t="str" cm="1">
        <f t="array" ref="AL316">_xlfn.IFS(Table1[[#This Row],[JobSatisfaction]]=1,"Low",Table1[[#This Row],[JobSatisfaction]]=2,"Medium",Table1[[#This Row],[JobSatisfaction]]=3,"High",Table1[[#This Row],[JobSatisfaction]]=4,"Very High")</f>
        <v>Low</v>
      </c>
      <c r="AM316">
        <f>IF(Table1[[#This Row],[Attrition]]="Yes",1,0)</f>
        <v>0</v>
      </c>
    </row>
    <row r="317" spans="1:39" ht="13.8" x14ac:dyDescent="0.25">
      <c r="A317">
        <v>43</v>
      </c>
      <c r="B317" t="str" cm="1">
        <f t="array" ref="B317">_xlfn.IFS(Table1[[#This Row],[Age]]&lt;30,"Under 30",Table1[[#This Row],[Age]]&lt;=40,"30-40",Table1[[#This Row],[Age]]&lt;=50,"41-50",Table1[[#This Row],[Age]]&gt;50,"Over 50")</f>
        <v>41-50</v>
      </c>
      <c r="C317" t="s">
        <v>43</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t="str" cm="1">
        <f t="array" ref="AH317">_xlfn.IFS(Table1[[#This Row],[YearsAtCompany]]&lt;=2,"0-2 years",Table1[[#This Row],[YearsAtCompany]]&lt;=5,"3-5 years",Table1[[#This Row],[YearsAtCompany]]&lt;=10,"6-10 years",Table1[[#This Row],[YearsAtCompany]]&gt;10,"10+ years")</f>
        <v>6-10 years</v>
      </c>
      <c r="AI317">
        <v>7</v>
      </c>
      <c r="AJ317">
        <v>1</v>
      </c>
      <c r="AK317">
        <v>7</v>
      </c>
      <c r="AL317" t="str" cm="1">
        <f t="array" ref="AL317">_xlfn.IFS(Table1[[#This Row],[JobSatisfaction]]=1,"Low",Table1[[#This Row],[JobSatisfaction]]=2,"Medium",Table1[[#This Row],[JobSatisfaction]]=3,"High",Table1[[#This Row],[JobSatisfaction]]=4,"Very High")</f>
        <v>Very High</v>
      </c>
      <c r="AM317">
        <f>IF(Table1[[#This Row],[Attrition]]="Yes",1,0)</f>
        <v>0</v>
      </c>
    </row>
    <row r="318" spans="1:39" ht="13.8" x14ac:dyDescent="0.25">
      <c r="A318">
        <v>49</v>
      </c>
      <c r="B318" t="str" cm="1">
        <f t="array" ref="B318">_xlfn.IFS(Table1[[#This Row],[Age]]&lt;30,"Under 30",Table1[[#This Row],[Age]]&lt;=40,"30-40",Table1[[#This Row],[Age]]&lt;=50,"41-50",Table1[[#This Row],[Age]]&gt;50,"Over 50")</f>
        <v>41-50</v>
      </c>
      <c r="C318" t="s">
        <v>43</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t="str" cm="1">
        <f t="array" ref="AH318">_xlfn.IFS(Table1[[#This Row],[YearsAtCompany]]&lt;=2,"0-2 years",Table1[[#This Row],[YearsAtCompany]]&lt;=5,"3-5 years",Table1[[#This Row],[YearsAtCompany]]&lt;=10,"6-10 years",Table1[[#This Row],[YearsAtCompany]]&gt;10,"10+ years")</f>
        <v>6-10 years</v>
      </c>
      <c r="AI318">
        <v>1</v>
      </c>
      <c r="AJ318">
        <v>0</v>
      </c>
      <c r="AK318">
        <v>7</v>
      </c>
      <c r="AL318" t="str" cm="1">
        <f t="array" ref="AL318">_xlfn.IFS(Table1[[#This Row],[JobSatisfaction]]=1,"Low",Table1[[#This Row],[JobSatisfaction]]=2,"Medium",Table1[[#This Row],[JobSatisfaction]]=3,"High",Table1[[#This Row],[JobSatisfaction]]=4,"Very High")</f>
        <v>High</v>
      </c>
      <c r="AM318">
        <f>IF(Table1[[#This Row],[Attrition]]="Yes",1,0)</f>
        <v>0</v>
      </c>
    </row>
    <row r="319" spans="1:39" ht="13.8" x14ac:dyDescent="0.25">
      <c r="A319">
        <v>52</v>
      </c>
      <c r="B319" t="str" cm="1">
        <f t="array" ref="B319">_xlfn.IFS(Table1[[#This Row],[Age]]&lt;30,"Under 30",Table1[[#This Row],[Age]]&lt;=40,"30-40",Table1[[#This Row],[Age]]&lt;=50,"41-50",Table1[[#This Row],[Age]]&gt;50,"Over 50")</f>
        <v>Over 50</v>
      </c>
      <c r="C319" t="s">
        <v>35</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t="str" cm="1">
        <f t="array" ref="AH319">_xlfn.IFS(Table1[[#This Row],[YearsAtCompany]]&lt;=2,"0-2 years",Table1[[#This Row],[YearsAtCompany]]&lt;=5,"3-5 years",Table1[[#This Row],[YearsAtCompany]]&lt;=10,"6-10 years",Table1[[#This Row],[YearsAtCompany]]&gt;10,"10+ years")</f>
        <v>6-10 years</v>
      </c>
      <c r="AI319">
        <v>2</v>
      </c>
      <c r="AJ319">
        <v>7</v>
      </c>
      <c r="AK319">
        <v>7</v>
      </c>
      <c r="AL319" t="str" cm="1">
        <f t="array" ref="AL319">_xlfn.IFS(Table1[[#This Row],[JobSatisfaction]]=1,"Low",Table1[[#This Row],[JobSatisfaction]]=2,"Medium",Table1[[#This Row],[JobSatisfaction]]=3,"High",Table1[[#This Row],[JobSatisfaction]]=4,"Very High")</f>
        <v>Medium</v>
      </c>
      <c r="AM319">
        <f>IF(Table1[[#This Row],[Attrition]]="Yes",1,0)</f>
        <v>1</v>
      </c>
    </row>
    <row r="320" spans="1:39" ht="13.8" x14ac:dyDescent="0.25">
      <c r="A320">
        <v>27</v>
      </c>
      <c r="B320" t="str" cm="1">
        <f t="array" ref="B320">_xlfn.IFS(Table1[[#This Row],[Age]]&lt;30,"Under 30",Table1[[#This Row],[Age]]&lt;=40,"30-40",Table1[[#This Row],[Age]]&lt;=50,"41-50",Table1[[#This Row],[Age]]&gt;50,"Over 50")</f>
        <v>Under 30</v>
      </c>
      <c r="C320" t="s">
        <v>43</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t="str" cm="1">
        <f t="array" ref="AH320">_xlfn.IFS(Table1[[#This Row],[YearsAtCompany]]&lt;=2,"0-2 years",Table1[[#This Row],[YearsAtCompany]]&lt;=5,"3-5 years",Table1[[#This Row],[YearsAtCompany]]&lt;=10,"6-10 years",Table1[[#This Row],[YearsAtCompany]]&gt;10,"10+ years")</f>
        <v>3-5 years</v>
      </c>
      <c r="AI320">
        <v>3</v>
      </c>
      <c r="AJ320">
        <v>1</v>
      </c>
      <c r="AK320">
        <v>2</v>
      </c>
      <c r="AL320" t="str" cm="1">
        <f t="array" ref="AL320">_xlfn.IFS(Table1[[#This Row],[JobSatisfaction]]=1,"Low",Table1[[#This Row],[JobSatisfaction]]=2,"Medium",Table1[[#This Row],[JobSatisfaction]]=3,"High",Table1[[#This Row],[JobSatisfaction]]=4,"Very High")</f>
        <v>Medium</v>
      </c>
      <c r="AM320">
        <f>IF(Table1[[#This Row],[Attrition]]="Yes",1,0)</f>
        <v>0</v>
      </c>
    </row>
    <row r="321" spans="1:39" ht="13.8" x14ac:dyDescent="0.25">
      <c r="A321">
        <v>32</v>
      </c>
      <c r="B321" t="str" cm="1">
        <f t="array" ref="B321">_xlfn.IFS(Table1[[#This Row],[Age]]&lt;30,"Under 30",Table1[[#This Row],[Age]]&lt;=40,"30-40",Table1[[#This Row],[Age]]&lt;=50,"41-50",Table1[[#This Row],[Age]]&gt;50,"Over 50")</f>
        <v>30-40</v>
      </c>
      <c r="C321" t="s">
        <v>43</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t="str" cm="1">
        <f t="array" ref="AH321">_xlfn.IFS(Table1[[#This Row],[YearsAtCompany]]&lt;=2,"0-2 years",Table1[[#This Row],[YearsAtCompany]]&lt;=5,"3-5 years",Table1[[#This Row],[YearsAtCompany]]&lt;=10,"6-10 years",Table1[[#This Row],[YearsAtCompany]]&gt;10,"10+ years")</f>
        <v>10+ years</v>
      </c>
      <c r="AI321">
        <v>12</v>
      </c>
      <c r="AJ321">
        <v>11</v>
      </c>
      <c r="AK321">
        <v>9</v>
      </c>
      <c r="AL321" t="str" cm="1">
        <f t="array" ref="AL321">_xlfn.IFS(Table1[[#This Row],[JobSatisfaction]]=1,"Low",Table1[[#This Row],[JobSatisfaction]]=2,"Medium",Table1[[#This Row],[JobSatisfaction]]=3,"High",Table1[[#This Row],[JobSatisfaction]]=4,"Very High")</f>
        <v>Medium</v>
      </c>
      <c r="AM321">
        <f>IF(Table1[[#This Row],[Attrition]]="Yes",1,0)</f>
        <v>0</v>
      </c>
    </row>
    <row r="322" spans="1:39" ht="13.8" x14ac:dyDescent="0.25">
      <c r="A322">
        <v>27</v>
      </c>
      <c r="B322" t="str" cm="1">
        <f t="array" ref="B322">_xlfn.IFS(Table1[[#This Row],[Age]]&lt;30,"Under 30",Table1[[#This Row],[Age]]&lt;=40,"30-40",Table1[[#This Row],[Age]]&lt;=50,"41-50",Table1[[#This Row],[Age]]&gt;50,"Over 50")</f>
        <v>Under 30</v>
      </c>
      <c r="C322" t="s">
        <v>43</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t="str" cm="1">
        <f t="array" ref="AH322">_xlfn.IFS(Table1[[#This Row],[YearsAtCompany]]&lt;=2,"0-2 years",Table1[[#This Row],[YearsAtCompany]]&lt;=5,"3-5 years",Table1[[#This Row],[YearsAtCompany]]&lt;=10,"6-10 years",Table1[[#This Row],[YearsAtCompany]]&gt;10,"10+ years")</f>
        <v>3-5 years</v>
      </c>
      <c r="AI322">
        <v>4</v>
      </c>
      <c r="AJ322">
        <v>0</v>
      </c>
      <c r="AK322">
        <v>4</v>
      </c>
      <c r="AL322" t="str" cm="1">
        <f t="array" ref="AL322">_xlfn.IFS(Table1[[#This Row],[JobSatisfaction]]=1,"Low",Table1[[#This Row],[JobSatisfaction]]=2,"Medium",Table1[[#This Row],[JobSatisfaction]]=3,"High",Table1[[#This Row],[JobSatisfaction]]=4,"Very High")</f>
        <v>High</v>
      </c>
      <c r="AM322">
        <f>IF(Table1[[#This Row],[Attrition]]="Yes",1,0)</f>
        <v>0</v>
      </c>
    </row>
    <row r="323" spans="1:39" ht="13.8" x14ac:dyDescent="0.25">
      <c r="A323">
        <v>31</v>
      </c>
      <c r="B323" t="str" cm="1">
        <f t="array" ref="B323">_xlfn.IFS(Table1[[#This Row],[Age]]&lt;30,"Under 30",Table1[[#This Row],[Age]]&lt;=40,"30-40",Table1[[#This Row],[Age]]&lt;=50,"41-50",Table1[[#This Row],[Age]]&gt;50,"Over 50")</f>
        <v>30-40</v>
      </c>
      <c r="C323" t="s">
        <v>43</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t="str" cm="1">
        <f t="array" ref="AH323">_xlfn.IFS(Table1[[#This Row],[YearsAtCompany]]&lt;=2,"0-2 years",Table1[[#This Row],[YearsAtCompany]]&lt;=5,"3-5 years",Table1[[#This Row],[YearsAtCompany]]&lt;=10,"6-10 years",Table1[[#This Row],[YearsAtCompany]]&gt;10,"10+ years")</f>
        <v>6-10 years</v>
      </c>
      <c r="AI323">
        <v>7</v>
      </c>
      <c r="AJ323">
        <v>1</v>
      </c>
      <c r="AK323">
        <v>7</v>
      </c>
      <c r="AL323" t="str" cm="1">
        <f t="array" ref="AL323">_xlfn.IFS(Table1[[#This Row],[JobSatisfaction]]=1,"Low",Table1[[#This Row],[JobSatisfaction]]=2,"Medium",Table1[[#This Row],[JobSatisfaction]]=3,"High",Table1[[#This Row],[JobSatisfaction]]=4,"Very High")</f>
        <v>Very High</v>
      </c>
      <c r="AM323">
        <f>IF(Table1[[#This Row],[Attrition]]="Yes",1,0)</f>
        <v>0</v>
      </c>
    </row>
    <row r="324" spans="1:39" ht="13.8" x14ac:dyDescent="0.25">
      <c r="A324">
        <v>32</v>
      </c>
      <c r="B324" t="str" cm="1">
        <f t="array" ref="B324">_xlfn.IFS(Table1[[#This Row],[Age]]&lt;30,"Under 30",Table1[[#This Row],[Age]]&lt;=40,"30-40",Table1[[#This Row],[Age]]&lt;=50,"41-50",Table1[[#This Row],[Age]]&gt;50,"Over 50")</f>
        <v>30-40</v>
      </c>
      <c r="C324" t="s">
        <v>43</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t="str" cm="1">
        <f t="array" ref="AH324">_xlfn.IFS(Table1[[#This Row],[YearsAtCompany]]&lt;=2,"0-2 years",Table1[[#This Row],[YearsAtCompany]]&lt;=5,"3-5 years",Table1[[#This Row],[YearsAtCompany]]&lt;=10,"6-10 years",Table1[[#This Row],[YearsAtCompany]]&gt;10,"10+ years")</f>
        <v>6-10 years</v>
      </c>
      <c r="AI324">
        <v>7</v>
      </c>
      <c r="AJ324">
        <v>0</v>
      </c>
      <c r="AK324">
        <v>7</v>
      </c>
      <c r="AL324" t="str" cm="1">
        <f t="array" ref="AL324">_xlfn.IFS(Table1[[#This Row],[JobSatisfaction]]=1,"Low",Table1[[#This Row],[JobSatisfaction]]=2,"Medium",Table1[[#This Row],[JobSatisfaction]]=3,"High",Table1[[#This Row],[JobSatisfaction]]=4,"Very High")</f>
        <v>Very High</v>
      </c>
      <c r="AM324">
        <f>IF(Table1[[#This Row],[Attrition]]="Yes",1,0)</f>
        <v>0</v>
      </c>
    </row>
    <row r="325" spans="1:39" ht="13.8" x14ac:dyDescent="0.25">
      <c r="A325">
        <v>28</v>
      </c>
      <c r="B325" t="str" cm="1">
        <f t="array" ref="B325">_xlfn.IFS(Table1[[#This Row],[Age]]&lt;30,"Under 30",Table1[[#This Row],[Age]]&lt;=40,"30-40",Table1[[#This Row],[Age]]&lt;=50,"41-50",Table1[[#This Row],[Age]]&gt;50,"Over 50")</f>
        <v>Under 30</v>
      </c>
      <c r="C325" t="s">
        <v>35</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t="str" cm="1">
        <f t="array" ref="AH325">_xlfn.IFS(Table1[[#This Row],[YearsAtCompany]]&lt;=2,"0-2 years",Table1[[#This Row],[YearsAtCompany]]&lt;=5,"3-5 years",Table1[[#This Row],[YearsAtCompany]]&lt;=10,"6-10 years",Table1[[#This Row],[YearsAtCompany]]&gt;10,"10+ years")</f>
        <v>3-5 years</v>
      </c>
      <c r="AI325">
        <v>2</v>
      </c>
      <c r="AJ325">
        <v>2</v>
      </c>
      <c r="AK325">
        <v>2</v>
      </c>
      <c r="AL325" t="str" cm="1">
        <f t="array" ref="AL325">_xlfn.IFS(Table1[[#This Row],[JobSatisfaction]]=1,"Low",Table1[[#This Row],[JobSatisfaction]]=2,"Medium",Table1[[#This Row],[JobSatisfaction]]=3,"High",Table1[[#This Row],[JobSatisfaction]]=4,"Very High")</f>
        <v>Very High</v>
      </c>
      <c r="AM325">
        <f>IF(Table1[[#This Row],[Attrition]]="Yes",1,0)</f>
        <v>1</v>
      </c>
    </row>
    <row r="326" spans="1:39" ht="13.8" x14ac:dyDescent="0.25">
      <c r="A326">
        <v>30</v>
      </c>
      <c r="B326" t="str" cm="1">
        <f t="array" ref="B326">_xlfn.IFS(Table1[[#This Row],[Age]]&lt;30,"Under 30",Table1[[#This Row],[Age]]&lt;=40,"30-40",Table1[[#This Row],[Age]]&lt;=50,"41-50",Table1[[#This Row],[Age]]&gt;50,"Over 50")</f>
        <v>30-40</v>
      </c>
      <c r="C326" t="s">
        <v>43</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t="str" cm="1">
        <f t="array" ref="AH326">_xlfn.IFS(Table1[[#This Row],[YearsAtCompany]]&lt;=2,"0-2 years",Table1[[#This Row],[YearsAtCompany]]&lt;=5,"3-5 years",Table1[[#This Row],[YearsAtCompany]]&lt;=10,"6-10 years",Table1[[#This Row],[YearsAtCompany]]&gt;10,"10+ years")</f>
        <v>6-10 years</v>
      </c>
      <c r="AI326">
        <v>8</v>
      </c>
      <c r="AJ326">
        <v>1</v>
      </c>
      <c r="AK326">
        <v>9</v>
      </c>
      <c r="AL326" t="str" cm="1">
        <f t="array" ref="AL326">_xlfn.IFS(Table1[[#This Row],[JobSatisfaction]]=1,"Low",Table1[[#This Row],[JobSatisfaction]]=2,"Medium",Table1[[#This Row],[JobSatisfaction]]=3,"High",Table1[[#This Row],[JobSatisfaction]]=4,"Very High")</f>
        <v>Very High</v>
      </c>
      <c r="AM326">
        <f>IF(Table1[[#This Row],[Attrition]]="Yes",1,0)</f>
        <v>0</v>
      </c>
    </row>
    <row r="327" spans="1:39" ht="13.8" x14ac:dyDescent="0.25">
      <c r="A327">
        <v>31</v>
      </c>
      <c r="B327" t="str" cm="1">
        <f t="array" ref="B327">_xlfn.IFS(Table1[[#This Row],[Age]]&lt;30,"Under 30",Table1[[#This Row],[Age]]&lt;=40,"30-40",Table1[[#This Row],[Age]]&lt;=50,"41-50",Table1[[#This Row],[Age]]&gt;50,"Over 50")</f>
        <v>30-40</v>
      </c>
      <c r="C327" t="s">
        <v>43</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t="str" cm="1">
        <f t="array" ref="AH327">_xlfn.IFS(Table1[[#This Row],[YearsAtCompany]]&lt;=2,"0-2 years",Table1[[#This Row],[YearsAtCompany]]&lt;=5,"3-5 years",Table1[[#This Row],[YearsAtCompany]]&lt;=10,"6-10 years",Table1[[#This Row],[YearsAtCompany]]&gt;10,"10+ years")</f>
        <v>6-10 years</v>
      </c>
      <c r="AI327">
        <v>9</v>
      </c>
      <c r="AJ327">
        <v>8</v>
      </c>
      <c r="AK327">
        <v>9</v>
      </c>
      <c r="AL327" t="str" cm="1">
        <f t="array" ref="AL327">_xlfn.IFS(Table1[[#This Row],[JobSatisfaction]]=1,"Low",Table1[[#This Row],[JobSatisfaction]]=2,"Medium",Table1[[#This Row],[JobSatisfaction]]=3,"High",Table1[[#This Row],[JobSatisfaction]]=4,"Very High")</f>
        <v>High</v>
      </c>
      <c r="AM327">
        <f>IF(Table1[[#This Row],[Attrition]]="Yes",1,0)</f>
        <v>0</v>
      </c>
    </row>
    <row r="328" spans="1:39" ht="13.8" x14ac:dyDescent="0.25">
      <c r="A328">
        <v>39</v>
      </c>
      <c r="B328" t="str" cm="1">
        <f t="array" ref="B328">_xlfn.IFS(Table1[[#This Row],[Age]]&lt;30,"Under 30",Table1[[#This Row],[Age]]&lt;=40,"30-40",Table1[[#This Row],[Age]]&lt;=50,"41-50",Table1[[#This Row],[Age]]&gt;50,"Over 50")</f>
        <v>30-40</v>
      </c>
      <c r="C328" t="s">
        <v>43</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t="str" cm="1">
        <f t="array" ref="AH328">_xlfn.IFS(Table1[[#This Row],[YearsAtCompany]]&lt;=2,"0-2 years",Table1[[#This Row],[YearsAtCompany]]&lt;=5,"3-5 years",Table1[[#This Row],[YearsAtCompany]]&lt;=10,"6-10 years",Table1[[#This Row],[YearsAtCompany]]&gt;10,"10+ years")</f>
        <v>10+ years</v>
      </c>
      <c r="AI328">
        <v>9</v>
      </c>
      <c r="AJ328">
        <v>13</v>
      </c>
      <c r="AK328">
        <v>3</v>
      </c>
      <c r="AL328" t="str" cm="1">
        <f t="array" ref="AL328">_xlfn.IFS(Table1[[#This Row],[JobSatisfaction]]=1,"Low",Table1[[#This Row],[JobSatisfaction]]=2,"Medium",Table1[[#This Row],[JobSatisfaction]]=3,"High",Table1[[#This Row],[JobSatisfaction]]=4,"Very High")</f>
        <v>Very High</v>
      </c>
      <c r="AM328">
        <f>IF(Table1[[#This Row],[Attrition]]="Yes",1,0)</f>
        <v>0</v>
      </c>
    </row>
    <row r="329" spans="1:39" ht="13.8" x14ac:dyDescent="0.25">
      <c r="A329">
        <v>39</v>
      </c>
      <c r="B329" t="str" cm="1">
        <f t="array" ref="B329">_xlfn.IFS(Table1[[#This Row],[Age]]&lt;30,"Under 30",Table1[[#This Row],[Age]]&lt;=40,"30-40",Table1[[#This Row],[Age]]&lt;=50,"41-50",Table1[[#This Row],[Age]]&gt;50,"Over 50")</f>
        <v>30-40</v>
      </c>
      <c r="C329" t="s">
        <v>35</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t="str" cm="1">
        <f t="array" ref="AH329">_xlfn.IFS(Table1[[#This Row],[YearsAtCompany]]&lt;=2,"0-2 years",Table1[[#This Row],[YearsAtCompany]]&lt;=5,"3-5 years",Table1[[#This Row],[YearsAtCompany]]&lt;=10,"6-10 years",Table1[[#This Row],[YearsAtCompany]]&gt;10,"10+ years")</f>
        <v>0-2 years</v>
      </c>
      <c r="AI329">
        <v>0</v>
      </c>
      <c r="AJ329">
        <v>0</v>
      </c>
      <c r="AK329">
        <v>0</v>
      </c>
      <c r="AL329" t="str" cm="1">
        <f t="array" ref="AL329">_xlfn.IFS(Table1[[#This Row],[JobSatisfaction]]=1,"Low",Table1[[#This Row],[JobSatisfaction]]=2,"Medium",Table1[[#This Row],[JobSatisfaction]]=3,"High",Table1[[#This Row],[JobSatisfaction]]=4,"Very High")</f>
        <v>High</v>
      </c>
      <c r="AM329">
        <f>IF(Table1[[#This Row],[Attrition]]="Yes",1,0)</f>
        <v>1</v>
      </c>
    </row>
    <row r="330" spans="1:39" ht="13.8" x14ac:dyDescent="0.25">
      <c r="A330">
        <v>33</v>
      </c>
      <c r="B330" t="str" cm="1">
        <f t="array" ref="B330">_xlfn.IFS(Table1[[#This Row],[Age]]&lt;30,"Under 30",Table1[[#This Row],[Age]]&lt;=40,"30-40",Table1[[#This Row],[Age]]&lt;=50,"41-50",Table1[[#This Row],[Age]]&gt;50,"Over 50")</f>
        <v>30-40</v>
      </c>
      <c r="C330" t="s">
        <v>43</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t="str" cm="1">
        <f t="array" ref="AH330">_xlfn.IFS(Table1[[#This Row],[YearsAtCompany]]&lt;=2,"0-2 years",Table1[[#This Row],[YearsAtCompany]]&lt;=5,"3-5 years",Table1[[#This Row],[YearsAtCompany]]&lt;=10,"6-10 years",Table1[[#This Row],[YearsAtCompany]]&gt;10,"10+ years")</f>
        <v>6-10 years</v>
      </c>
      <c r="AI330">
        <v>7</v>
      </c>
      <c r="AJ330">
        <v>0</v>
      </c>
      <c r="AK330">
        <v>1</v>
      </c>
      <c r="AL330" t="str" cm="1">
        <f t="array" ref="AL330">_xlfn.IFS(Table1[[#This Row],[JobSatisfaction]]=1,"Low",Table1[[#This Row],[JobSatisfaction]]=2,"Medium",Table1[[#This Row],[JobSatisfaction]]=3,"High",Table1[[#This Row],[JobSatisfaction]]=4,"Very High")</f>
        <v>Very High</v>
      </c>
      <c r="AM330">
        <f>IF(Table1[[#This Row],[Attrition]]="Yes",1,0)</f>
        <v>0</v>
      </c>
    </row>
    <row r="331" spans="1:39" ht="13.8" x14ac:dyDescent="0.25">
      <c r="A331">
        <v>47</v>
      </c>
      <c r="B331" t="str" cm="1">
        <f t="array" ref="B331">_xlfn.IFS(Table1[[#This Row],[Age]]&lt;30,"Under 30",Table1[[#This Row],[Age]]&lt;=40,"30-40",Table1[[#This Row],[Age]]&lt;=50,"41-50",Table1[[#This Row],[Age]]&gt;50,"Over 50")</f>
        <v>41-50</v>
      </c>
      <c r="C331" t="s">
        <v>43</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t="str" cm="1">
        <f t="array" ref="AH331">_xlfn.IFS(Table1[[#This Row],[YearsAtCompany]]&lt;=2,"0-2 years",Table1[[#This Row],[YearsAtCompany]]&lt;=5,"3-5 years",Table1[[#This Row],[YearsAtCompany]]&lt;=10,"6-10 years",Table1[[#This Row],[YearsAtCompany]]&gt;10,"10+ years")</f>
        <v>3-5 years</v>
      </c>
      <c r="AI331">
        <v>2</v>
      </c>
      <c r="AJ331">
        <v>1</v>
      </c>
      <c r="AK331">
        <v>1</v>
      </c>
      <c r="AL331" t="str" cm="1">
        <f t="array" ref="AL331">_xlfn.IFS(Table1[[#This Row],[JobSatisfaction]]=1,"Low",Table1[[#This Row],[JobSatisfaction]]=2,"Medium",Table1[[#This Row],[JobSatisfaction]]=3,"High",Table1[[#This Row],[JobSatisfaction]]=4,"Very High")</f>
        <v>High</v>
      </c>
      <c r="AM331">
        <f>IF(Table1[[#This Row],[Attrition]]="Yes",1,0)</f>
        <v>0</v>
      </c>
    </row>
    <row r="332" spans="1:39" ht="13.8" x14ac:dyDescent="0.25">
      <c r="A332">
        <v>43</v>
      </c>
      <c r="B332" t="str" cm="1">
        <f t="array" ref="B332">_xlfn.IFS(Table1[[#This Row],[Age]]&lt;30,"Under 30",Table1[[#This Row],[Age]]&lt;=40,"30-40",Table1[[#This Row],[Age]]&lt;=50,"41-50",Table1[[#This Row],[Age]]&gt;50,"Over 50")</f>
        <v>41-50</v>
      </c>
      <c r="C332" t="s">
        <v>43</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t="str" cm="1">
        <f t="array" ref="AH332">_xlfn.IFS(Table1[[#This Row],[YearsAtCompany]]&lt;=2,"0-2 years",Table1[[#This Row],[YearsAtCompany]]&lt;=5,"3-5 years",Table1[[#This Row],[YearsAtCompany]]&lt;=10,"6-10 years",Table1[[#This Row],[YearsAtCompany]]&gt;10,"10+ years")</f>
        <v>6-10 years</v>
      </c>
      <c r="AI332">
        <v>7</v>
      </c>
      <c r="AJ332">
        <v>0</v>
      </c>
      <c r="AK332">
        <v>0</v>
      </c>
      <c r="AL332" t="str" cm="1">
        <f t="array" ref="AL332">_xlfn.IFS(Table1[[#This Row],[JobSatisfaction]]=1,"Low",Table1[[#This Row],[JobSatisfaction]]=2,"Medium",Table1[[#This Row],[JobSatisfaction]]=3,"High",Table1[[#This Row],[JobSatisfaction]]=4,"Very High")</f>
        <v>High</v>
      </c>
      <c r="AM332">
        <f>IF(Table1[[#This Row],[Attrition]]="Yes",1,0)</f>
        <v>0</v>
      </c>
    </row>
    <row r="333" spans="1:39" ht="13.8" x14ac:dyDescent="0.25">
      <c r="A333">
        <v>27</v>
      </c>
      <c r="B333" t="str" cm="1">
        <f t="array" ref="B333">_xlfn.IFS(Table1[[#This Row],[Age]]&lt;30,"Under 30",Table1[[#This Row],[Age]]&lt;=40,"30-40",Table1[[#This Row],[Age]]&lt;=50,"41-50",Table1[[#This Row],[Age]]&gt;50,"Over 50")</f>
        <v>Under 30</v>
      </c>
      <c r="C333" t="s">
        <v>43</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t="str" cm="1">
        <f t="array" ref="AH333">_xlfn.IFS(Table1[[#This Row],[YearsAtCompany]]&lt;=2,"0-2 years",Table1[[#This Row],[YearsAtCompany]]&lt;=5,"3-5 years",Table1[[#This Row],[YearsAtCompany]]&lt;=10,"6-10 years",Table1[[#This Row],[YearsAtCompany]]&gt;10,"10+ years")</f>
        <v>3-5 years</v>
      </c>
      <c r="AI333">
        <v>4</v>
      </c>
      <c r="AJ333">
        <v>1</v>
      </c>
      <c r="AK333">
        <v>4</v>
      </c>
      <c r="AL333" t="str" cm="1">
        <f t="array" ref="AL333">_xlfn.IFS(Table1[[#This Row],[JobSatisfaction]]=1,"Low",Table1[[#This Row],[JobSatisfaction]]=2,"Medium",Table1[[#This Row],[JobSatisfaction]]=3,"High",Table1[[#This Row],[JobSatisfaction]]=4,"Very High")</f>
        <v>Medium</v>
      </c>
      <c r="AM333">
        <f>IF(Table1[[#This Row],[Attrition]]="Yes",1,0)</f>
        <v>0</v>
      </c>
    </row>
    <row r="334" spans="1:39" ht="13.8" x14ac:dyDescent="0.25">
      <c r="A334">
        <v>54</v>
      </c>
      <c r="B334" t="str" cm="1">
        <f t="array" ref="B334">_xlfn.IFS(Table1[[#This Row],[Age]]&lt;30,"Under 30",Table1[[#This Row],[Age]]&lt;=40,"30-40",Table1[[#This Row],[Age]]&lt;=50,"41-50",Table1[[#This Row],[Age]]&gt;50,"Over 50")</f>
        <v>Over 50</v>
      </c>
      <c r="C334" t="s">
        <v>43</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t="str" cm="1">
        <f t="array" ref="AH334">_xlfn.IFS(Table1[[#This Row],[YearsAtCompany]]&lt;=2,"0-2 years",Table1[[#This Row],[YearsAtCompany]]&lt;=5,"3-5 years",Table1[[#This Row],[YearsAtCompany]]&lt;=10,"6-10 years",Table1[[#This Row],[YearsAtCompany]]&gt;10,"10+ years")</f>
        <v>3-5 years</v>
      </c>
      <c r="AI334">
        <v>3</v>
      </c>
      <c r="AJ334">
        <v>0</v>
      </c>
      <c r="AK334">
        <v>3</v>
      </c>
      <c r="AL334" t="str" cm="1">
        <f t="array" ref="AL334">_xlfn.IFS(Table1[[#This Row],[JobSatisfaction]]=1,"Low",Table1[[#This Row],[JobSatisfaction]]=2,"Medium",Table1[[#This Row],[JobSatisfaction]]=3,"High",Table1[[#This Row],[JobSatisfaction]]=4,"Very High")</f>
        <v>High</v>
      </c>
      <c r="AM334">
        <f>IF(Table1[[#This Row],[Attrition]]="Yes",1,0)</f>
        <v>0</v>
      </c>
    </row>
    <row r="335" spans="1:39" ht="13.8" x14ac:dyDescent="0.25">
      <c r="A335">
        <v>43</v>
      </c>
      <c r="B335" t="str" cm="1">
        <f t="array" ref="B335">_xlfn.IFS(Table1[[#This Row],[Age]]&lt;30,"Under 30",Table1[[#This Row],[Age]]&lt;=40,"30-40",Table1[[#This Row],[Age]]&lt;=50,"41-50",Table1[[#This Row],[Age]]&gt;50,"Over 50")</f>
        <v>41-50</v>
      </c>
      <c r="C335" t="s">
        <v>43</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t="str" cm="1">
        <f t="array" ref="AH335">_xlfn.IFS(Table1[[#This Row],[YearsAtCompany]]&lt;=2,"0-2 years",Table1[[#This Row],[YearsAtCompany]]&lt;=5,"3-5 years",Table1[[#This Row],[YearsAtCompany]]&lt;=10,"6-10 years",Table1[[#This Row],[YearsAtCompany]]&gt;10,"10+ years")</f>
        <v>0-2 years</v>
      </c>
      <c r="AI335">
        <v>0</v>
      </c>
      <c r="AJ335">
        <v>0</v>
      </c>
      <c r="AK335">
        <v>0</v>
      </c>
      <c r="AL335" t="str" cm="1">
        <f t="array" ref="AL335">_xlfn.IFS(Table1[[#This Row],[JobSatisfaction]]=1,"Low",Table1[[#This Row],[JobSatisfaction]]=2,"Medium",Table1[[#This Row],[JobSatisfaction]]=3,"High",Table1[[#This Row],[JobSatisfaction]]=4,"Very High")</f>
        <v>Low</v>
      </c>
      <c r="AM335">
        <f>IF(Table1[[#This Row],[Attrition]]="Yes",1,0)</f>
        <v>0</v>
      </c>
    </row>
    <row r="336" spans="1:39" ht="13.8" x14ac:dyDescent="0.25">
      <c r="A336">
        <v>45</v>
      </c>
      <c r="B336" t="str" cm="1">
        <f t="array" ref="B336">_xlfn.IFS(Table1[[#This Row],[Age]]&lt;30,"Under 30",Table1[[#This Row],[Age]]&lt;=40,"30-40",Table1[[#This Row],[Age]]&lt;=50,"41-50",Table1[[#This Row],[Age]]&gt;50,"Over 50")</f>
        <v>41-50</v>
      </c>
      <c r="C336" t="s">
        <v>43</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t="str" cm="1">
        <f t="array" ref="AH336">_xlfn.IFS(Table1[[#This Row],[YearsAtCompany]]&lt;=2,"0-2 years",Table1[[#This Row],[YearsAtCompany]]&lt;=5,"3-5 years",Table1[[#This Row],[YearsAtCompany]]&lt;=10,"6-10 years",Table1[[#This Row],[YearsAtCompany]]&gt;10,"10+ years")</f>
        <v>6-10 years</v>
      </c>
      <c r="AI336">
        <v>9</v>
      </c>
      <c r="AJ336">
        <v>9</v>
      </c>
      <c r="AK336">
        <v>8</v>
      </c>
      <c r="AL336" t="str" cm="1">
        <f t="array" ref="AL336">_xlfn.IFS(Table1[[#This Row],[JobSatisfaction]]=1,"Low",Table1[[#This Row],[JobSatisfaction]]=2,"Medium",Table1[[#This Row],[JobSatisfaction]]=3,"High",Table1[[#This Row],[JobSatisfaction]]=4,"Very High")</f>
        <v>Very High</v>
      </c>
      <c r="AM336">
        <f>IF(Table1[[#This Row],[Attrition]]="Yes",1,0)</f>
        <v>0</v>
      </c>
    </row>
    <row r="337" spans="1:39" ht="13.8" x14ac:dyDescent="0.25">
      <c r="A337">
        <v>40</v>
      </c>
      <c r="B337" t="str" cm="1">
        <f t="array" ref="B337">_xlfn.IFS(Table1[[#This Row],[Age]]&lt;30,"Under 30",Table1[[#This Row],[Age]]&lt;=40,"30-40",Table1[[#This Row],[Age]]&lt;=50,"41-50",Table1[[#This Row],[Age]]&gt;50,"Over 50")</f>
        <v>30-40</v>
      </c>
      <c r="C337" t="s">
        <v>43</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t="str" cm="1">
        <f t="array" ref="AH337">_xlfn.IFS(Table1[[#This Row],[YearsAtCompany]]&lt;=2,"0-2 years",Table1[[#This Row],[YearsAtCompany]]&lt;=5,"3-5 years",Table1[[#This Row],[YearsAtCompany]]&lt;=10,"6-10 years",Table1[[#This Row],[YearsAtCompany]]&gt;10,"10+ years")</f>
        <v>3-5 years</v>
      </c>
      <c r="AI337">
        <v>3</v>
      </c>
      <c r="AJ337">
        <v>0</v>
      </c>
      <c r="AK337">
        <v>2</v>
      </c>
      <c r="AL337" t="str" cm="1">
        <f t="array" ref="AL337">_xlfn.IFS(Table1[[#This Row],[JobSatisfaction]]=1,"Low",Table1[[#This Row],[JobSatisfaction]]=2,"Medium",Table1[[#This Row],[JobSatisfaction]]=3,"High",Table1[[#This Row],[JobSatisfaction]]=4,"Very High")</f>
        <v>Very High</v>
      </c>
      <c r="AM337">
        <f>IF(Table1[[#This Row],[Attrition]]="Yes",1,0)</f>
        <v>0</v>
      </c>
    </row>
    <row r="338" spans="1:39" ht="13.8" x14ac:dyDescent="0.25">
      <c r="A338">
        <v>29</v>
      </c>
      <c r="B338" t="str" cm="1">
        <f t="array" ref="B338">_xlfn.IFS(Table1[[#This Row],[Age]]&lt;30,"Under 30",Table1[[#This Row],[Age]]&lt;=40,"30-40",Table1[[#This Row],[Age]]&lt;=50,"41-50",Table1[[#This Row],[Age]]&gt;50,"Over 50")</f>
        <v>Under 30</v>
      </c>
      <c r="C338" t="s">
        <v>35</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t="str" cm="1">
        <f t="array" ref="AH338">_xlfn.IFS(Table1[[#This Row],[YearsAtCompany]]&lt;=2,"0-2 years",Table1[[#This Row],[YearsAtCompany]]&lt;=5,"3-5 years",Table1[[#This Row],[YearsAtCompany]]&lt;=10,"6-10 years",Table1[[#This Row],[YearsAtCompany]]&gt;10,"10+ years")</f>
        <v>6-10 years</v>
      </c>
      <c r="AI338">
        <v>7</v>
      </c>
      <c r="AJ338">
        <v>0</v>
      </c>
      <c r="AK338">
        <v>7</v>
      </c>
      <c r="AL338" t="str" cm="1">
        <f t="array" ref="AL338">_xlfn.IFS(Table1[[#This Row],[JobSatisfaction]]=1,"Low",Table1[[#This Row],[JobSatisfaction]]=2,"Medium",Table1[[#This Row],[JobSatisfaction]]=3,"High",Table1[[#This Row],[JobSatisfaction]]=4,"Very High")</f>
        <v>Low</v>
      </c>
      <c r="AM338">
        <f>IF(Table1[[#This Row],[Attrition]]="Yes",1,0)</f>
        <v>1</v>
      </c>
    </row>
    <row r="339" spans="1:39" ht="13.8" x14ac:dyDescent="0.25">
      <c r="A339">
        <v>29</v>
      </c>
      <c r="B339" t="str" cm="1">
        <f t="array" ref="B339">_xlfn.IFS(Table1[[#This Row],[Age]]&lt;30,"Under 30",Table1[[#This Row],[Age]]&lt;=40,"30-40",Table1[[#This Row],[Age]]&lt;=50,"41-50",Table1[[#This Row],[Age]]&gt;50,"Over 50")</f>
        <v>Under 30</v>
      </c>
      <c r="C339" t="s">
        <v>43</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t="str" cm="1">
        <f t="array" ref="AH339">_xlfn.IFS(Table1[[#This Row],[YearsAtCompany]]&lt;=2,"0-2 years",Table1[[#This Row],[YearsAtCompany]]&lt;=5,"3-5 years",Table1[[#This Row],[YearsAtCompany]]&lt;=10,"6-10 years",Table1[[#This Row],[YearsAtCompany]]&gt;10,"10+ years")</f>
        <v>3-5 years</v>
      </c>
      <c r="AI339">
        <v>2</v>
      </c>
      <c r="AJ339">
        <v>2</v>
      </c>
      <c r="AK339">
        <v>2</v>
      </c>
      <c r="AL339" t="str" cm="1">
        <f t="array" ref="AL339">_xlfn.IFS(Table1[[#This Row],[JobSatisfaction]]=1,"Low",Table1[[#This Row],[JobSatisfaction]]=2,"Medium",Table1[[#This Row],[JobSatisfaction]]=3,"High",Table1[[#This Row],[JobSatisfaction]]=4,"Very High")</f>
        <v>Very High</v>
      </c>
      <c r="AM339">
        <f>IF(Table1[[#This Row],[Attrition]]="Yes",1,0)</f>
        <v>0</v>
      </c>
    </row>
    <row r="340" spans="1:39" ht="13.8" x14ac:dyDescent="0.25">
      <c r="A340">
        <v>30</v>
      </c>
      <c r="B340" t="str" cm="1">
        <f t="array" ref="B340">_xlfn.IFS(Table1[[#This Row],[Age]]&lt;30,"Under 30",Table1[[#This Row],[Age]]&lt;=40,"30-40",Table1[[#This Row],[Age]]&lt;=50,"41-50",Table1[[#This Row],[Age]]&gt;50,"Over 50")</f>
        <v>30-40</v>
      </c>
      <c r="C340" t="s">
        <v>43</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t="str" cm="1">
        <f t="array" ref="AH340">_xlfn.IFS(Table1[[#This Row],[YearsAtCompany]]&lt;=2,"0-2 years",Table1[[#This Row],[YearsAtCompany]]&lt;=5,"3-5 years",Table1[[#This Row],[YearsAtCompany]]&lt;=10,"6-10 years",Table1[[#This Row],[YearsAtCompany]]&gt;10,"10+ years")</f>
        <v>6-10 years</v>
      </c>
      <c r="AI340">
        <v>9</v>
      </c>
      <c r="AJ340">
        <v>1</v>
      </c>
      <c r="AK340">
        <v>2</v>
      </c>
      <c r="AL340" t="str" cm="1">
        <f t="array" ref="AL340">_xlfn.IFS(Table1[[#This Row],[JobSatisfaction]]=1,"Low",Table1[[#This Row],[JobSatisfaction]]=2,"Medium",Table1[[#This Row],[JobSatisfaction]]=3,"High",Table1[[#This Row],[JobSatisfaction]]=4,"Very High")</f>
        <v>High</v>
      </c>
      <c r="AM340">
        <f>IF(Table1[[#This Row],[Attrition]]="Yes",1,0)</f>
        <v>0</v>
      </c>
    </row>
    <row r="341" spans="1:39" ht="13.8" x14ac:dyDescent="0.25">
      <c r="A341">
        <v>27</v>
      </c>
      <c r="B341" t="str" cm="1">
        <f t="array" ref="B341">_xlfn.IFS(Table1[[#This Row],[Age]]&lt;30,"Under 30",Table1[[#This Row],[Age]]&lt;=40,"30-40",Table1[[#This Row],[Age]]&lt;=50,"41-50",Table1[[#This Row],[Age]]&gt;50,"Over 50")</f>
        <v>Under 30</v>
      </c>
      <c r="C341" t="s">
        <v>43</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t="str" cm="1">
        <f t="array" ref="AH341">_xlfn.IFS(Table1[[#This Row],[YearsAtCompany]]&lt;=2,"0-2 years",Table1[[#This Row],[YearsAtCompany]]&lt;=5,"3-5 years",Table1[[#This Row],[YearsAtCompany]]&lt;=10,"6-10 years",Table1[[#This Row],[YearsAtCompany]]&gt;10,"10+ years")</f>
        <v>6-10 years</v>
      </c>
      <c r="AI341">
        <v>7</v>
      </c>
      <c r="AJ341">
        <v>0</v>
      </c>
      <c r="AK341">
        <v>7</v>
      </c>
      <c r="AL341" t="str" cm="1">
        <f t="array" ref="AL341">_xlfn.IFS(Table1[[#This Row],[JobSatisfaction]]=1,"Low",Table1[[#This Row],[JobSatisfaction]]=2,"Medium",Table1[[#This Row],[JobSatisfaction]]=3,"High",Table1[[#This Row],[JobSatisfaction]]=4,"Very High")</f>
        <v>Medium</v>
      </c>
      <c r="AM341">
        <f>IF(Table1[[#This Row],[Attrition]]="Yes",1,0)</f>
        <v>0</v>
      </c>
    </row>
    <row r="342" spans="1:39" ht="13.8" x14ac:dyDescent="0.25">
      <c r="A342">
        <v>37</v>
      </c>
      <c r="B342" t="str" cm="1">
        <f t="array" ref="B342">_xlfn.IFS(Table1[[#This Row],[Age]]&lt;30,"Under 30",Table1[[#This Row],[Age]]&lt;=40,"30-40",Table1[[#This Row],[Age]]&lt;=50,"41-50",Table1[[#This Row],[Age]]&gt;50,"Over 50")</f>
        <v>30-40</v>
      </c>
      <c r="C342" t="s">
        <v>43</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t="str" cm="1">
        <f t="array" ref="AH342">_xlfn.IFS(Table1[[#This Row],[YearsAtCompany]]&lt;=2,"0-2 years",Table1[[#This Row],[YearsAtCompany]]&lt;=5,"3-5 years",Table1[[#This Row],[YearsAtCompany]]&lt;=10,"6-10 years",Table1[[#This Row],[YearsAtCompany]]&gt;10,"10+ years")</f>
        <v>6-10 years</v>
      </c>
      <c r="AI342">
        <v>2</v>
      </c>
      <c r="AJ342">
        <v>0</v>
      </c>
      <c r="AK342">
        <v>4</v>
      </c>
      <c r="AL342" t="str" cm="1">
        <f t="array" ref="AL342">_xlfn.IFS(Table1[[#This Row],[JobSatisfaction]]=1,"Low",Table1[[#This Row],[JobSatisfaction]]=2,"Medium",Table1[[#This Row],[JobSatisfaction]]=3,"High",Table1[[#This Row],[JobSatisfaction]]=4,"Very High")</f>
        <v>Very High</v>
      </c>
      <c r="AM342">
        <f>IF(Table1[[#This Row],[Attrition]]="Yes",1,0)</f>
        <v>0</v>
      </c>
    </row>
    <row r="343" spans="1:39" ht="13.8" x14ac:dyDescent="0.25">
      <c r="A343">
        <v>38</v>
      </c>
      <c r="B343" t="str" cm="1">
        <f t="array" ref="B343">_xlfn.IFS(Table1[[#This Row],[Age]]&lt;30,"Under 30",Table1[[#This Row],[Age]]&lt;=40,"30-40",Table1[[#This Row],[Age]]&lt;=50,"41-50",Table1[[#This Row],[Age]]&gt;50,"Over 50")</f>
        <v>30-40</v>
      </c>
      <c r="C343" t="s">
        <v>43</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t="str" cm="1">
        <f t="array" ref="AH343">_xlfn.IFS(Table1[[#This Row],[YearsAtCompany]]&lt;=2,"0-2 years",Table1[[#This Row],[YearsAtCompany]]&lt;=5,"3-5 years",Table1[[#This Row],[YearsAtCompany]]&lt;=10,"6-10 years",Table1[[#This Row],[YearsAtCompany]]&gt;10,"10+ years")</f>
        <v>10+ years</v>
      </c>
      <c r="AI343">
        <v>10</v>
      </c>
      <c r="AJ343">
        <v>2</v>
      </c>
      <c r="AK343">
        <v>9</v>
      </c>
      <c r="AL343" t="str" cm="1">
        <f t="array" ref="AL343">_xlfn.IFS(Table1[[#This Row],[JobSatisfaction]]=1,"Low",Table1[[#This Row],[JobSatisfaction]]=2,"Medium",Table1[[#This Row],[JobSatisfaction]]=3,"High",Table1[[#This Row],[JobSatisfaction]]=4,"Very High")</f>
        <v>Very High</v>
      </c>
      <c r="AM343">
        <f>IF(Table1[[#This Row],[Attrition]]="Yes",1,0)</f>
        <v>0</v>
      </c>
    </row>
    <row r="344" spans="1:39" ht="13.8" x14ac:dyDescent="0.25">
      <c r="A344">
        <v>31</v>
      </c>
      <c r="B344" t="str" cm="1">
        <f t="array" ref="B344">_xlfn.IFS(Table1[[#This Row],[Age]]&lt;30,"Under 30",Table1[[#This Row],[Age]]&lt;=40,"30-40",Table1[[#This Row],[Age]]&lt;=50,"41-50",Table1[[#This Row],[Age]]&gt;50,"Over 50")</f>
        <v>30-40</v>
      </c>
      <c r="C344" t="s">
        <v>43</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t="str" cm="1">
        <f t="array" ref="AH344">_xlfn.IFS(Table1[[#This Row],[YearsAtCompany]]&lt;=2,"0-2 years",Table1[[#This Row],[YearsAtCompany]]&lt;=5,"3-5 years",Table1[[#This Row],[YearsAtCompany]]&lt;=10,"6-10 years",Table1[[#This Row],[YearsAtCompany]]&gt;10,"10+ years")</f>
        <v>10+ years</v>
      </c>
      <c r="AI344">
        <v>9</v>
      </c>
      <c r="AJ344">
        <v>4</v>
      </c>
      <c r="AK344">
        <v>10</v>
      </c>
      <c r="AL344" t="str" cm="1">
        <f t="array" ref="AL344">_xlfn.IFS(Table1[[#This Row],[JobSatisfaction]]=1,"Low",Table1[[#This Row],[JobSatisfaction]]=2,"Medium",Table1[[#This Row],[JobSatisfaction]]=3,"High",Table1[[#This Row],[JobSatisfaction]]=4,"Very High")</f>
        <v>Very High</v>
      </c>
      <c r="AM344">
        <f>IF(Table1[[#This Row],[Attrition]]="Yes",1,0)</f>
        <v>0</v>
      </c>
    </row>
    <row r="345" spans="1:39" ht="13.8" x14ac:dyDescent="0.25">
      <c r="A345">
        <v>29</v>
      </c>
      <c r="B345" t="str" cm="1">
        <f t="array" ref="B345">_xlfn.IFS(Table1[[#This Row],[Age]]&lt;30,"Under 30",Table1[[#This Row],[Age]]&lt;=40,"30-40",Table1[[#This Row],[Age]]&lt;=50,"41-50",Table1[[#This Row],[Age]]&gt;50,"Over 50")</f>
        <v>Under 30</v>
      </c>
      <c r="C345" t="s">
        <v>43</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t="str" cm="1">
        <f t="array" ref="AH345">_xlfn.IFS(Table1[[#This Row],[YearsAtCompany]]&lt;=2,"0-2 years",Table1[[#This Row],[YearsAtCompany]]&lt;=5,"3-5 years",Table1[[#This Row],[YearsAtCompany]]&lt;=10,"6-10 years",Table1[[#This Row],[YearsAtCompany]]&gt;10,"10+ years")</f>
        <v>6-10 years</v>
      </c>
      <c r="AI345">
        <v>7</v>
      </c>
      <c r="AJ345">
        <v>1</v>
      </c>
      <c r="AK345">
        <v>7</v>
      </c>
      <c r="AL345" t="str" cm="1">
        <f t="array" ref="AL345">_xlfn.IFS(Table1[[#This Row],[JobSatisfaction]]=1,"Low",Table1[[#This Row],[JobSatisfaction]]=2,"Medium",Table1[[#This Row],[JobSatisfaction]]=3,"High",Table1[[#This Row],[JobSatisfaction]]=4,"Very High")</f>
        <v>Medium</v>
      </c>
      <c r="AM345">
        <f>IF(Table1[[#This Row],[Attrition]]="Yes",1,0)</f>
        <v>0</v>
      </c>
    </row>
    <row r="346" spans="1:39" ht="13.8" x14ac:dyDescent="0.25">
      <c r="A346">
        <v>35</v>
      </c>
      <c r="B346" t="str" cm="1">
        <f t="array" ref="B346">_xlfn.IFS(Table1[[#This Row],[Age]]&lt;30,"Under 30",Table1[[#This Row],[Age]]&lt;=40,"30-40",Table1[[#This Row],[Age]]&lt;=50,"41-50",Table1[[#This Row],[Age]]&gt;50,"Over 50")</f>
        <v>30-40</v>
      </c>
      <c r="C346" t="s">
        <v>43</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t="str" cm="1">
        <f t="array" ref="AH346">_xlfn.IFS(Table1[[#This Row],[YearsAtCompany]]&lt;=2,"0-2 years",Table1[[#This Row],[YearsAtCompany]]&lt;=5,"3-5 years",Table1[[#This Row],[YearsAtCompany]]&lt;=10,"6-10 years",Table1[[#This Row],[YearsAtCompany]]&gt;10,"10+ years")</f>
        <v>10+ years</v>
      </c>
      <c r="AI346">
        <v>6</v>
      </c>
      <c r="AJ346">
        <v>0</v>
      </c>
      <c r="AK346">
        <v>13</v>
      </c>
      <c r="AL346" t="str" cm="1">
        <f t="array" ref="AL346">_xlfn.IFS(Table1[[#This Row],[JobSatisfaction]]=1,"Low",Table1[[#This Row],[JobSatisfaction]]=2,"Medium",Table1[[#This Row],[JobSatisfaction]]=3,"High",Table1[[#This Row],[JobSatisfaction]]=4,"Very High")</f>
        <v>Medium</v>
      </c>
      <c r="AM346">
        <f>IF(Table1[[#This Row],[Attrition]]="Yes",1,0)</f>
        <v>0</v>
      </c>
    </row>
    <row r="347" spans="1:39" ht="13.8" x14ac:dyDescent="0.25">
      <c r="A347">
        <v>23</v>
      </c>
      <c r="B347" t="str" cm="1">
        <f t="array" ref="B347">_xlfn.IFS(Table1[[#This Row],[Age]]&lt;30,"Under 30",Table1[[#This Row],[Age]]&lt;=40,"30-40",Table1[[#This Row],[Age]]&lt;=50,"41-50",Table1[[#This Row],[Age]]&gt;50,"Over 50")</f>
        <v>Under 30</v>
      </c>
      <c r="C347" t="s">
        <v>43</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t="str" cm="1">
        <f t="array" ref="AH347">_xlfn.IFS(Table1[[#This Row],[YearsAtCompany]]&lt;=2,"0-2 years",Table1[[#This Row],[YearsAtCompany]]&lt;=5,"3-5 years",Table1[[#This Row],[YearsAtCompany]]&lt;=10,"6-10 years",Table1[[#This Row],[YearsAtCompany]]&gt;10,"10+ years")</f>
        <v>3-5 years</v>
      </c>
      <c r="AI347">
        <v>2</v>
      </c>
      <c r="AJ347">
        <v>0</v>
      </c>
      <c r="AK347">
        <v>2</v>
      </c>
      <c r="AL347" t="str" cm="1">
        <f t="array" ref="AL347">_xlfn.IFS(Table1[[#This Row],[JobSatisfaction]]=1,"Low",Table1[[#This Row],[JobSatisfaction]]=2,"Medium",Table1[[#This Row],[JobSatisfaction]]=3,"High",Table1[[#This Row],[JobSatisfaction]]=4,"Very High")</f>
        <v>Very High</v>
      </c>
      <c r="AM347">
        <f>IF(Table1[[#This Row],[Attrition]]="Yes",1,0)</f>
        <v>0</v>
      </c>
    </row>
    <row r="348" spans="1:39" ht="13.8" x14ac:dyDescent="0.25">
      <c r="A348">
        <v>41</v>
      </c>
      <c r="B348" t="str" cm="1">
        <f t="array" ref="B348">_xlfn.IFS(Table1[[#This Row],[Age]]&lt;30,"Under 30",Table1[[#This Row],[Age]]&lt;=40,"30-40",Table1[[#This Row],[Age]]&lt;=50,"41-50",Table1[[#This Row],[Age]]&gt;50,"Over 50")</f>
        <v>41-50</v>
      </c>
      <c r="C348" t="s">
        <v>43</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t="str" cm="1">
        <f t="array" ref="AH348">_xlfn.IFS(Table1[[#This Row],[YearsAtCompany]]&lt;=2,"0-2 years",Table1[[#This Row],[YearsAtCompany]]&lt;=5,"3-5 years",Table1[[#This Row],[YearsAtCompany]]&lt;=10,"6-10 years",Table1[[#This Row],[YearsAtCompany]]&gt;10,"10+ years")</f>
        <v>3-5 years</v>
      </c>
      <c r="AI348">
        <v>4</v>
      </c>
      <c r="AJ348">
        <v>1</v>
      </c>
      <c r="AK348">
        <v>2</v>
      </c>
      <c r="AL348" t="str" cm="1">
        <f t="array" ref="AL348">_xlfn.IFS(Table1[[#This Row],[JobSatisfaction]]=1,"Low",Table1[[#This Row],[JobSatisfaction]]=2,"Medium",Table1[[#This Row],[JobSatisfaction]]=3,"High",Table1[[#This Row],[JobSatisfaction]]=4,"Very High")</f>
        <v>Medium</v>
      </c>
      <c r="AM348">
        <f>IF(Table1[[#This Row],[Attrition]]="Yes",1,0)</f>
        <v>0</v>
      </c>
    </row>
    <row r="349" spans="1:39" ht="13.8" x14ac:dyDescent="0.25">
      <c r="A349">
        <v>47</v>
      </c>
      <c r="B349" t="str" cm="1">
        <f t="array" ref="B349">_xlfn.IFS(Table1[[#This Row],[Age]]&lt;30,"Under 30",Table1[[#This Row],[Age]]&lt;=40,"30-40",Table1[[#This Row],[Age]]&lt;=50,"41-50",Table1[[#This Row],[Age]]&gt;50,"Over 50")</f>
        <v>41-50</v>
      </c>
      <c r="C349" t="s">
        <v>43</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t="str" cm="1">
        <f t="array" ref="AH349">_xlfn.IFS(Table1[[#This Row],[YearsAtCompany]]&lt;=2,"0-2 years",Table1[[#This Row],[YearsAtCompany]]&lt;=5,"3-5 years",Table1[[#This Row],[YearsAtCompany]]&lt;=10,"6-10 years",Table1[[#This Row],[YearsAtCompany]]&gt;10,"10+ years")</f>
        <v>0-2 years</v>
      </c>
      <c r="AI349">
        <v>0</v>
      </c>
      <c r="AJ349">
        <v>0</v>
      </c>
      <c r="AK349">
        <v>0</v>
      </c>
      <c r="AL349" t="str" cm="1">
        <f t="array" ref="AL349">_xlfn.IFS(Table1[[#This Row],[JobSatisfaction]]=1,"Low",Table1[[#This Row],[JobSatisfaction]]=2,"Medium",Table1[[#This Row],[JobSatisfaction]]=3,"High",Table1[[#This Row],[JobSatisfaction]]=4,"Very High")</f>
        <v>High</v>
      </c>
      <c r="AM349">
        <f>IF(Table1[[#This Row],[Attrition]]="Yes",1,0)</f>
        <v>0</v>
      </c>
    </row>
    <row r="350" spans="1:39" ht="13.8" x14ac:dyDescent="0.25">
      <c r="A350">
        <v>42</v>
      </c>
      <c r="B350" t="str" cm="1">
        <f t="array" ref="B350">_xlfn.IFS(Table1[[#This Row],[Age]]&lt;30,"Under 30",Table1[[#This Row],[Age]]&lt;=40,"30-40",Table1[[#This Row],[Age]]&lt;=50,"41-50",Table1[[#This Row],[Age]]&gt;50,"Over 50")</f>
        <v>41-50</v>
      </c>
      <c r="C350" t="s">
        <v>43</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t="str" cm="1">
        <f t="array" ref="AH350">_xlfn.IFS(Table1[[#This Row],[YearsAtCompany]]&lt;=2,"0-2 years",Table1[[#This Row],[YearsAtCompany]]&lt;=5,"3-5 years",Table1[[#This Row],[YearsAtCompany]]&lt;=10,"6-10 years",Table1[[#This Row],[YearsAtCompany]]&gt;10,"10+ years")</f>
        <v>0-2 years</v>
      </c>
      <c r="AI350">
        <v>0</v>
      </c>
      <c r="AJ350">
        <v>0</v>
      </c>
      <c r="AK350">
        <v>0</v>
      </c>
      <c r="AL350" t="str" cm="1">
        <f t="array" ref="AL350">_xlfn.IFS(Table1[[#This Row],[JobSatisfaction]]=1,"Low",Table1[[#This Row],[JobSatisfaction]]=2,"Medium",Table1[[#This Row],[JobSatisfaction]]=3,"High",Table1[[#This Row],[JobSatisfaction]]=4,"Very High")</f>
        <v>Very High</v>
      </c>
      <c r="AM350">
        <f>IF(Table1[[#This Row],[Attrition]]="Yes",1,0)</f>
        <v>0</v>
      </c>
    </row>
    <row r="351" spans="1:39" ht="13.8" x14ac:dyDescent="0.25">
      <c r="A351">
        <v>29</v>
      </c>
      <c r="B351" t="str" cm="1">
        <f t="array" ref="B351">_xlfn.IFS(Table1[[#This Row],[Age]]&lt;30,"Under 30",Table1[[#This Row],[Age]]&lt;=40,"30-40",Table1[[#This Row],[Age]]&lt;=50,"41-50",Table1[[#This Row],[Age]]&gt;50,"Over 50")</f>
        <v>Under 30</v>
      </c>
      <c r="C351" t="s">
        <v>43</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t="str" cm="1">
        <f t="array" ref="AH351">_xlfn.IFS(Table1[[#This Row],[YearsAtCompany]]&lt;=2,"0-2 years",Table1[[#This Row],[YearsAtCompany]]&lt;=5,"3-5 years",Table1[[#This Row],[YearsAtCompany]]&lt;=10,"6-10 years",Table1[[#This Row],[YearsAtCompany]]&gt;10,"10+ years")</f>
        <v>3-5 years</v>
      </c>
      <c r="AI351">
        <v>3</v>
      </c>
      <c r="AJ351">
        <v>0</v>
      </c>
      <c r="AK351">
        <v>2</v>
      </c>
      <c r="AL351" t="str" cm="1">
        <f t="array" ref="AL351">_xlfn.IFS(Table1[[#This Row],[JobSatisfaction]]=1,"Low",Table1[[#This Row],[JobSatisfaction]]=2,"Medium",Table1[[#This Row],[JobSatisfaction]]=3,"High",Table1[[#This Row],[JobSatisfaction]]=4,"Very High")</f>
        <v>High</v>
      </c>
      <c r="AM351">
        <f>IF(Table1[[#This Row],[Attrition]]="Yes",1,0)</f>
        <v>0</v>
      </c>
    </row>
    <row r="352" spans="1:39" ht="13.8" x14ac:dyDescent="0.25">
      <c r="A352">
        <v>42</v>
      </c>
      <c r="B352" t="str" cm="1">
        <f t="array" ref="B352">_xlfn.IFS(Table1[[#This Row],[Age]]&lt;30,"Under 30",Table1[[#This Row],[Age]]&lt;=40,"30-40",Table1[[#This Row],[Age]]&lt;=50,"41-50",Table1[[#This Row],[Age]]&gt;50,"Over 50")</f>
        <v>41-50</v>
      </c>
      <c r="C352" t="s">
        <v>43</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t="str" cm="1">
        <f t="array" ref="AH352">_xlfn.IFS(Table1[[#This Row],[YearsAtCompany]]&lt;=2,"0-2 years",Table1[[#This Row],[YearsAtCompany]]&lt;=5,"3-5 years",Table1[[#This Row],[YearsAtCompany]]&lt;=10,"6-10 years",Table1[[#This Row],[YearsAtCompany]]&gt;10,"10+ years")</f>
        <v>3-5 years</v>
      </c>
      <c r="AI352">
        <v>2</v>
      </c>
      <c r="AJ352">
        <v>1</v>
      </c>
      <c r="AK352">
        <v>0</v>
      </c>
      <c r="AL352" t="str" cm="1">
        <f t="array" ref="AL352">_xlfn.IFS(Table1[[#This Row],[JobSatisfaction]]=1,"Low",Table1[[#This Row],[JobSatisfaction]]=2,"Medium",Table1[[#This Row],[JobSatisfaction]]=3,"High",Table1[[#This Row],[JobSatisfaction]]=4,"Very High")</f>
        <v>High</v>
      </c>
      <c r="AM352">
        <f>IF(Table1[[#This Row],[Attrition]]="Yes",1,0)</f>
        <v>0</v>
      </c>
    </row>
    <row r="353" spans="1:39" ht="13.8" x14ac:dyDescent="0.25">
      <c r="A353">
        <v>32</v>
      </c>
      <c r="B353" t="str" cm="1">
        <f t="array" ref="B353">_xlfn.IFS(Table1[[#This Row],[Age]]&lt;30,"Under 30",Table1[[#This Row],[Age]]&lt;=40,"30-40",Table1[[#This Row],[Age]]&lt;=50,"41-50",Table1[[#This Row],[Age]]&gt;50,"Over 50")</f>
        <v>30-40</v>
      </c>
      <c r="C353" t="s">
        <v>43</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t="str" cm="1">
        <f t="array" ref="AH353">_xlfn.IFS(Table1[[#This Row],[YearsAtCompany]]&lt;=2,"0-2 years",Table1[[#This Row],[YearsAtCompany]]&lt;=5,"3-5 years",Table1[[#This Row],[YearsAtCompany]]&lt;=10,"6-10 years",Table1[[#This Row],[YearsAtCompany]]&gt;10,"10+ years")</f>
        <v>6-10 years</v>
      </c>
      <c r="AI353">
        <v>0</v>
      </c>
      <c r="AJ353">
        <v>0</v>
      </c>
      <c r="AK353">
        <v>7</v>
      </c>
      <c r="AL353" t="str" cm="1">
        <f t="array" ref="AL353">_xlfn.IFS(Table1[[#This Row],[JobSatisfaction]]=1,"Low",Table1[[#This Row],[JobSatisfaction]]=2,"Medium",Table1[[#This Row],[JobSatisfaction]]=3,"High",Table1[[#This Row],[JobSatisfaction]]=4,"Very High")</f>
        <v>Medium</v>
      </c>
      <c r="AM353">
        <f>IF(Table1[[#This Row],[Attrition]]="Yes",1,0)</f>
        <v>0</v>
      </c>
    </row>
    <row r="354" spans="1:39" ht="13.8" x14ac:dyDescent="0.25">
      <c r="A354">
        <v>48</v>
      </c>
      <c r="B354" t="str" cm="1">
        <f t="array" ref="B354">_xlfn.IFS(Table1[[#This Row],[Age]]&lt;30,"Under 30",Table1[[#This Row],[Age]]&lt;=40,"30-40",Table1[[#This Row],[Age]]&lt;=50,"41-50",Table1[[#This Row],[Age]]&gt;50,"Over 50")</f>
        <v>41-50</v>
      </c>
      <c r="C354" t="s">
        <v>43</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t="str" cm="1">
        <f t="array" ref="AH354">_xlfn.IFS(Table1[[#This Row],[YearsAtCompany]]&lt;=2,"0-2 years",Table1[[#This Row],[YearsAtCompany]]&lt;=5,"3-5 years",Table1[[#This Row],[YearsAtCompany]]&lt;=10,"6-10 years",Table1[[#This Row],[YearsAtCompany]]&gt;10,"10+ years")</f>
        <v>0-2 years</v>
      </c>
      <c r="AI354">
        <v>0</v>
      </c>
      <c r="AJ354">
        <v>0</v>
      </c>
      <c r="AK354">
        <v>0</v>
      </c>
      <c r="AL354" t="str" cm="1">
        <f t="array" ref="AL354">_xlfn.IFS(Table1[[#This Row],[JobSatisfaction]]=1,"Low",Table1[[#This Row],[JobSatisfaction]]=2,"Medium",Table1[[#This Row],[JobSatisfaction]]=3,"High",Table1[[#This Row],[JobSatisfaction]]=4,"Very High")</f>
        <v>High</v>
      </c>
      <c r="AM354">
        <f>IF(Table1[[#This Row],[Attrition]]="Yes",1,0)</f>
        <v>0</v>
      </c>
    </row>
    <row r="355" spans="1:39" ht="13.8" x14ac:dyDescent="0.25">
      <c r="A355">
        <v>37</v>
      </c>
      <c r="B355" t="str" cm="1">
        <f t="array" ref="B355">_xlfn.IFS(Table1[[#This Row],[Age]]&lt;30,"Under 30",Table1[[#This Row],[Age]]&lt;=40,"30-40",Table1[[#This Row],[Age]]&lt;=50,"41-50",Table1[[#This Row],[Age]]&gt;50,"Over 50")</f>
        <v>30-40</v>
      </c>
      <c r="C355" t="s">
        <v>43</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t="str" cm="1">
        <f t="array" ref="AH355">_xlfn.IFS(Table1[[#This Row],[YearsAtCompany]]&lt;=2,"0-2 years",Table1[[#This Row],[YearsAtCompany]]&lt;=5,"3-5 years",Table1[[#This Row],[YearsAtCompany]]&lt;=10,"6-10 years",Table1[[#This Row],[YearsAtCompany]]&gt;10,"10+ years")</f>
        <v>6-10 years</v>
      </c>
      <c r="AI355">
        <v>7</v>
      </c>
      <c r="AJ355">
        <v>6</v>
      </c>
      <c r="AK355">
        <v>7</v>
      </c>
      <c r="AL355" t="str" cm="1">
        <f t="array" ref="AL355">_xlfn.IFS(Table1[[#This Row],[JobSatisfaction]]=1,"Low",Table1[[#This Row],[JobSatisfaction]]=2,"Medium",Table1[[#This Row],[JobSatisfaction]]=3,"High",Table1[[#This Row],[JobSatisfaction]]=4,"Very High")</f>
        <v>Low</v>
      </c>
      <c r="AM355">
        <f>IF(Table1[[#This Row],[Attrition]]="Yes",1,0)</f>
        <v>0</v>
      </c>
    </row>
    <row r="356" spans="1:39" ht="13.8" x14ac:dyDescent="0.25">
      <c r="A356">
        <v>30</v>
      </c>
      <c r="B356" t="str" cm="1">
        <f t="array" ref="B356">_xlfn.IFS(Table1[[#This Row],[Age]]&lt;30,"Under 30",Table1[[#This Row],[Age]]&lt;=40,"30-40",Table1[[#This Row],[Age]]&lt;=50,"41-50",Table1[[#This Row],[Age]]&gt;50,"Over 50")</f>
        <v>30-40</v>
      </c>
      <c r="C356" t="s">
        <v>43</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t="str" cm="1">
        <f t="array" ref="AH356">_xlfn.IFS(Table1[[#This Row],[YearsAtCompany]]&lt;=2,"0-2 years",Table1[[#This Row],[YearsAtCompany]]&lt;=5,"3-5 years",Table1[[#This Row],[YearsAtCompany]]&lt;=10,"6-10 years",Table1[[#This Row],[YearsAtCompany]]&gt;10,"10+ years")</f>
        <v>0-2 years</v>
      </c>
      <c r="AI356">
        <v>2</v>
      </c>
      <c r="AJ356">
        <v>2</v>
      </c>
      <c r="AK356">
        <v>2</v>
      </c>
      <c r="AL356" t="str" cm="1">
        <f t="array" ref="AL356">_xlfn.IFS(Table1[[#This Row],[JobSatisfaction]]=1,"Low",Table1[[#This Row],[JobSatisfaction]]=2,"Medium",Table1[[#This Row],[JobSatisfaction]]=3,"High",Table1[[#This Row],[JobSatisfaction]]=4,"Very High")</f>
        <v>High</v>
      </c>
      <c r="AM356">
        <f>IF(Table1[[#This Row],[Attrition]]="Yes",1,0)</f>
        <v>0</v>
      </c>
    </row>
    <row r="357" spans="1:39" ht="13.8" x14ac:dyDescent="0.25">
      <c r="A357">
        <v>26</v>
      </c>
      <c r="B357" t="str" cm="1">
        <f t="array" ref="B357">_xlfn.IFS(Table1[[#This Row],[Age]]&lt;30,"Under 30",Table1[[#This Row],[Age]]&lt;=40,"30-40",Table1[[#This Row],[Age]]&lt;=50,"41-50",Table1[[#This Row],[Age]]&gt;50,"Over 50")</f>
        <v>Under 30</v>
      </c>
      <c r="C357" t="s">
        <v>43</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t="str" cm="1">
        <f t="array" ref="AH357">_xlfn.IFS(Table1[[#This Row],[YearsAtCompany]]&lt;=2,"0-2 years",Table1[[#This Row],[YearsAtCompany]]&lt;=5,"3-5 years",Table1[[#This Row],[YearsAtCompany]]&lt;=10,"6-10 years",Table1[[#This Row],[YearsAtCompany]]&gt;10,"10+ years")</f>
        <v>6-10 years</v>
      </c>
      <c r="AI357">
        <v>7</v>
      </c>
      <c r="AJ357">
        <v>7</v>
      </c>
      <c r="AK357">
        <v>7</v>
      </c>
      <c r="AL357" t="str" cm="1">
        <f t="array" ref="AL357">_xlfn.IFS(Table1[[#This Row],[JobSatisfaction]]=1,"Low",Table1[[#This Row],[JobSatisfaction]]=2,"Medium",Table1[[#This Row],[JobSatisfaction]]=3,"High",Table1[[#This Row],[JobSatisfaction]]=4,"Very High")</f>
        <v>High</v>
      </c>
      <c r="AM357">
        <f>IF(Table1[[#This Row],[Attrition]]="Yes",1,0)</f>
        <v>0</v>
      </c>
    </row>
    <row r="358" spans="1:39" ht="13.8" x14ac:dyDescent="0.25">
      <c r="A358">
        <v>42</v>
      </c>
      <c r="B358" t="str" cm="1">
        <f t="array" ref="B358">_xlfn.IFS(Table1[[#This Row],[Age]]&lt;30,"Under 30",Table1[[#This Row],[Age]]&lt;=40,"30-40",Table1[[#This Row],[Age]]&lt;=50,"41-50",Table1[[#This Row],[Age]]&gt;50,"Over 50")</f>
        <v>41-50</v>
      </c>
      <c r="C358" t="s">
        <v>43</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t="str" cm="1">
        <f t="array" ref="AH358">_xlfn.IFS(Table1[[#This Row],[YearsAtCompany]]&lt;=2,"0-2 years",Table1[[#This Row],[YearsAtCompany]]&lt;=5,"3-5 years",Table1[[#This Row],[YearsAtCompany]]&lt;=10,"6-10 years",Table1[[#This Row],[YearsAtCompany]]&gt;10,"10+ years")</f>
        <v>0-2 years</v>
      </c>
      <c r="AI358">
        <v>0</v>
      </c>
      <c r="AJ358">
        <v>0</v>
      </c>
      <c r="AK358">
        <v>0</v>
      </c>
      <c r="AL358" t="str" cm="1">
        <f t="array" ref="AL358">_xlfn.IFS(Table1[[#This Row],[JobSatisfaction]]=1,"Low",Table1[[#This Row],[JobSatisfaction]]=2,"Medium",Table1[[#This Row],[JobSatisfaction]]=3,"High",Table1[[#This Row],[JobSatisfaction]]=4,"Very High")</f>
        <v>Very High</v>
      </c>
      <c r="AM358">
        <f>IF(Table1[[#This Row],[Attrition]]="Yes",1,0)</f>
        <v>0</v>
      </c>
    </row>
    <row r="359" spans="1:39" ht="13.8" x14ac:dyDescent="0.25">
      <c r="A359">
        <v>21</v>
      </c>
      <c r="B359" t="str" cm="1">
        <f t="array" ref="B359">_xlfn.IFS(Table1[[#This Row],[Age]]&lt;30,"Under 30",Table1[[#This Row],[Age]]&lt;=40,"30-40",Table1[[#This Row],[Age]]&lt;=50,"41-50",Table1[[#This Row],[Age]]&gt;50,"Over 50")</f>
        <v>Under 30</v>
      </c>
      <c r="C359" t="s">
        <v>35</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t="str" cm="1">
        <f t="array" ref="AH359">_xlfn.IFS(Table1[[#This Row],[YearsAtCompany]]&lt;=2,"0-2 years",Table1[[#This Row],[YearsAtCompany]]&lt;=5,"3-5 years",Table1[[#This Row],[YearsAtCompany]]&lt;=10,"6-10 years",Table1[[#This Row],[YearsAtCompany]]&gt;10,"10+ years")</f>
        <v>3-5 years</v>
      </c>
      <c r="AI359">
        <v>2</v>
      </c>
      <c r="AJ359">
        <v>1</v>
      </c>
      <c r="AK359">
        <v>2</v>
      </c>
      <c r="AL359" t="str" cm="1">
        <f t="array" ref="AL359">_xlfn.IFS(Table1[[#This Row],[JobSatisfaction]]=1,"Low",Table1[[#This Row],[JobSatisfaction]]=2,"Medium",Table1[[#This Row],[JobSatisfaction]]=3,"High",Table1[[#This Row],[JobSatisfaction]]=4,"Very High")</f>
        <v>Medium</v>
      </c>
      <c r="AM359">
        <f>IF(Table1[[#This Row],[Attrition]]="Yes",1,0)</f>
        <v>1</v>
      </c>
    </row>
    <row r="360" spans="1:39" ht="13.8" x14ac:dyDescent="0.25">
      <c r="A360">
        <v>36</v>
      </c>
      <c r="B360" t="str" cm="1">
        <f t="array" ref="B360">_xlfn.IFS(Table1[[#This Row],[Age]]&lt;30,"Under 30",Table1[[#This Row],[Age]]&lt;=40,"30-40",Table1[[#This Row],[Age]]&lt;=50,"41-50",Table1[[#This Row],[Age]]&gt;50,"Over 50")</f>
        <v>30-40</v>
      </c>
      <c r="C360" t="s">
        <v>43</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t="str" cm="1">
        <f t="array" ref="AH360">_xlfn.IFS(Table1[[#This Row],[YearsAtCompany]]&lt;=2,"0-2 years",Table1[[#This Row],[YearsAtCompany]]&lt;=5,"3-5 years",Table1[[#This Row],[YearsAtCompany]]&lt;=10,"6-10 years",Table1[[#This Row],[YearsAtCompany]]&gt;10,"10+ years")</f>
        <v>0-2 years</v>
      </c>
      <c r="AI360">
        <v>0</v>
      </c>
      <c r="AJ360">
        <v>0</v>
      </c>
      <c r="AK360">
        <v>0</v>
      </c>
      <c r="AL360" t="str" cm="1">
        <f t="array" ref="AL360">_xlfn.IFS(Table1[[#This Row],[JobSatisfaction]]=1,"Low",Table1[[#This Row],[JobSatisfaction]]=2,"Medium",Table1[[#This Row],[JobSatisfaction]]=3,"High",Table1[[#This Row],[JobSatisfaction]]=4,"Very High")</f>
        <v>Very High</v>
      </c>
      <c r="AM360">
        <f>IF(Table1[[#This Row],[Attrition]]="Yes",1,0)</f>
        <v>0</v>
      </c>
    </row>
    <row r="361" spans="1:39" ht="13.8" x14ac:dyDescent="0.25">
      <c r="A361">
        <v>36</v>
      </c>
      <c r="B361" t="str" cm="1">
        <f t="array" ref="B361">_xlfn.IFS(Table1[[#This Row],[Age]]&lt;30,"Under 30",Table1[[#This Row],[Age]]&lt;=40,"30-40",Table1[[#This Row],[Age]]&lt;=50,"41-50",Table1[[#This Row],[Age]]&gt;50,"Over 50")</f>
        <v>30-40</v>
      </c>
      <c r="C361" t="s">
        <v>43</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t="str" cm="1">
        <f t="array" ref="AH361">_xlfn.IFS(Table1[[#This Row],[YearsAtCompany]]&lt;=2,"0-2 years",Table1[[#This Row],[YearsAtCompany]]&lt;=5,"3-5 years",Table1[[#This Row],[YearsAtCompany]]&lt;=10,"6-10 years",Table1[[#This Row],[YearsAtCompany]]&gt;10,"10+ years")</f>
        <v>10+ years</v>
      </c>
      <c r="AI361">
        <v>9</v>
      </c>
      <c r="AJ361">
        <v>1</v>
      </c>
      <c r="AK361">
        <v>12</v>
      </c>
      <c r="AL361" t="str" cm="1">
        <f t="array" ref="AL361">_xlfn.IFS(Table1[[#This Row],[JobSatisfaction]]=1,"Low",Table1[[#This Row],[JobSatisfaction]]=2,"Medium",Table1[[#This Row],[JobSatisfaction]]=3,"High",Table1[[#This Row],[JobSatisfaction]]=4,"Very High")</f>
        <v>Very High</v>
      </c>
      <c r="AM361">
        <f>IF(Table1[[#This Row],[Attrition]]="Yes",1,0)</f>
        <v>0</v>
      </c>
    </row>
    <row r="362" spans="1:39" ht="13.8" x14ac:dyDescent="0.25">
      <c r="A362">
        <v>57</v>
      </c>
      <c r="B362" t="str" cm="1">
        <f t="array" ref="B362">_xlfn.IFS(Table1[[#This Row],[Age]]&lt;30,"Under 30",Table1[[#This Row],[Age]]&lt;=40,"30-40",Table1[[#This Row],[Age]]&lt;=50,"41-50",Table1[[#This Row],[Age]]&gt;50,"Over 50")</f>
        <v>Over 50</v>
      </c>
      <c r="C362" t="s">
        <v>43</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t="str" cm="1">
        <f t="array" ref="AH362">_xlfn.IFS(Table1[[#This Row],[YearsAtCompany]]&lt;=2,"0-2 years",Table1[[#This Row],[YearsAtCompany]]&lt;=5,"3-5 years",Table1[[#This Row],[YearsAtCompany]]&lt;=10,"6-10 years",Table1[[#This Row],[YearsAtCompany]]&gt;10,"10+ years")</f>
        <v>3-5 years</v>
      </c>
      <c r="AI362">
        <v>2</v>
      </c>
      <c r="AJ362">
        <v>1</v>
      </c>
      <c r="AK362">
        <v>2</v>
      </c>
      <c r="AL362" t="str" cm="1">
        <f t="array" ref="AL362">_xlfn.IFS(Table1[[#This Row],[JobSatisfaction]]=1,"Low",Table1[[#This Row],[JobSatisfaction]]=2,"Medium",Table1[[#This Row],[JobSatisfaction]]=3,"High",Table1[[#This Row],[JobSatisfaction]]=4,"Very High")</f>
        <v>High</v>
      </c>
      <c r="AM362">
        <f>IF(Table1[[#This Row],[Attrition]]="Yes",1,0)</f>
        <v>0</v>
      </c>
    </row>
    <row r="363" spans="1:39" ht="13.8" x14ac:dyDescent="0.25">
      <c r="A363">
        <v>40</v>
      </c>
      <c r="B363" t="str" cm="1">
        <f t="array" ref="B363">_xlfn.IFS(Table1[[#This Row],[Age]]&lt;30,"Under 30",Table1[[#This Row],[Age]]&lt;=40,"30-40",Table1[[#This Row],[Age]]&lt;=50,"41-50",Table1[[#This Row],[Age]]&gt;50,"Over 50")</f>
        <v>30-40</v>
      </c>
      <c r="C363" t="s">
        <v>43</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t="str" cm="1">
        <f t="array" ref="AH363">_xlfn.IFS(Table1[[#This Row],[YearsAtCompany]]&lt;=2,"0-2 years",Table1[[#This Row],[YearsAtCompany]]&lt;=5,"3-5 years",Table1[[#This Row],[YearsAtCompany]]&lt;=10,"6-10 years",Table1[[#This Row],[YearsAtCompany]]&gt;10,"10+ years")</f>
        <v>6-10 years</v>
      </c>
      <c r="AI363">
        <v>7</v>
      </c>
      <c r="AJ363">
        <v>1</v>
      </c>
      <c r="AK363">
        <v>7</v>
      </c>
      <c r="AL363" t="str" cm="1">
        <f t="array" ref="AL363">_xlfn.IFS(Table1[[#This Row],[JobSatisfaction]]=1,"Low",Table1[[#This Row],[JobSatisfaction]]=2,"Medium",Table1[[#This Row],[JobSatisfaction]]=3,"High",Table1[[#This Row],[JobSatisfaction]]=4,"Very High")</f>
        <v>High</v>
      </c>
      <c r="AM363">
        <f>IF(Table1[[#This Row],[Attrition]]="Yes",1,0)</f>
        <v>0</v>
      </c>
    </row>
    <row r="364" spans="1:39" ht="13.8" x14ac:dyDescent="0.25">
      <c r="A364">
        <v>21</v>
      </c>
      <c r="B364" t="str" cm="1">
        <f t="array" ref="B364">_xlfn.IFS(Table1[[#This Row],[Age]]&lt;30,"Under 30",Table1[[#This Row],[Age]]&lt;=40,"30-40",Table1[[#This Row],[Age]]&lt;=50,"41-50",Table1[[#This Row],[Age]]&gt;50,"Over 50")</f>
        <v>Under 30</v>
      </c>
      <c r="C364" t="s">
        <v>43</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t="str" cm="1">
        <f t="array" ref="AH364">_xlfn.IFS(Table1[[#This Row],[YearsAtCompany]]&lt;=2,"0-2 years",Table1[[#This Row],[YearsAtCompany]]&lt;=5,"3-5 years",Table1[[#This Row],[YearsAtCompany]]&lt;=10,"6-10 years",Table1[[#This Row],[YearsAtCompany]]&gt;10,"10+ years")</f>
        <v>3-5 years</v>
      </c>
      <c r="AI364">
        <v>2</v>
      </c>
      <c r="AJ364">
        <v>2</v>
      </c>
      <c r="AK364">
        <v>2</v>
      </c>
      <c r="AL364" t="str" cm="1">
        <f t="array" ref="AL364">_xlfn.IFS(Table1[[#This Row],[JobSatisfaction]]=1,"Low",Table1[[#This Row],[JobSatisfaction]]=2,"Medium",Table1[[#This Row],[JobSatisfaction]]=3,"High",Table1[[#This Row],[JobSatisfaction]]=4,"Very High")</f>
        <v>Very High</v>
      </c>
      <c r="AM364">
        <f>IF(Table1[[#This Row],[Attrition]]="Yes",1,0)</f>
        <v>0</v>
      </c>
    </row>
    <row r="365" spans="1:39" ht="13.8" x14ac:dyDescent="0.25">
      <c r="A365">
        <v>33</v>
      </c>
      <c r="B365" t="str" cm="1">
        <f t="array" ref="B365">_xlfn.IFS(Table1[[#This Row],[Age]]&lt;30,"Under 30",Table1[[#This Row],[Age]]&lt;=40,"30-40",Table1[[#This Row],[Age]]&lt;=50,"41-50",Table1[[#This Row],[Age]]&gt;50,"Over 50")</f>
        <v>30-40</v>
      </c>
      <c r="C365" t="s">
        <v>35</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t="str" cm="1">
        <f t="array" ref="AH365">_xlfn.IFS(Table1[[#This Row],[YearsAtCompany]]&lt;=2,"0-2 years",Table1[[#This Row],[YearsAtCompany]]&lt;=5,"3-5 years",Table1[[#This Row],[YearsAtCompany]]&lt;=10,"6-10 years",Table1[[#This Row],[YearsAtCompany]]&gt;10,"10+ years")</f>
        <v>0-2 years</v>
      </c>
      <c r="AI365">
        <v>0</v>
      </c>
      <c r="AJ365">
        <v>0</v>
      </c>
      <c r="AK365">
        <v>0</v>
      </c>
      <c r="AL365" t="str" cm="1">
        <f t="array" ref="AL365">_xlfn.IFS(Table1[[#This Row],[JobSatisfaction]]=1,"Low",Table1[[#This Row],[JobSatisfaction]]=2,"Medium",Table1[[#This Row],[JobSatisfaction]]=3,"High",Table1[[#This Row],[JobSatisfaction]]=4,"Very High")</f>
        <v>High</v>
      </c>
      <c r="AM365">
        <f>IF(Table1[[#This Row],[Attrition]]="Yes",1,0)</f>
        <v>1</v>
      </c>
    </row>
    <row r="366" spans="1:39" ht="13.8" x14ac:dyDescent="0.25">
      <c r="A366">
        <v>37</v>
      </c>
      <c r="B366" t="str" cm="1">
        <f t="array" ref="B366">_xlfn.IFS(Table1[[#This Row],[Age]]&lt;30,"Under 30",Table1[[#This Row],[Age]]&lt;=40,"30-40",Table1[[#This Row],[Age]]&lt;=50,"41-50",Table1[[#This Row],[Age]]&gt;50,"Over 50")</f>
        <v>30-40</v>
      </c>
      <c r="C366" t="s">
        <v>43</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t="str" cm="1">
        <f t="array" ref="AH366">_xlfn.IFS(Table1[[#This Row],[YearsAtCompany]]&lt;=2,"0-2 years",Table1[[#This Row],[YearsAtCompany]]&lt;=5,"3-5 years",Table1[[#This Row],[YearsAtCompany]]&lt;=10,"6-10 years",Table1[[#This Row],[YearsAtCompany]]&gt;10,"10+ years")</f>
        <v>3-5 years</v>
      </c>
      <c r="AI366">
        <v>4</v>
      </c>
      <c r="AJ366">
        <v>0</v>
      </c>
      <c r="AK366">
        <v>3</v>
      </c>
      <c r="AL366" t="str" cm="1">
        <f t="array" ref="AL366">_xlfn.IFS(Table1[[#This Row],[JobSatisfaction]]=1,"Low",Table1[[#This Row],[JobSatisfaction]]=2,"Medium",Table1[[#This Row],[JobSatisfaction]]=3,"High",Table1[[#This Row],[JobSatisfaction]]=4,"Very High")</f>
        <v>Low</v>
      </c>
      <c r="AM366">
        <f>IF(Table1[[#This Row],[Attrition]]="Yes",1,0)</f>
        <v>0</v>
      </c>
    </row>
    <row r="367" spans="1:39" ht="13.8" x14ac:dyDescent="0.25">
      <c r="A367">
        <v>46</v>
      </c>
      <c r="B367" t="str" cm="1">
        <f t="array" ref="B367">_xlfn.IFS(Table1[[#This Row],[Age]]&lt;30,"Under 30",Table1[[#This Row],[Age]]&lt;=40,"30-40",Table1[[#This Row],[Age]]&lt;=50,"41-50",Table1[[#This Row],[Age]]&gt;50,"Over 50")</f>
        <v>41-50</v>
      </c>
      <c r="C367" t="s">
        <v>43</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t="str" cm="1">
        <f t="array" ref="AH367">_xlfn.IFS(Table1[[#This Row],[YearsAtCompany]]&lt;=2,"0-2 years",Table1[[#This Row],[YearsAtCompany]]&lt;=5,"3-5 years",Table1[[#This Row],[YearsAtCompany]]&lt;=10,"6-10 years",Table1[[#This Row],[YearsAtCompany]]&gt;10,"10+ years")</f>
        <v>0-2 years</v>
      </c>
      <c r="AI367">
        <v>0</v>
      </c>
      <c r="AJ367">
        <v>0</v>
      </c>
      <c r="AK367">
        <v>0</v>
      </c>
      <c r="AL367" t="str" cm="1">
        <f t="array" ref="AL367">_xlfn.IFS(Table1[[#This Row],[JobSatisfaction]]=1,"Low",Table1[[#This Row],[JobSatisfaction]]=2,"Medium",Table1[[#This Row],[JobSatisfaction]]=3,"High",Table1[[#This Row],[JobSatisfaction]]=4,"Very High")</f>
        <v>High</v>
      </c>
      <c r="AM367">
        <f>IF(Table1[[#This Row],[Attrition]]="Yes",1,0)</f>
        <v>0</v>
      </c>
    </row>
    <row r="368" spans="1:39" ht="13.8" x14ac:dyDescent="0.25">
      <c r="A368">
        <v>41</v>
      </c>
      <c r="B368" t="str" cm="1">
        <f t="array" ref="B368">_xlfn.IFS(Table1[[#This Row],[Age]]&lt;30,"Under 30",Table1[[#This Row],[Age]]&lt;=40,"30-40",Table1[[#This Row],[Age]]&lt;=50,"41-50",Table1[[#This Row],[Age]]&gt;50,"Over 50")</f>
        <v>41-50</v>
      </c>
      <c r="C368" t="s">
        <v>35</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t="str" cm="1">
        <f t="array" ref="AH368">_xlfn.IFS(Table1[[#This Row],[YearsAtCompany]]&lt;=2,"0-2 years",Table1[[#This Row],[YearsAtCompany]]&lt;=5,"3-5 years",Table1[[#This Row],[YearsAtCompany]]&lt;=10,"6-10 years",Table1[[#This Row],[YearsAtCompany]]&gt;10,"10+ years")</f>
        <v>6-10 years</v>
      </c>
      <c r="AI368">
        <v>7</v>
      </c>
      <c r="AJ368">
        <v>7</v>
      </c>
      <c r="AK368">
        <v>7</v>
      </c>
      <c r="AL368" t="str" cm="1">
        <f t="array" ref="AL368">_xlfn.IFS(Table1[[#This Row],[JobSatisfaction]]=1,"Low",Table1[[#This Row],[JobSatisfaction]]=2,"Medium",Table1[[#This Row],[JobSatisfaction]]=3,"High",Table1[[#This Row],[JobSatisfaction]]=4,"Very High")</f>
        <v>Medium</v>
      </c>
      <c r="AM368">
        <f>IF(Table1[[#This Row],[Attrition]]="Yes",1,0)</f>
        <v>1</v>
      </c>
    </row>
    <row r="369" spans="1:39" ht="13.8" x14ac:dyDescent="0.25">
      <c r="A369">
        <v>50</v>
      </c>
      <c r="B369" t="str" cm="1">
        <f t="array" ref="B369">_xlfn.IFS(Table1[[#This Row],[Age]]&lt;30,"Under 30",Table1[[#This Row],[Age]]&lt;=40,"30-40",Table1[[#This Row],[Age]]&lt;=50,"41-50",Table1[[#This Row],[Age]]&gt;50,"Over 50")</f>
        <v>41-50</v>
      </c>
      <c r="C369" t="s">
        <v>43</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t="str" cm="1">
        <f t="array" ref="AH369">_xlfn.IFS(Table1[[#This Row],[YearsAtCompany]]&lt;=2,"0-2 years",Table1[[#This Row],[YearsAtCompany]]&lt;=5,"3-5 years",Table1[[#This Row],[YearsAtCompany]]&lt;=10,"6-10 years",Table1[[#This Row],[YearsAtCompany]]&gt;10,"10+ years")</f>
        <v>3-5 years</v>
      </c>
      <c r="AI369">
        <v>3</v>
      </c>
      <c r="AJ369">
        <v>1</v>
      </c>
      <c r="AK369">
        <v>3</v>
      </c>
      <c r="AL369" t="str" cm="1">
        <f t="array" ref="AL369">_xlfn.IFS(Table1[[#This Row],[JobSatisfaction]]=1,"Low",Table1[[#This Row],[JobSatisfaction]]=2,"Medium",Table1[[#This Row],[JobSatisfaction]]=3,"High",Table1[[#This Row],[JobSatisfaction]]=4,"Very High")</f>
        <v>Very High</v>
      </c>
      <c r="AM369">
        <f>IF(Table1[[#This Row],[Attrition]]="Yes",1,0)</f>
        <v>0</v>
      </c>
    </row>
    <row r="370" spans="1:39" ht="13.8" x14ac:dyDescent="0.25">
      <c r="A370">
        <v>40</v>
      </c>
      <c r="B370" t="str" cm="1">
        <f t="array" ref="B370">_xlfn.IFS(Table1[[#This Row],[Age]]&lt;30,"Under 30",Table1[[#This Row],[Age]]&lt;=40,"30-40",Table1[[#This Row],[Age]]&lt;=50,"41-50",Table1[[#This Row],[Age]]&gt;50,"Over 50")</f>
        <v>30-40</v>
      </c>
      <c r="C370" t="s">
        <v>35</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t="str" cm="1">
        <f t="array" ref="AH370">_xlfn.IFS(Table1[[#This Row],[YearsAtCompany]]&lt;=2,"0-2 years",Table1[[#This Row],[YearsAtCompany]]&lt;=5,"3-5 years",Table1[[#This Row],[YearsAtCompany]]&lt;=10,"6-10 years",Table1[[#This Row],[YearsAtCompany]]&gt;10,"10+ years")</f>
        <v>6-10 years</v>
      </c>
      <c r="AI370">
        <v>4</v>
      </c>
      <c r="AJ370">
        <v>1</v>
      </c>
      <c r="AK370">
        <v>0</v>
      </c>
      <c r="AL370" t="str" cm="1">
        <f t="array" ref="AL370">_xlfn.IFS(Table1[[#This Row],[JobSatisfaction]]=1,"Low",Table1[[#This Row],[JobSatisfaction]]=2,"Medium",Table1[[#This Row],[JobSatisfaction]]=3,"High",Table1[[#This Row],[JobSatisfaction]]=4,"Very High")</f>
        <v>High</v>
      </c>
      <c r="AM370">
        <f>IF(Table1[[#This Row],[Attrition]]="Yes",1,0)</f>
        <v>1</v>
      </c>
    </row>
    <row r="371" spans="1:39" ht="13.8" x14ac:dyDescent="0.25">
      <c r="A371">
        <v>31</v>
      </c>
      <c r="B371" t="str" cm="1">
        <f t="array" ref="B371">_xlfn.IFS(Table1[[#This Row],[Age]]&lt;30,"Under 30",Table1[[#This Row],[Age]]&lt;=40,"30-40",Table1[[#This Row],[Age]]&lt;=50,"41-50",Table1[[#This Row],[Age]]&gt;50,"Over 50")</f>
        <v>30-40</v>
      </c>
      <c r="C371" t="s">
        <v>43</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t="str" cm="1">
        <f t="array" ref="AH371">_xlfn.IFS(Table1[[#This Row],[YearsAtCompany]]&lt;=2,"0-2 years",Table1[[#This Row],[YearsAtCompany]]&lt;=5,"3-5 years",Table1[[#This Row],[YearsAtCompany]]&lt;=10,"6-10 years",Table1[[#This Row],[YearsAtCompany]]&gt;10,"10+ years")</f>
        <v>0-2 years</v>
      </c>
      <c r="AI371">
        <v>2</v>
      </c>
      <c r="AJ371">
        <v>2</v>
      </c>
      <c r="AK371">
        <v>2</v>
      </c>
      <c r="AL371" t="str" cm="1">
        <f t="array" ref="AL371">_xlfn.IFS(Table1[[#This Row],[JobSatisfaction]]=1,"Low",Table1[[#This Row],[JobSatisfaction]]=2,"Medium",Table1[[#This Row],[JobSatisfaction]]=3,"High",Table1[[#This Row],[JobSatisfaction]]=4,"Very High")</f>
        <v>Medium</v>
      </c>
      <c r="AM371">
        <f>IF(Table1[[#This Row],[Attrition]]="Yes",1,0)</f>
        <v>0</v>
      </c>
    </row>
    <row r="372" spans="1:39" ht="13.8" x14ac:dyDescent="0.25">
      <c r="A372">
        <v>21</v>
      </c>
      <c r="B372" t="str" cm="1">
        <f t="array" ref="B372">_xlfn.IFS(Table1[[#This Row],[Age]]&lt;30,"Under 30",Table1[[#This Row],[Age]]&lt;=40,"30-40",Table1[[#This Row],[Age]]&lt;=50,"41-50",Table1[[#This Row],[Age]]&gt;50,"Over 50")</f>
        <v>Under 30</v>
      </c>
      <c r="C372" t="s">
        <v>35</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t="str" cm="1">
        <f t="array" ref="AH372">_xlfn.IFS(Table1[[#This Row],[YearsAtCompany]]&lt;=2,"0-2 years",Table1[[#This Row],[YearsAtCompany]]&lt;=5,"3-5 years",Table1[[#This Row],[YearsAtCompany]]&lt;=10,"6-10 years",Table1[[#This Row],[YearsAtCompany]]&gt;10,"10+ years")</f>
        <v>0-2 years</v>
      </c>
      <c r="AI372">
        <v>0</v>
      </c>
      <c r="AJ372">
        <v>0</v>
      </c>
      <c r="AK372">
        <v>0</v>
      </c>
      <c r="AL372" t="str" cm="1">
        <f t="array" ref="AL372">_xlfn.IFS(Table1[[#This Row],[JobSatisfaction]]=1,"Low",Table1[[#This Row],[JobSatisfaction]]=2,"Medium",Table1[[#This Row],[JobSatisfaction]]=3,"High",Table1[[#This Row],[JobSatisfaction]]=4,"Very High")</f>
        <v>Medium</v>
      </c>
      <c r="AM372">
        <f>IF(Table1[[#This Row],[Attrition]]="Yes",1,0)</f>
        <v>1</v>
      </c>
    </row>
    <row r="373" spans="1:39" ht="13.8" x14ac:dyDescent="0.25">
      <c r="A373">
        <v>29</v>
      </c>
      <c r="B373" t="str" cm="1">
        <f t="array" ref="B373">_xlfn.IFS(Table1[[#This Row],[Age]]&lt;30,"Under 30",Table1[[#This Row],[Age]]&lt;=40,"30-40",Table1[[#This Row],[Age]]&lt;=50,"41-50",Table1[[#This Row],[Age]]&gt;50,"Over 50")</f>
        <v>Under 30</v>
      </c>
      <c r="C373" t="s">
        <v>43</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t="str" cm="1">
        <f t="array" ref="AH373">_xlfn.IFS(Table1[[#This Row],[YearsAtCompany]]&lt;=2,"0-2 years",Table1[[#This Row],[YearsAtCompany]]&lt;=5,"3-5 years",Table1[[#This Row],[YearsAtCompany]]&lt;=10,"6-10 years",Table1[[#This Row],[YearsAtCompany]]&gt;10,"10+ years")</f>
        <v>3-5 years</v>
      </c>
      <c r="AI373">
        <v>2</v>
      </c>
      <c r="AJ373">
        <v>1</v>
      </c>
      <c r="AK373">
        <v>2</v>
      </c>
      <c r="AL373" t="str" cm="1">
        <f t="array" ref="AL373">_xlfn.IFS(Table1[[#This Row],[JobSatisfaction]]=1,"Low",Table1[[#This Row],[JobSatisfaction]]=2,"Medium",Table1[[#This Row],[JobSatisfaction]]=3,"High",Table1[[#This Row],[JobSatisfaction]]=4,"Very High")</f>
        <v>Very High</v>
      </c>
      <c r="AM373">
        <f>IF(Table1[[#This Row],[Attrition]]="Yes",1,0)</f>
        <v>0</v>
      </c>
    </row>
    <row r="374" spans="1:39" ht="13.8" x14ac:dyDescent="0.25">
      <c r="A374">
        <v>35</v>
      </c>
      <c r="B374" t="str" cm="1">
        <f t="array" ref="B374">_xlfn.IFS(Table1[[#This Row],[Age]]&lt;30,"Under 30",Table1[[#This Row],[Age]]&lt;=40,"30-40",Table1[[#This Row],[Age]]&lt;=50,"41-50",Table1[[#This Row],[Age]]&gt;50,"Over 50")</f>
        <v>30-40</v>
      </c>
      <c r="C374" t="s">
        <v>43</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t="str" cm="1">
        <f t="array" ref="AH374">_xlfn.IFS(Table1[[#This Row],[YearsAtCompany]]&lt;=2,"0-2 years",Table1[[#This Row],[YearsAtCompany]]&lt;=5,"3-5 years",Table1[[#This Row],[YearsAtCompany]]&lt;=10,"6-10 years",Table1[[#This Row],[YearsAtCompany]]&gt;10,"10+ years")</f>
        <v>0-2 years</v>
      </c>
      <c r="AI374">
        <v>1</v>
      </c>
      <c r="AJ374">
        <v>0</v>
      </c>
      <c r="AK374">
        <v>0</v>
      </c>
      <c r="AL374" t="str" cm="1">
        <f t="array" ref="AL374">_xlfn.IFS(Table1[[#This Row],[JobSatisfaction]]=1,"Low",Table1[[#This Row],[JobSatisfaction]]=2,"Medium",Table1[[#This Row],[JobSatisfaction]]=3,"High",Table1[[#This Row],[JobSatisfaction]]=4,"Very High")</f>
        <v>Medium</v>
      </c>
      <c r="AM374">
        <f>IF(Table1[[#This Row],[Attrition]]="Yes",1,0)</f>
        <v>0</v>
      </c>
    </row>
    <row r="375" spans="1:39" ht="13.8" x14ac:dyDescent="0.25">
      <c r="A375">
        <v>27</v>
      </c>
      <c r="B375" t="str" cm="1">
        <f t="array" ref="B375">_xlfn.IFS(Table1[[#This Row],[Age]]&lt;30,"Under 30",Table1[[#This Row],[Age]]&lt;=40,"30-40",Table1[[#This Row],[Age]]&lt;=50,"41-50",Table1[[#This Row],[Age]]&gt;50,"Over 50")</f>
        <v>Under 30</v>
      </c>
      <c r="C375" t="s">
        <v>43</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t="str" cm="1">
        <f t="array" ref="AH375">_xlfn.IFS(Table1[[#This Row],[YearsAtCompany]]&lt;=2,"0-2 years",Table1[[#This Row],[YearsAtCompany]]&lt;=5,"3-5 years",Table1[[#This Row],[YearsAtCompany]]&lt;=10,"6-10 years",Table1[[#This Row],[YearsAtCompany]]&gt;10,"10+ years")</f>
        <v>3-5 years</v>
      </c>
      <c r="AI375">
        <v>2</v>
      </c>
      <c r="AJ375">
        <v>0</v>
      </c>
      <c r="AK375">
        <v>4</v>
      </c>
      <c r="AL375" t="str" cm="1">
        <f t="array" ref="AL375">_xlfn.IFS(Table1[[#This Row],[JobSatisfaction]]=1,"Low",Table1[[#This Row],[JobSatisfaction]]=2,"Medium",Table1[[#This Row],[JobSatisfaction]]=3,"High",Table1[[#This Row],[JobSatisfaction]]=4,"Very High")</f>
        <v>Medium</v>
      </c>
      <c r="AM375">
        <f>IF(Table1[[#This Row],[Attrition]]="Yes",1,0)</f>
        <v>0</v>
      </c>
    </row>
    <row r="376" spans="1:39" ht="13.8" x14ac:dyDescent="0.25">
      <c r="A376">
        <v>28</v>
      </c>
      <c r="B376" t="str" cm="1">
        <f t="array" ref="B376">_xlfn.IFS(Table1[[#This Row],[Age]]&lt;30,"Under 30",Table1[[#This Row],[Age]]&lt;=40,"30-40",Table1[[#This Row],[Age]]&lt;=50,"41-50",Table1[[#This Row],[Age]]&gt;50,"Over 50")</f>
        <v>Under 30</v>
      </c>
      <c r="C376" t="s">
        <v>43</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t="str" cm="1">
        <f t="array" ref="AH376">_xlfn.IFS(Table1[[#This Row],[YearsAtCompany]]&lt;=2,"0-2 years",Table1[[#This Row],[YearsAtCompany]]&lt;=5,"3-5 years",Table1[[#This Row],[YearsAtCompany]]&lt;=10,"6-10 years",Table1[[#This Row],[YearsAtCompany]]&gt;10,"10+ years")</f>
        <v>6-10 years</v>
      </c>
      <c r="AI376">
        <v>5</v>
      </c>
      <c r="AJ376">
        <v>0</v>
      </c>
      <c r="AK376">
        <v>7</v>
      </c>
      <c r="AL376" t="str" cm="1">
        <f t="array" ref="AL376">_xlfn.IFS(Table1[[#This Row],[JobSatisfaction]]=1,"Low",Table1[[#This Row],[JobSatisfaction]]=2,"Medium",Table1[[#This Row],[JobSatisfaction]]=3,"High",Table1[[#This Row],[JobSatisfaction]]=4,"Very High")</f>
        <v>Very High</v>
      </c>
      <c r="AM376">
        <f>IF(Table1[[#This Row],[Attrition]]="Yes",1,0)</f>
        <v>0</v>
      </c>
    </row>
    <row r="377" spans="1:39" ht="13.8" x14ac:dyDescent="0.25">
      <c r="A377">
        <v>49</v>
      </c>
      <c r="B377" t="str" cm="1">
        <f t="array" ref="B377">_xlfn.IFS(Table1[[#This Row],[Age]]&lt;30,"Under 30",Table1[[#This Row],[Age]]&lt;=40,"30-40",Table1[[#This Row],[Age]]&lt;=50,"41-50",Table1[[#This Row],[Age]]&gt;50,"Over 50")</f>
        <v>41-50</v>
      </c>
      <c r="C377" t="s">
        <v>43</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t="str" cm="1">
        <f t="array" ref="AH377">_xlfn.IFS(Table1[[#This Row],[YearsAtCompany]]&lt;=2,"0-2 years",Table1[[#This Row],[YearsAtCompany]]&lt;=5,"3-5 years",Table1[[#This Row],[YearsAtCompany]]&lt;=10,"6-10 years",Table1[[#This Row],[YearsAtCompany]]&gt;10,"10+ years")</f>
        <v>3-5 years</v>
      </c>
      <c r="AI377">
        <v>2</v>
      </c>
      <c r="AJ377">
        <v>0</v>
      </c>
      <c r="AK377">
        <v>0</v>
      </c>
      <c r="AL377" t="str" cm="1">
        <f t="array" ref="AL377">_xlfn.IFS(Table1[[#This Row],[JobSatisfaction]]=1,"Low",Table1[[#This Row],[JobSatisfaction]]=2,"Medium",Table1[[#This Row],[JobSatisfaction]]=3,"High",Table1[[#This Row],[JobSatisfaction]]=4,"Very High")</f>
        <v>High</v>
      </c>
      <c r="AM377">
        <f>IF(Table1[[#This Row],[Attrition]]="Yes",1,0)</f>
        <v>0</v>
      </c>
    </row>
    <row r="378" spans="1:39" ht="13.8" x14ac:dyDescent="0.25">
      <c r="A378">
        <v>51</v>
      </c>
      <c r="B378" t="str" cm="1">
        <f t="array" ref="B378">_xlfn.IFS(Table1[[#This Row],[Age]]&lt;30,"Under 30",Table1[[#This Row],[Age]]&lt;=40,"30-40",Table1[[#This Row],[Age]]&lt;=50,"41-50",Table1[[#This Row],[Age]]&gt;50,"Over 50")</f>
        <v>Over 50</v>
      </c>
      <c r="C378" t="s">
        <v>43</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t="str" cm="1">
        <f t="array" ref="AH378">_xlfn.IFS(Table1[[#This Row],[YearsAtCompany]]&lt;=2,"0-2 years",Table1[[#This Row],[YearsAtCompany]]&lt;=5,"3-5 years",Table1[[#This Row],[YearsAtCompany]]&lt;=10,"6-10 years",Table1[[#This Row],[YearsAtCompany]]&gt;10,"10+ years")</f>
        <v>6-10 years</v>
      </c>
      <c r="AI378">
        <v>7</v>
      </c>
      <c r="AJ378">
        <v>0</v>
      </c>
      <c r="AK378">
        <v>7</v>
      </c>
      <c r="AL378" t="str" cm="1">
        <f t="array" ref="AL378">_xlfn.IFS(Table1[[#This Row],[JobSatisfaction]]=1,"Low",Table1[[#This Row],[JobSatisfaction]]=2,"Medium",Table1[[#This Row],[JobSatisfaction]]=3,"High",Table1[[#This Row],[JobSatisfaction]]=4,"Very High")</f>
        <v>Very High</v>
      </c>
      <c r="AM378">
        <f>IF(Table1[[#This Row],[Attrition]]="Yes",1,0)</f>
        <v>0</v>
      </c>
    </row>
    <row r="379" spans="1:39" ht="13.8" x14ac:dyDescent="0.25">
      <c r="A379">
        <v>36</v>
      </c>
      <c r="B379" t="str" cm="1">
        <f t="array" ref="B379">_xlfn.IFS(Table1[[#This Row],[Age]]&lt;30,"Under 30",Table1[[#This Row],[Age]]&lt;=40,"30-40",Table1[[#This Row],[Age]]&lt;=50,"41-50",Table1[[#This Row],[Age]]&gt;50,"Over 50")</f>
        <v>30-40</v>
      </c>
      <c r="C379" t="s">
        <v>43</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t="str" cm="1">
        <f t="array" ref="AH379">_xlfn.IFS(Table1[[#This Row],[YearsAtCompany]]&lt;=2,"0-2 years",Table1[[#This Row],[YearsAtCompany]]&lt;=5,"3-5 years",Table1[[#This Row],[YearsAtCompany]]&lt;=10,"6-10 years",Table1[[#This Row],[YearsAtCompany]]&gt;10,"10+ years")</f>
        <v>0-2 years</v>
      </c>
      <c r="AI379">
        <v>2</v>
      </c>
      <c r="AJ379">
        <v>2</v>
      </c>
      <c r="AK379">
        <v>2</v>
      </c>
      <c r="AL379" t="str" cm="1">
        <f t="array" ref="AL379">_xlfn.IFS(Table1[[#This Row],[JobSatisfaction]]=1,"Low",Table1[[#This Row],[JobSatisfaction]]=2,"Medium",Table1[[#This Row],[JobSatisfaction]]=3,"High",Table1[[#This Row],[JobSatisfaction]]=4,"Very High")</f>
        <v>High</v>
      </c>
      <c r="AM379">
        <f>IF(Table1[[#This Row],[Attrition]]="Yes",1,0)</f>
        <v>0</v>
      </c>
    </row>
    <row r="380" spans="1:39" ht="13.8" x14ac:dyDescent="0.25">
      <c r="A380">
        <v>34</v>
      </c>
      <c r="B380" t="str" cm="1">
        <f t="array" ref="B380">_xlfn.IFS(Table1[[#This Row],[Age]]&lt;30,"Under 30",Table1[[#This Row],[Age]]&lt;=40,"30-40",Table1[[#This Row],[Age]]&lt;=50,"41-50",Table1[[#This Row],[Age]]&gt;50,"Over 50")</f>
        <v>30-40</v>
      </c>
      <c r="C380" t="s">
        <v>35</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t="str" cm="1">
        <f t="array" ref="AH380">_xlfn.IFS(Table1[[#This Row],[YearsAtCompany]]&lt;=2,"0-2 years",Table1[[#This Row],[YearsAtCompany]]&lt;=5,"3-5 years",Table1[[#This Row],[YearsAtCompany]]&lt;=10,"6-10 years",Table1[[#This Row],[YearsAtCompany]]&gt;10,"10+ years")</f>
        <v>3-5 years</v>
      </c>
      <c r="AI380">
        <v>2</v>
      </c>
      <c r="AJ380">
        <v>0</v>
      </c>
      <c r="AK380">
        <v>4</v>
      </c>
      <c r="AL380" t="str" cm="1">
        <f t="array" ref="AL380">_xlfn.IFS(Table1[[#This Row],[JobSatisfaction]]=1,"Low",Table1[[#This Row],[JobSatisfaction]]=2,"Medium",Table1[[#This Row],[JobSatisfaction]]=3,"High",Table1[[#This Row],[JobSatisfaction]]=4,"Very High")</f>
        <v>Very High</v>
      </c>
      <c r="AM380">
        <f>IF(Table1[[#This Row],[Attrition]]="Yes",1,0)</f>
        <v>1</v>
      </c>
    </row>
    <row r="381" spans="1:39" ht="13.8" x14ac:dyDescent="0.25">
      <c r="A381">
        <v>55</v>
      </c>
      <c r="B381" t="str" cm="1">
        <f t="array" ref="B381">_xlfn.IFS(Table1[[#This Row],[Age]]&lt;30,"Under 30",Table1[[#This Row],[Age]]&lt;=40,"30-40",Table1[[#This Row],[Age]]&lt;=50,"41-50",Table1[[#This Row],[Age]]&gt;50,"Over 50")</f>
        <v>Over 50</v>
      </c>
      <c r="C381" t="s">
        <v>43</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t="str" cm="1">
        <f t="array" ref="AH381">_xlfn.IFS(Table1[[#This Row],[YearsAtCompany]]&lt;=2,"0-2 years",Table1[[#This Row],[YearsAtCompany]]&lt;=5,"3-5 years",Table1[[#This Row],[YearsAtCompany]]&lt;=10,"6-10 years",Table1[[#This Row],[YearsAtCompany]]&gt;10,"10+ years")</f>
        <v>3-5 years</v>
      </c>
      <c r="AI381">
        <v>4</v>
      </c>
      <c r="AJ381">
        <v>1</v>
      </c>
      <c r="AK381">
        <v>2</v>
      </c>
      <c r="AL381" t="str" cm="1">
        <f t="array" ref="AL381">_xlfn.IFS(Table1[[#This Row],[JobSatisfaction]]=1,"Low",Table1[[#This Row],[JobSatisfaction]]=2,"Medium",Table1[[#This Row],[JobSatisfaction]]=3,"High",Table1[[#This Row],[JobSatisfaction]]=4,"Very High")</f>
        <v>Very High</v>
      </c>
      <c r="AM381">
        <f>IF(Table1[[#This Row],[Attrition]]="Yes",1,0)</f>
        <v>0</v>
      </c>
    </row>
    <row r="382" spans="1:39" ht="13.8" x14ac:dyDescent="0.25">
      <c r="A382">
        <v>24</v>
      </c>
      <c r="B382" t="str" cm="1">
        <f t="array" ref="B382">_xlfn.IFS(Table1[[#This Row],[Age]]&lt;30,"Under 30",Table1[[#This Row],[Age]]&lt;=40,"30-40",Table1[[#This Row],[Age]]&lt;=50,"41-50",Table1[[#This Row],[Age]]&gt;50,"Over 50")</f>
        <v>Under 30</v>
      </c>
      <c r="C382" t="s">
        <v>43</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t="str" cm="1">
        <f t="array" ref="AH382">_xlfn.IFS(Table1[[#This Row],[YearsAtCompany]]&lt;=2,"0-2 years",Table1[[#This Row],[YearsAtCompany]]&lt;=5,"3-5 years",Table1[[#This Row],[YearsAtCompany]]&lt;=10,"6-10 years",Table1[[#This Row],[YearsAtCompany]]&gt;10,"10+ years")</f>
        <v>3-5 years</v>
      </c>
      <c r="AI382">
        <v>2</v>
      </c>
      <c r="AJ382">
        <v>0</v>
      </c>
      <c r="AK382">
        <v>3</v>
      </c>
      <c r="AL382" t="str" cm="1">
        <f t="array" ref="AL382">_xlfn.IFS(Table1[[#This Row],[JobSatisfaction]]=1,"Low",Table1[[#This Row],[JobSatisfaction]]=2,"Medium",Table1[[#This Row],[JobSatisfaction]]=3,"High",Table1[[#This Row],[JobSatisfaction]]=4,"Very High")</f>
        <v>High</v>
      </c>
      <c r="AM382">
        <f>IF(Table1[[#This Row],[Attrition]]="Yes",1,0)</f>
        <v>0</v>
      </c>
    </row>
    <row r="383" spans="1:39" ht="13.8" x14ac:dyDescent="0.25">
      <c r="A383">
        <v>30</v>
      </c>
      <c r="B383" t="str" cm="1">
        <f t="array" ref="B383">_xlfn.IFS(Table1[[#This Row],[Age]]&lt;30,"Under 30",Table1[[#This Row],[Age]]&lt;=40,"30-40",Table1[[#This Row],[Age]]&lt;=50,"41-50",Table1[[#This Row],[Age]]&gt;50,"Over 50")</f>
        <v>30-40</v>
      </c>
      <c r="C383" t="s">
        <v>43</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t="str" cm="1">
        <f t="array" ref="AH383">_xlfn.IFS(Table1[[#This Row],[YearsAtCompany]]&lt;=2,"0-2 years",Table1[[#This Row],[YearsAtCompany]]&lt;=5,"3-5 years",Table1[[#This Row],[YearsAtCompany]]&lt;=10,"6-10 years",Table1[[#This Row],[YearsAtCompany]]&gt;10,"10+ years")</f>
        <v>0-2 years</v>
      </c>
      <c r="AI383">
        <v>0</v>
      </c>
      <c r="AJ383">
        <v>0</v>
      </c>
      <c r="AK383">
        <v>0</v>
      </c>
      <c r="AL383" t="str" cm="1">
        <f t="array" ref="AL383">_xlfn.IFS(Table1[[#This Row],[JobSatisfaction]]=1,"Low",Table1[[#This Row],[JobSatisfaction]]=2,"Medium",Table1[[#This Row],[JobSatisfaction]]=3,"High",Table1[[#This Row],[JobSatisfaction]]=4,"Very High")</f>
        <v>Medium</v>
      </c>
      <c r="AM383">
        <f>IF(Table1[[#This Row],[Attrition]]="Yes",1,0)</f>
        <v>0</v>
      </c>
    </row>
    <row r="384" spans="1:39" ht="13.8" x14ac:dyDescent="0.25">
      <c r="A384">
        <v>26</v>
      </c>
      <c r="B384" t="str" cm="1">
        <f t="array" ref="B384">_xlfn.IFS(Table1[[#This Row],[Age]]&lt;30,"Under 30",Table1[[#This Row],[Age]]&lt;=40,"30-40",Table1[[#This Row],[Age]]&lt;=50,"41-50",Table1[[#This Row],[Age]]&gt;50,"Over 50")</f>
        <v>Under 30</v>
      </c>
      <c r="C384" t="s">
        <v>35</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t="str" cm="1">
        <f t="array" ref="AH384">_xlfn.IFS(Table1[[#This Row],[YearsAtCompany]]&lt;=2,"0-2 years",Table1[[#This Row],[YearsAtCompany]]&lt;=5,"3-5 years",Table1[[#This Row],[YearsAtCompany]]&lt;=10,"6-10 years",Table1[[#This Row],[YearsAtCompany]]&gt;10,"10+ years")</f>
        <v>6-10 years</v>
      </c>
      <c r="AI384">
        <v>4</v>
      </c>
      <c r="AJ384">
        <v>0</v>
      </c>
      <c r="AK384">
        <v>4</v>
      </c>
      <c r="AL384" t="str" cm="1">
        <f t="array" ref="AL384">_xlfn.IFS(Table1[[#This Row],[JobSatisfaction]]=1,"Low",Table1[[#This Row],[JobSatisfaction]]=2,"Medium",Table1[[#This Row],[JobSatisfaction]]=3,"High",Table1[[#This Row],[JobSatisfaction]]=4,"Very High")</f>
        <v>Low</v>
      </c>
      <c r="AM384">
        <f>IF(Table1[[#This Row],[Attrition]]="Yes",1,0)</f>
        <v>1</v>
      </c>
    </row>
    <row r="385" spans="1:39" ht="13.8" x14ac:dyDescent="0.25">
      <c r="A385">
        <v>22</v>
      </c>
      <c r="B385" t="str" cm="1">
        <f t="array" ref="B385">_xlfn.IFS(Table1[[#This Row],[Age]]&lt;30,"Under 30",Table1[[#This Row],[Age]]&lt;=40,"30-40",Table1[[#This Row],[Age]]&lt;=50,"41-50",Table1[[#This Row],[Age]]&gt;50,"Over 50")</f>
        <v>Under 30</v>
      </c>
      <c r="C385" t="s">
        <v>43</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t="str" cm="1">
        <f t="array" ref="AH385">_xlfn.IFS(Table1[[#This Row],[YearsAtCompany]]&lt;=2,"0-2 years",Table1[[#This Row],[YearsAtCompany]]&lt;=5,"3-5 years",Table1[[#This Row],[YearsAtCompany]]&lt;=10,"6-10 years",Table1[[#This Row],[YearsAtCompany]]&gt;10,"10+ years")</f>
        <v>0-2 years</v>
      </c>
      <c r="AI385">
        <v>1</v>
      </c>
      <c r="AJ385">
        <v>1</v>
      </c>
      <c r="AK385">
        <v>2</v>
      </c>
      <c r="AL385" t="str" cm="1">
        <f t="array" ref="AL385">_xlfn.IFS(Table1[[#This Row],[JobSatisfaction]]=1,"Low",Table1[[#This Row],[JobSatisfaction]]=2,"Medium",Table1[[#This Row],[JobSatisfaction]]=3,"High",Table1[[#This Row],[JobSatisfaction]]=4,"Very High")</f>
        <v>Medium</v>
      </c>
      <c r="AM385">
        <f>IF(Table1[[#This Row],[Attrition]]="Yes",1,0)</f>
        <v>0</v>
      </c>
    </row>
    <row r="386" spans="1:39" ht="13.8" x14ac:dyDescent="0.25">
      <c r="A386">
        <v>36</v>
      </c>
      <c r="B386" t="str" cm="1">
        <f t="array" ref="B386">_xlfn.IFS(Table1[[#This Row],[Age]]&lt;30,"Under 30",Table1[[#This Row],[Age]]&lt;=40,"30-40",Table1[[#This Row],[Age]]&lt;=50,"41-50",Table1[[#This Row],[Age]]&gt;50,"Over 50")</f>
        <v>30-40</v>
      </c>
      <c r="C386" t="s">
        <v>43</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t="str" cm="1">
        <f t="array" ref="AH386">_xlfn.IFS(Table1[[#This Row],[YearsAtCompany]]&lt;=2,"0-2 years",Table1[[#This Row],[YearsAtCompany]]&lt;=5,"3-5 years",Table1[[#This Row],[YearsAtCompany]]&lt;=10,"6-10 years",Table1[[#This Row],[YearsAtCompany]]&gt;10,"10+ years")</f>
        <v>6-10 years</v>
      </c>
      <c r="AI386">
        <v>9</v>
      </c>
      <c r="AJ386">
        <v>9</v>
      </c>
      <c r="AK386">
        <v>0</v>
      </c>
      <c r="AL386" t="str" cm="1">
        <f t="array" ref="AL386">_xlfn.IFS(Table1[[#This Row],[JobSatisfaction]]=1,"Low",Table1[[#This Row],[JobSatisfaction]]=2,"Medium",Table1[[#This Row],[JobSatisfaction]]=3,"High",Table1[[#This Row],[JobSatisfaction]]=4,"Very High")</f>
        <v>High</v>
      </c>
      <c r="AM386">
        <f>IF(Table1[[#This Row],[Attrition]]="Yes",1,0)</f>
        <v>0</v>
      </c>
    </row>
    <row r="387" spans="1:39" ht="13.8" x14ac:dyDescent="0.25">
      <c r="A387">
        <v>30</v>
      </c>
      <c r="B387" t="str" cm="1">
        <f t="array" ref="B387">_xlfn.IFS(Table1[[#This Row],[Age]]&lt;30,"Under 30",Table1[[#This Row],[Age]]&lt;=40,"30-40",Table1[[#This Row],[Age]]&lt;=50,"41-50",Table1[[#This Row],[Age]]&gt;50,"Over 50")</f>
        <v>30-40</v>
      </c>
      <c r="C387" t="s">
        <v>35</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t="str" cm="1">
        <f t="array" ref="AH387">_xlfn.IFS(Table1[[#This Row],[YearsAtCompany]]&lt;=2,"0-2 years",Table1[[#This Row],[YearsAtCompany]]&lt;=5,"3-5 years",Table1[[#This Row],[YearsAtCompany]]&lt;=10,"6-10 years",Table1[[#This Row],[YearsAtCompany]]&gt;10,"10+ years")</f>
        <v>0-2 years</v>
      </c>
      <c r="AI387">
        <v>0</v>
      </c>
      <c r="AJ387">
        <v>0</v>
      </c>
      <c r="AK387">
        <v>0</v>
      </c>
      <c r="AL387" t="str" cm="1">
        <f t="array" ref="AL387">_xlfn.IFS(Table1[[#This Row],[JobSatisfaction]]=1,"Low",Table1[[#This Row],[JobSatisfaction]]=2,"Medium",Table1[[#This Row],[JobSatisfaction]]=3,"High",Table1[[#This Row],[JobSatisfaction]]=4,"Very High")</f>
        <v>Very High</v>
      </c>
      <c r="AM387">
        <f>IF(Table1[[#This Row],[Attrition]]="Yes",1,0)</f>
        <v>1</v>
      </c>
    </row>
    <row r="388" spans="1:39" ht="13.8" x14ac:dyDescent="0.25">
      <c r="A388">
        <v>37</v>
      </c>
      <c r="B388" t="str" cm="1">
        <f t="array" ref="B388">_xlfn.IFS(Table1[[#This Row],[Age]]&lt;30,"Under 30",Table1[[#This Row],[Age]]&lt;=40,"30-40",Table1[[#This Row],[Age]]&lt;=50,"41-50",Table1[[#This Row],[Age]]&gt;50,"Over 50")</f>
        <v>30-40</v>
      </c>
      <c r="C388" t="s">
        <v>43</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t="str" cm="1">
        <f t="array" ref="AH388">_xlfn.IFS(Table1[[#This Row],[YearsAtCompany]]&lt;=2,"0-2 years",Table1[[#This Row],[YearsAtCompany]]&lt;=5,"3-5 years",Table1[[#This Row],[YearsAtCompany]]&lt;=10,"6-10 years",Table1[[#This Row],[YearsAtCompany]]&gt;10,"10+ years")</f>
        <v>10+ years</v>
      </c>
      <c r="AI388">
        <v>7</v>
      </c>
      <c r="AJ388">
        <v>12</v>
      </c>
      <c r="AK388">
        <v>17</v>
      </c>
      <c r="AL388" t="str" cm="1">
        <f t="array" ref="AL388">_xlfn.IFS(Table1[[#This Row],[JobSatisfaction]]=1,"Low",Table1[[#This Row],[JobSatisfaction]]=2,"Medium",Table1[[#This Row],[JobSatisfaction]]=3,"High",Table1[[#This Row],[JobSatisfaction]]=4,"Very High")</f>
        <v>Low</v>
      </c>
      <c r="AM388">
        <f>IF(Table1[[#This Row],[Attrition]]="Yes",1,0)</f>
        <v>0</v>
      </c>
    </row>
    <row r="389" spans="1:39" ht="13.8" x14ac:dyDescent="0.25">
      <c r="A389">
        <v>40</v>
      </c>
      <c r="B389" t="str" cm="1">
        <f t="array" ref="B389">_xlfn.IFS(Table1[[#This Row],[Age]]&lt;30,"Under 30",Table1[[#This Row],[Age]]&lt;=40,"30-40",Table1[[#This Row],[Age]]&lt;=50,"41-50",Table1[[#This Row],[Age]]&gt;50,"Over 50")</f>
        <v>30-40</v>
      </c>
      <c r="C389" t="s">
        <v>43</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t="str" cm="1">
        <f t="array" ref="AH389">_xlfn.IFS(Table1[[#This Row],[YearsAtCompany]]&lt;=2,"0-2 years",Table1[[#This Row],[YearsAtCompany]]&lt;=5,"3-5 years",Table1[[#This Row],[YearsAtCompany]]&lt;=10,"6-10 years",Table1[[#This Row],[YearsAtCompany]]&gt;10,"10+ years")</f>
        <v>3-5 years</v>
      </c>
      <c r="AI389">
        <v>4</v>
      </c>
      <c r="AJ389">
        <v>1</v>
      </c>
      <c r="AK389">
        <v>3</v>
      </c>
      <c r="AL389" t="str" cm="1">
        <f t="array" ref="AL389">_xlfn.IFS(Table1[[#This Row],[JobSatisfaction]]=1,"Low",Table1[[#This Row],[JobSatisfaction]]=2,"Medium",Table1[[#This Row],[JobSatisfaction]]=3,"High",Table1[[#This Row],[JobSatisfaction]]=4,"Very High")</f>
        <v>Medium</v>
      </c>
      <c r="AM389">
        <f>IF(Table1[[#This Row],[Attrition]]="Yes",1,0)</f>
        <v>0</v>
      </c>
    </row>
    <row r="390" spans="1:39" ht="13.8" x14ac:dyDescent="0.25">
      <c r="A390">
        <v>42</v>
      </c>
      <c r="B390" t="str" cm="1">
        <f t="array" ref="B390">_xlfn.IFS(Table1[[#This Row],[Age]]&lt;30,"Under 30",Table1[[#This Row],[Age]]&lt;=40,"30-40",Table1[[#This Row],[Age]]&lt;=50,"41-50",Table1[[#This Row],[Age]]&gt;50,"Over 50")</f>
        <v>41-50</v>
      </c>
      <c r="C390" t="s">
        <v>43</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t="str" cm="1">
        <f t="array" ref="AH390">_xlfn.IFS(Table1[[#This Row],[YearsAtCompany]]&lt;=2,"0-2 years",Table1[[#This Row],[YearsAtCompany]]&lt;=5,"3-5 years",Table1[[#This Row],[YearsAtCompany]]&lt;=10,"6-10 years",Table1[[#This Row],[YearsAtCompany]]&gt;10,"10+ years")</f>
        <v>3-5 years</v>
      </c>
      <c r="AI390">
        <v>2</v>
      </c>
      <c r="AJ390">
        <v>1</v>
      </c>
      <c r="AK390">
        <v>2</v>
      </c>
      <c r="AL390" t="str" cm="1">
        <f t="array" ref="AL390">_xlfn.IFS(Table1[[#This Row],[JobSatisfaction]]=1,"Low",Table1[[#This Row],[JobSatisfaction]]=2,"Medium",Table1[[#This Row],[JobSatisfaction]]=3,"High",Table1[[#This Row],[JobSatisfaction]]=4,"Very High")</f>
        <v>Low</v>
      </c>
      <c r="AM390">
        <f>IF(Table1[[#This Row],[Attrition]]="Yes",1,0)</f>
        <v>0</v>
      </c>
    </row>
    <row r="391" spans="1:39" ht="13.8" x14ac:dyDescent="0.25">
      <c r="A391">
        <v>37</v>
      </c>
      <c r="B391" t="str" cm="1">
        <f t="array" ref="B391">_xlfn.IFS(Table1[[#This Row],[Age]]&lt;30,"Under 30",Table1[[#This Row],[Age]]&lt;=40,"30-40",Table1[[#This Row],[Age]]&lt;=50,"41-50",Table1[[#This Row],[Age]]&gt;50,"Over 50")</f>
        <v>30-40</v>
      </c>
      <c r="C391" t="s">
        <v>43</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t="str" cm="1">
        <f t="array" ref="AH391">_xlfn.IFS(Table1[[#This Row],[YearsAtCompany]]&lt;=2,"0-2 years",Table1[[#This Row],[YearsAtCompany]]&lt;=5,"3-5 years",Table1[[#This Row],[YearsAtCompany]]&lt;=10,"6-10 years",Table1[[#This Row],[YearsAtCompany]]&gt;10,"10+ years")</f>
        <v>0-2 years</v>
      </c>
      <c r="AI391">
        <v>0</v>
      </c>
      <c r="AJ391">
        <v>0</v>
      </c>
      <c r="AK391">
        <v>1</v>
      </c>
      <c r="AL391" t="str" cm="1">
        <f t="array" ref="AL391">_xlfn.IFS(Table1[[#This Row],[JobSatisfaction]]=1,"Low",Table1[[#This Row],[JobSatisfaction]]=2,"Medium",Table1[[#This Row],[JobSatisfaction]]=3,"High",Table1[[#This Row],[JobSatisfaction]]=4,"Very High")</f>
        <v>Medium</v>
      </c>
      <c r="AM391">
        <f>IF(Table1[[#This Row],[Attrition]]="Yes",1,0)</f>
        <v>0</v>
      </c>
    </row>
    <row r="392" spans="1:39" ht="13.8" x14ac:dyDescent="0.25">
      <c r="A392">
        <v>43</v>
      </c>
      <c r="B392" t="str" cm="1">
        <f t="array" ref="B392">_xlfn.IFS(Table1[[#This Row],[Age]]&lt;30,"Under 30",Table1[[#This Row],[Age]]&lt;=40,"30-40",Table1[[#This Row],[Age]]&lt;=50,"41-50",Table1[[#This Row],[Age]]&gt;50,"Over 50")</f>
        <v>41-50</v>
      </c>
      <c r="C392" t="s">
        <v>43</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t="str" cm="1">
        <f t="array" ref="AH392">_xlfn.IFS(Table1[[#This Row],[YearsAtCompany]]&lt;=2,"0-2 years",Table1[[#This Row],[YearsAtCompany]]&lt;=5,"3-5 years",Table1[[#This Row],[YearsAtCompany]]&lt;=10,"6-10 years",Table1[[#This Row],[YearsAtCompany]]&gt;10,"10+ years")</f>
        <v>10+ years</v>
      </c>
      <c r="AI392">
        <v>10</v>
      </c>
      <c r="AJ392">
        <v>3</v>
      </c>
      <c r="AK392">
        <v>9</v>
      </c>
      <c r="AL392" t="str" cm="1">
        <f t="array" ref="AL392">_xlfn.IFS(Table1[[#This Row],[JobSatisfaction]]=1,"Low",Table1[[#This Row],[JobSatisfaction]]=2,"Medium",Table1[[#This Row],[JobSatisfaction]]=3,"High",Table1[[#This Row],[JobSatisfaction]]=4,"Very High")</f>
        <v>Medium</v>
      </c>
      <c r="AM392">
        <f>IF(Table1[[#This Row],[Attrition]]="Yes",1,0)</f>
        <v>0</v>
      </c>
    </row>
    <row r="393" spans="1:39" ht="13.8" x14ac:dyDescent="0.25">
      <c r="A393">
        <v>40</v>
      </c>
      <c r="B393" t="str" cm="1">
        <f t="array" ref="B393">_xlfn.IFS(Table1[[#This Row],[Age]]&lt;30,"Under 30",Table1[[#This Row],[Age]]&lt;=40,"30-40",Table1[[#This Row],[Age]]&lt;=50,"41-50",Table1[[#This Row],[Age]]&gt;50,"Over 50")</f>
        <v>30-40</v>
      </c>
      <c r="C393" t="s">
        <v>43</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t="str" cm="1">
        <f t="array" ref="AH393">_xlfn.IFS(Table1[[#This Row],[YearsAtCompany]]&lt;=2,"0-2 years",Table1[[#This Row],[YearsAtCompany]]&lt;=5,"3-5 years",Table1[[#This Row],[YearsAtCompany]]&lt;=10,"6-10 years",Table1[[#This Row],[YearsAtCompany]]&gt;10,"10+ years")</f>
        <v>0-2 years</v>
      </c>
      <c r="AI393">
        <v>0</v>
      </c>
      <c r="AJ393">
        <v>0</v>
      </c>
      <c r="AK393">
        <v>0</v>
      </c>
      <c r="AL393" t="str" cm="1">
        <f t="array" ref="AL393">_xlfn.IFS(Table1[[#This Row],[JobSatisfaction]]=1,"Low",Table1[[#This Row],[JobSatisfaction]]=2,"Medium",Table1[[#This Row],[JobSatisfaction]]=3,"High",Table1[[#This Row],[JobSatisfaction]]=4,"Very High")</f>
        <v>High</v>
      </c>
      <c r="AM393">
        <f>IF(Table1[[#This Row],[Attrition]]="Yes",1,0)</f>
        <v>0</v>
      </c>
    </row>
    <row r="394" spans="1:39" ht="13.8" x14ac:dyDescent="0.25">
      <c r="A394">
        <v>54</v>
      </c>
      <c r="B394" t="str" cm="1">
        <f t="array" ref="B394">_xlfn.IFS(Table1[[#This Row],[Age]]&lt;30,"Under 30",Table1[[#This Row],[Age]]&lt;=40,"30-40",Table1[[#This Row],[Age]]&lt;=50,"41-50",Table1[[#This Row],[Age]]&gt;50,"Over 50")</f>
        <v>Over 50</v>
      </c>
      <c r="C394" t="s">
        <v>43</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t="str" cm="1">
        <f t="array" ref="AH394">_xlfn.IFS(Table1[[#This Row],[YearsAtCompany]]&lt;=2,"0-2 years",Table1[[#This Row],[YearsAtCompany]]&lt;=5,"3-5 years",Table1[[#This Row],[YearsAtCompany]]&lt;=10,"6-10 years",Table1[[#This Row],[YearsAtCompany]]&gt;10,"10+ years")</f>
        <v>3-5 years</v>
      </c>
      <c r="AI394">
        <v>2</v>
      </c>
      <c r="AJ394">
        <v>1</v>
      </c>
      <c r="AK394">
        <v>2</v>
      </c>
      <c r="AL394" t="str" cm="1">
        <f t="array" ref="AL394">_xlfn.IFS(Table1[[#This Row],[JobSatisfaction]]=1,"Low",Table1[[#This Row],[JobSatisfaction]]=2,"Medium",Table1[[#This Row],[JobSatisfaction]]=3,"High",Table1[[#This Row],[JobSatisfaction]]=4,"Very High")</f>
        <v>Low</v>
      </c>
      <c r="AM394">
        <f>IF(Table1[[#This Row],[Attrition]]="Yes",1,0)</f>
        <v>0</v>
      </c>
    </row>
    <row r="395" spans="1:39" ht="13.8" x14ac:dyDescent="0.25">
      <c r="A395">
        <v>34</v>
      </c>
      <c r="B395" t="str" cm="1">
        <f t="array" ref="B395">_xlfn.IFS(Table1[[#This Row],[Age]]&lt;30,"Under 30",Table1[[#This Row],[Age]]&lt;=40,"30-40",Table1[[#This Row],[Age]]&lt;=50,"41-50",Table1[[#This Row],[Age]]&gt;50,"Over 50")</f>
        <v>30-40</v>
      </c>
      <c r="C395" t="s">
        <v>43</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t="str" cm="1">
        <f t="array" ref="AH395">_xlfn.IFS(Table1[[#This Row],[YearsAtCompany]]&lt;=2,"0-2 years",Table1[[#This Row],[YearsAtCompany]]&lt;=5,"3-5 years",Table1[[#This Row],[YearsAtCompany]]&lt;=10,"6-10 years",Table1[[#This Row],[YearsAtCompany]]&gt;10,"10+ years")</f>
        <v>3-5 years</v>
      </c>
      <c r="AI395">
        <v>2</v>
      </c>
      <c r="AJ395">
        <v>1</v>
      </c>
      <c r="AK395">
        <v>2</v>
      </c>
      <c r="AL395" t="str" cm="1">
        <f t="array" ref="AL395">_xlfn.IFS(Table1[[#This Row],[JobSatisfaction]]=1,"Low",Table1[[#This Row],[JobSatisfaction]]=2,"Medium",Table1[[#This Row],[JobSatisfaction]]=3,"High",Table1[[#This Row],[JobSatisfaction]]=4,"Very High")</f>
        <v>High</v>
      </c>
      <c r="AM395">
        <f>IF(Table1[[#This Row],[Attrition]]="Yes",1,0)</f>
        <v>0</v>
      </c>
    </row>
    <row r="396" spans="1:39" ht="13.8" x14ac:dyDescent="0.25">
      <c r="A396">
        <v>31</v>
      </c>
      <c r="B396" t="str" cm="1">
        <f t="array" ref="B396">_xlfn.IFS(Table1[[#This Row],[Age]]&lt;30,"Under 30",Table1[[#This Row],[Age]]&lt;=40,"30-40",Table1[[#This Row],[Age]]&lt;=50,"41-50",Table1[[#This Row],[Age]]&gt;50,"Over 50")</f>
        <v>30-40</v>
      </c>
      <c r="C396" t="s">
        <v>43</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t="str" cm="1">
        <f t="array" ref="AH396">_xlfn.IFS(Table1[[#This Row],[YearsAtCompany]]&lt;=2,"0-2 years",Table1[[#This Row],[YearsAtCompany]]&lt;=5,"3-5 years",Table1[[#This Row],[YearsAtCompany]]&lt;=10,"6-10 years",Table1[[#This Row],[YearsAtCompany]]&gt;10,"10+ years")</f>
        <v>10+ years</v>
      </c>
      <c r="AI396">
        <v>10</v>
      </c>
      <c r="AJ396">
        <v>3</v>
      </c>
      <c r="AK396">
        <v>12</v>
      </c>
      <c r="AL396" t="str" cm="1">
        <f t="array" ref="AL396">_xlfn.IFS(Table1[[#This Row],[JobSatisfaction]]=1,"Low",Table1[[#This Row],[JobSatisfaction]]=2,"Medium",Table1[[#This Row],[JobSatisfaction]]=3,"High",Table1[[#This Row],[JobSatisfaction]]=4,"Very High")</f>
        <v>Low</v>
      </c>
      <c r="AM396">
        <f>IF(Table1[[#This Row],[Attrition]]="Yes",1,0)</f>
        <v>0</v>
      </c>
    </row>
    <row r="397" spans="1:39" ht="13.8" x14ac:dyDescent="0.25">
      <c r="A397">
        <v>43</v>
      </c>
      <c r="B397" t="str" cm="1">
        <f t="array" ref="B397">_xlfn.IFS(Table1[[#This Row],[Age]]&lt;30,"Under 30",Table1[[#This Row],[Age]]&lt;=40,"30-40",Table1[[#This Row],[Age]]&lt;=50,"41-50",Table1[[#This Row],[Age]]&gt;50,"Over 50")</f>
        <v>41-50</v>
      </c>
      <c r="C397" t="s">
        <v>43</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t="str" cm="1">
        <f t="array" ref="AH397">_xlfn.IFS(Table1[[#This Row],[YearsAtCompany]]&lt;=2,"0-2 years",Table1[[#This Row],[YearsAtCompany]]&lt;=5,"3-5 years",Table1[[#This Row],[YearsAtCompany]]&lt;=10,"6-10 years",Table1[[#This Row],[YearsAtCompany]]&gt;10,"10+ years")</f>
        <v>3-5 years</v>
      </c>
      <c r="AI397">
        <v>2</v>
      </c>
      <c r="AJ397">
        <v>1</v>
      </c>
      <c r="AK397">
        <v>2</v>
      </c>
      <c r="AL397" t="str" cm="1">
        <f t="array" ref="AL397">_xlfn.IFS(Table1[[#This Row],[JobSatisfaction]]=1,"Low",Table1[[#This Row],[JobSatisfaction]]=2,"Medium",Table1[[#This Row],[JobSatisfaction]]=3,"High",Table1[[#This Row],[JobSatisfaction]]=4,"Very High")</f>
        <v>Very High</v>
      </c>
      <c r="AM397">
        <f>IF(Table1[[#This Row],[Attrition]]="Yes",1,0)</f>
        <v>0</v>
      </c>
    </row>
    <row r="398" spans="1:39" ht="13.8" x14ac:dyDescent="0.25">
      <c r="A398">
        <v>43</v>
      </c>
      <c r="B398" t="str" cm="1">
        <f t="array" ref="B398">_xlfn.IFS(Table1[[#This Row],[Age]]&lt;30,"Under 30",Table1[[#This Row],[Age]]&lt;=40,"30-40",Table1[[#This Row],[Age]]&lt;=50,"41-50",Table1[[#This Row],[Age]]&gt;50,"Over 50")</f>
        <v>41-50</v>
      </c>
      <c r="C398" t="s">
        <v>43</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t="str" cm="1">
        <f t="array" ref="AH398">_xlfn.IFS(Table1[[#This Row],[YearsAtCompany]]&lt;=2,"0-2 years",Table1[[#This Row],[YearsAtCompany]]&lt;=5,"3-5 years",Table1[[#This Row],[YearsAtCompany]]&lt;=10,"6-10 years",Table1[[#This Row],[YearsAtCompany]]&gt;10,"10+ years")</f>
        <v>3-5 years</v>
      </c>
      <c r="AI398">
        <v>2</v>
      </c>
      <c r="AJ398">
        <v>0</v>
      </c>
      <c r="AK398">
        <v>2</v>
      </c>
      <c r="AL398" t="str" cm="1">
        <f t="array" ref="AL398">_xlfn.IFS(Table1[[#This Row],[JobSatisfaction]]=1,"Low",Table1[[#This Row],[JobSatisfaction]]=2,"Medium",Table1[[#This Row],[JobSatisfaction]]=3,"High",Table1[[#This Row],[JobSatisfaction]]=4,"Very High")</f>
        <v>High</v>
      </c>
      <c r="AM398">
        <f>IF(Table1[[#This Row],[Attrition]]="Yes",1,0)</f>
        <v>0</v>
      </c>
    </row>
    <row r="399" spans="1:39" ht="13.8" x14ac:dyDescent="0.25">
      <c r="A399">
        <v>25</v>
      </c>
      <c r="B399" t="str" cm="1">
        <f t="array" ref="B399">_xlfn.IFS(Table1[[#This Row],[Age]]&lt;30,"Under 30",Table1[[#This Row],[Age]]&lt;=40,"30-40",Table1[[#This Row],[Age]]&lt;=50,"41-50",Table1[[#This Row],[Age]]&gt;50,"Over 50")</f>
        <v>Under 30</v>
      </c>
      <c r="C399" t="s">
        <v>43</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t="str" cm="1">
        <f t="array" ref="AH399">_xlfn.IFS(Table1[[#This Row],[YearsAtCompany]]&lt;=2,"0-2 years",Table1[[#This Row],[YearsAtCompany]]&lt;=5,"3-5 years",Table1[[#This Row],[YearsAtCompany]]&lt;=10,"6-10 years",Table1[[#This Row],[YearsAtCompany]]&gt;10,"10+ years")</f>
        <v>3-5 years</v>
      </c>
      <c r="AI399">
        <v>4</v>
      </c>
      <c r="AJ399">
        <v>1</v>
      </c>
      <c r="AK399">
        <v>3</v>
      </c>
      <c r="AL399" t="str" cm="1">
        <f t="array" ref="AL399">_xlfn.IFS(Table1[[#This Row],[JobSatisfaction]]=1,"Low",Table1[[#This Row],[JobSatisfaction]]=2,"Medium",Table1[[#This Row],[JobSatisfaction]]=3,"High",Table1[[#This Row],[JobSatisfaction]]=4,"Very High")</f>
        <v>Very High</v>
      </c>
      <c r="AM399">
        <f>IF(Table1[[#This Row],[Attrition]]="Yes",1,0)</f>
        <v>0</v>
      </c>
    </row>
    <row r="400" spans="1:39" ht="13.8" x14ac:dyDescent="0.25">
      <c r="A400">
        <v>37</v>
      </c>
      <c r="B400" t="str" cm="1">
        <f t="array" ref="B400">_xlfn.IFS(Table1[[#This Row],[Age]]&lt;30,"Under 30",Table1[[#This Row],[Age]]&lt;=40,"30-40",Table1[[#This Row],[Age]]&lt;=50,"41-50",Table1[[#This Row],[Age]]&gt;50,"Over 50")</f>
        <v>30-40</v>
      </c>
      <c r="C400" t="s">
        <v>43</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t="str" cm="1">
        <f t="array" ref="AH400">_xlfn.IFS(Table1[[#This Row],[YearsAtCompany]]&lt;=2,"0-2 years",Table1[[#This Row],[YearsAtCompany]]&lt;=5,"3-5 years",Table1[[#This Row],[YearsAtCompany]]&lt;=10,"6-10 years",Table1[[#This Row],[YearsAtCompany]]&gt;10,"10+ years")</f>
        <v>10+ years</v>
      </c>
      <c r="AI400">
        <v>11</v>
      </c>
      <c r="AJ400">
        <v>10</v>
      </c>
      <c r="AK400">
        <v>7</v>
      </c>
      <c r="AL400" t="str" cm="1">
        <f t="array" ref="AL400">_xlfn.IFS(Table1[[#This Row],[JobSatisfaction]]=1,"Low",Table1[[#This Row],[JobSatisfaction]]=2,"Medium",Table1[[#This Row],[JobSatisfaction]]=3,"High",Table1[[#This Row],[JobSatisfaction]]=4,"Very High")</f>
        <v>High</v>
      </c>
      <c r="AM400">
        <f>IF(Table1[[#This Row],[Attrition]]="Yes",1,0)</f>
        <v>0</v>
      </c>
    </row>
    <row r="401" spans="1:39" ht="13.8" x14ac:dyDescent="0.25">
      <c r="A401">
        <v>31</v>
      </c>
      <c r="B401" t="str" cm="1">
        <f t="array" ref="B401">_xlfn.IFS(Table1[[#This Row],[Age]]&lt;30,"Under 30",Table1[[#This Row],[Age]]&lt;=40,"30-40",Table1[[#This Row],[Age]]&lt;=50,"41-50",Table1[[#This Row],[Age]]&gt;50,"Over 50")</f>
        <v>30-40</v>
      </c>
      <c r="C401" t="s">
        <v>43</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t="str" cm="1">
        <f t="array" ref="AH401">_xlfn.IFS(Table1[[#This Row],[YearsAtCompany]]&lt;=2,"0-2 years",Table1[[#This Row],[YearsAtCompany]]&lt;=5,"3-5 years",Table1[[#This Row],[YearsAtCompany]]&lt;=10,"6-10 years",Table1[[#This Row],[YearsAtCompany]]&gt;10,"10+ years")</f>
        <v>3-5 years</v>
      </c>
      <c r="AI401">
        <v>2</v>
      </c>
      <c r="AJ401">
        <v>3</v>
      </c>
      <c r="AK401">
        <v>2</v>
      </c>
      <c r="AL401" t="str" cm="1">
        <f t="array" ref="AL401">_xlfn.IFS(Table1[[#This Row],[JobSatisfaction]]=1,"Low",Table1[[#This Row],[JobSatisfaction]]=2,"Medium",Table1[[#This Row],[JobSatisfaction]]=3,"High",Table1[[#This Row],[JobSatisfaction]]=4,"Very High")</f>
        <v>Low</v>
      </c>
      <c r="AM401">
        <f>IF(Table1[[#This Row],[Attrition]]="Yes",1,0)</f>
        <v>0</v>
      </c>
    </row>
    <row r="402" spans="1:39" ht="13.8" x14ac:dyDescent="0.25">
      <c r="A402">
        <v>39</v>
      </c>
      <c r="B402" t="str" cm="1">
        <f t="array" ref="B402">_xlfn.IFS(Table1[[#This Row],[Age]]&lt;30,"Under 30",Table1[[#This Row],[Age]]&lt;=40,"30-40",Table1[[#This Row],[Age]]&lt;=50,"41-50",Table1[[#This Row],[Age]]&gt;50,"Over 50")</f>
        <v>30-40</v>
      </c>
      <c r="C402" t="s">
        <v>43</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t="str" cm="1">
        <f t="array" ref="AH402">_xlfn.IFS(Table1[[#This Row],[YearsAtCompany]]&lt;=2,"0-2 years",Table1[[#This Row],[YearsAtCompany]]&lt;=5,"3-5 years",Table1[[#This Row],[YearsAtCompany]]&lt;=10,"6-10 years",Table1[[#This Row],[YearsAtCompany]]&gt;10,"10+ years")</f>
        <v>10+ years</v>
      </c>
      <c r="AI402">
        <v>8</v>
      </c>
      <c r="AJ402">
        <v>1</v>
      </c>
      <c r="AK402">
        <v>6</v>
      </c>
      <c r="AL402" t="str" cm="1">
        <f t="array" ref="AL402">_xlfn.IFS(Table1[[#This Row],[JobSatisfaction]]=1,"Low",Table1[[#This Row],[JobSatisfaction]]=2,"Medium",Table1[[#This Row],[JobSatisfaction]]=3,"High",Table1[[#This Row],[JobSatisfaction]]=4,"Very High")</f>
        <v>High</v>
      </c>
      <c r="AM402">
        <f>IF(Table1[[#This Row],[Attrition]]="Yes",1,0)</f>
        <v>0</v>
      </c>
    </row>
    <row r="403" spans="1:39" ht="13.8" x14ac:dyDescent="0.25">
      <c r="A403">
        <v>56</v>
      </c>
      <c r="B403" t="str" cm="1">
        <f t="array" ref="B403">_xlfn.IFS(Table1[[#This Row],[Age]]&lt;30,"Under 30",Table1[[#This Row],[Age]]&lt;=40,"30-40",Table1[[#This Row],[Age]]&lt;=50,"41-50",Table1[[#This Row],[Age]]&gt;50,"Over 50")</f>
        <v>Over 50</v>
      </c>
      <c r="C403" t="s">
        <v>43</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t="str" cm="1">
        <f t="array" ref="AH403">_xlfn.IFS(Table1[[#This Row],[YearsAtCompany]]&lt;=2,"0-2 years",Table1[[#This Row],[YearsAtCompany]]&lt;=5,"3-5 years",Table1[[#This Row],[YearsAtCompany]]&lt;=10,"6-10 years",Table1[[#This Row],[YearsAtCompany]]&gt;10,"10+ years")</f>
        <v>6-10 years</v>
      </c>
      <c r="AI403">
        <v>7</v>
      </c>
      <c r="AJ403">
        <v>7</v>
      </c>
      <c r="AK403">
        <v>7</v>
      </c>
      <c r="AL403" t="str" cm="1">
        <f t="array" ref="AL403">_xlfn.IFS(Table1[[#This Row],[JobSatisfaction]]=1,"Low",Table1[[#This Row],[JobSatisfaction]]=2,"Medium",Table1[[#This Row],[JobSatisfaction]]=3,"High",Table1[[#This Row],[JobSatisfaction]]=4,"Very High")</f>
        <v>Low</v>
      </c>
      <c r="AM403">
        <f>IF(Table1[[#This Row],[Attrition]]="Yes",1,0)</f>
        <v>0</v>
      </c>
    </row>
    <row r="404" spans="1:39" ht="13.8" x14ac:dyDescent="0.25">
      <c r="A404">
        <v>30</v>
      </c>
      <c r="B404" t="str" cm="1">
        <f t="array" ref="B404">_xlfn.IFS(Table1[[#This Row],[Age]]&lt;30,"Under 30",Table1[[#This Row],[Age]]&lt;=40,"30-40",Table1[[#This Row],[Age]]&lt;=50,"41-50",Table1[[#This Row],[Age]]&gt;50,"Over 50")</f>
        <v>30-40</v>
      </c>
      <c r="C404" t="s">
        <v>43</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t="str" cm="1">
        <f t="array" ref="AH404">_xlfn.IFS(Table1[[#This Row],[YearsAtCompany]]&lt;=2,"0-2 years",Table1[[#This Row],[YearsAtCompany]]&lt;=5,"3-5 years",Table1[[#This Row],[YearsAtCompany]]&lt;=10,"6-10 years",Table1[[#This Row],[YearsAtCompany]]&gt;10,"10+ years")</f>
        <v>3-5 years</v>
      </c>
      <c r="AI404">
        <v>4</v>
      </c>
      <c r="AJ404">
        <v>4</v>
      </c>
      <c r="AK404">
        <v>4</v>
      </c>
      <c r="AL404" t="str" cm="1">
        <f t="array" ref="AL404">_xlfn.IFS(Table1[[#This Row],[JobSatisfaction]]=1,"Low",Table1[[#This Row],[JobSatisfaction]]=2,"Medium",Table1[[#This Row],[JobSatisfaction]]=3,"High",Table1[[#This Row],[JobSatisfaction]]=4,"Very High")</f>
        <v>High</v>
      </c>
      <c r="AM404">
        <f>IF(Table1[[#This Row],[Attrition]]="Yes",1,0)</f>
        <v>0</v>
      </c>
    </row>
    <row r="405" spans="1:39" ht="13.8" x14ac:dyDescent="0.25">
      <c r="A405">
        <v>41</v>
      </c>
      <c r="B405" t="str" cm="1">
        <f t="array" ref="B405">_xlfn.IFS(Table1[[#This Row],[Age]]&lt;30,"Under 30",Table1[[#This Row],[Age]]&lt;=40,"30-40",Table1[[#This Row],[Age]]&lt;=50,"41-50",Table1[[#This Row],[Age]]&gt;50,"Over 50")</f>
        <v>41-50</v>
      </c>
      <c r="C405" t="s">
        <v>43</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t="str" cm="1">
        <f t="array" ref="AH405">_xlfn.IFS(Table1[[#This Row],[YearsAtCompany]]&lt;=2,"0-2 years",Table1[[#This Row],[YearsAtCompany]]&lt;=5,"3-5 years",Table1[[#This Row],[YearsAtCompany]]&lt;=10,"6-10 years",Table1[[#This Row],[YearsAtCompany]]&gt;10,"10+ years")</f>
        <v>6-10 years</v>
      </c>
      <c r="AI405">
        <v>7</v>
      </c>
      <c r="AJ405">
        <v>0</v>
      </c>
      <c r="AK405">
        <v>7</v>
      </c>
      <c r="AL405" t="str" cm="1">
        <f t="array" ref="AL405">_xlfn.IFS(Table1[[#This Row],[JobSatisfaction]]=1,"Low",Table1[[#This Row],[JobSatisfaction]]=2,"Medium",Table1[[#This Row],[JobSatisfaction]]=3,"High",Table1[[#This Row],[JobSatisfaction]]=4,"Very High")</f>
        <v>Low</v>
      </c>
      <c r="AM405">
        <f>IF(Table1[[#This Row],[Attrition]]="Yes",1,0)</f>
        <v>0</v>
      </c>
    </row>
    <row r="406" spans="1:39" ht="13.8" x14ac:dyDescent="0.25">
      <c r="A406">
        <v>28</v>
      </c>
      <c r="B406" t="str" cm="1">
        <f t="array" ref="B406">_xlfn.IFS(Table1[[#This Row],[Age]]&lt;30,"Under 30",Table1[[#This Row],[Age]]&lt;=40,"30-40",Table1[[#This Row],[Age]]&lt;=50,"41-50",Table1[[#This Row],[Age]]&gt;50,"Over 50")</f>
        <v>Under 30</v>
      </c>
      <c r="C406" t="s">
        <v>43</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t="str" cm="1">
        <f t="array" ref="AH406">_xlfn.IFS(Table1[[#This Row],[YearsAtCompany]]&lt;=2,"0-2 years",Table1[[#This Row],[YearsAtCompany]]&lt;=5,"3-5 years",Table1[[#This Row],[YearsAtCompany]]&lt;=10,"6-10 years",Table1[[#This Row],[YearsAtCompany]]&gt;10,"10+ years")</f>
        <v>6-10 years</v>
      </c>
      <c r="AI406">
        <v>0</v>
      </c>
      <c r="AJ406">
        <v>1</v>
      </c>
      <c r="AK406">
        <v>8</v>
      </c>
      <c r="AL406" t="str" cm="1">
        <f t="array" ref="AL406">_xlfn.IFS(Table1[[#This Row],[JobSatisfaction]]=1,"Low",Table1[[#This Row],[JobSatisfaction]]=2,"Medium",Table1[[#This Row],[JobSatisfaction]]=3,"High",Table1[[#This Row],[JobSatisfaction]]=4,"Very High")</f>
        <v>Low</v>
      </c>
      <c r="AM406">
        <f>IF(Table1[[#This Row],[Attrition]]="Yes",1,0)</f>
        <v>0</v>
      </c>
    </row>
    <row r="407" spans="1:39" ht="13.8" x14ac:dyDescent="0.25">
      <c r="A407">
        <v>25</v>
      </c>
      <c r="B407" t="str" cm="1">
        <f t="array" ref="B407">_xlfn.IFS(Table1[[#This Row],[Age]]&lt;30,"Under 30",Table1[[#This Row],[Age]]&lt;=40,"30-40",Table1[[#This Row],[Age]]&lt;=50,"41-50",Table1[[#This Row],[Age]]&gt;50,"Over 50")</f>
        <v>Under 30</v>
      </c>
      <c r="C407" t="s">
        <v>35</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t="str" cm="1">
        <f t="array" ref="AH407">_xlfn.IFS(Table1[[#This Row],[YearsAtCompany]]&lt;=2,"0-2 years",Table1[[#This Row],[YearsAtCompany]]&lt;=5,"3-5 years",Table1[[#This Row],[YearsAtCompany]]&lt;=10,"6-10 years",Table1[[#This Row],[YearsAtCompany]]&gt;10,"10+ years")</f>
        <v>0-2 years</v>
      </c>
      <c r="AI407">
        <v>2</v>
      </c>
      <c r="AJ407">
        <v>0</v>
      </c>
      <c r="AK407">
        <v>2</v>
      </c>
      <c r="AL407" t="str" cm="1">
        <f t="array" ref="AL407">_xlfn.IFS(Table1[[#This Row],[JobSatisfaction]]=1,"Low",Table1[[#This Row],[JobSatisfaction]]=2,"Medium",Table1[[#This Row],[JobSatisfaction]]=3,"High",Table1[[#This Row],[JobSatisfaction]]=4,"Very High")</f>
        <v>Low</v>
      </c>
      <c r="AM407">
        <f>IF(Table1[[#This Row],[Attrition]]="Yes",1,0)</f>
        <v>1</v>
      </c>
    </row>
    <row r="408" spans="1:39" ht="13.8" x14ac:dyDescent="0.25">
      <c r="A408">
        <v>52</v>
      </c>
      <c r="B408" t="str" cm="1">
        <f t="array" ref="B408">_xlfn.IFS(Table1[[#This Row],[Age]]&lt;30,"Under 30",Table1[[#This Row],[Age]]&lt;=40,"30-40",Table1[[#This Row],[Age]]&lt;=50,"41-50",Table1[[#This Row],[Age]]&gt;50,"Over 50")</f>
        <v>Over 50</v>
      </c>
      <c r="C408" t="s">
        <v>43</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t="str" cm="1">
        <f t="array" ref="AH408">_xlfn.IFS(Table1[[#This Row],[YearsAtCompany]]&lt;=2,"0-2 years",Table1[[#This Row],[YearsAtCompany]]&lt;=5,"3-5 years",Table1[[#This Row],[YearsAtCompany]]&lt;=10,"6-10 years",Table1[[#This Row],[YearsAtCompany]]&gt;10,"10+ years")</f>
        <v>3-5 years</v>
      </c>
      <c r="AI408">
        <v>4</v>
      </c>
      <c r="AJ408">
        <v>0</v>
      </c>
      <c r="AK408">
        <v>4</v>
      </c>
      <c r="AL408" t="str" cm="1">
        <f t="array" ref="AL408">_xlfn.IFS(Table1[[#This Row],[JobSatisfaction]]=1,"Low",Table1[[#This Row],[JobSatisfaction]]=2,"Medium",Table1[[#This Row],[JobSatisfaction]]=3,"High",Table1[[#This Row],[JobSatisfaction]]=4,"Very High")</f>
        <v>High</v>
      </c>
      <c r="AM408">
        <f>IF(Table1[[#This Row],[Attrition]]="Yes",1,0)</f>
        <v>0</v>
      </c>
    </row>
    <row r="409" spans="1:39" ht="13.8" x14ac:dyDescent="0.25">
      <c r="A409">
        <v>45</v>
      </c>
      <c r="B409" t="str" cm="1">
        <f t="array" ref="B409">_xlfn.IFS(Table1[[#This Row],[Age]]&lt;30,"Under 30",Table1[[#This Row],[Age]]&lt;=40,"30-40",Table1[[#This Row],[Age]]&lt;=50,"41-50",Table1[[#This Row],[Age]]&gt;50,"Over 50")</f>
        <v>41-50</v>
      </c>
      <c r="C409" t="s">
        <v>43</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t="str" cm="1">
        <f t="array" ref="AH409">_xlfn.IFS(Table1[[#This Row],[YearsAtCompany]]&lt;=2,"0-2 years",Table1[[#This Row],[YearsAtCompany]]&lt;=5,"3-5 years",Table1[[#This Row],[YearsAtCompany]]&lt;=10,"6-10 years",Table1[[#This Row],[YearsAtCompany]]&gt;10,"10+ years")</f>
        <v>0-2 years</v>
      </c>
      <c r="AI409">
        <v>2</v>
      </c>
      <c r="AJ409">
        <v>0</v>
      </c>
      <c r="AK409">
        <v>2</v>
      </c>
      <c r="AL409" t="str" cm="1">
        <f t="array" ref="AL409">_xlfn.IFS(Table1[[#This Row],[JobSatisfaction]]=1,"Low",Table1[[#This Row],[JobSatisfaction]]=2,"Medium",Table1[[#This Row],[JobSatisfaction]]=3,"High",Table1[[#This Row],[JobSatisfaction]]=4,"Very High")</f>
        <v>Very High</v>
      </c>
      <c r="AM409">
        <f>IF(Table1[[#This Row],[Attrition]]="Yes",1,0)</f>
        <v>0</v>
      </c>
    </row>
    <row r="410" spans="1:39" ht="13.8" x14ac:dyDescent="0.25">
      <c r="A410">
        <v>52</v>
      </c>
      <c r="B410" t="str" cm="1">
        <f t="array" ref="B410">_xlfn.IFS(Table1[[#This Row],[Age]]&lt;30,"Under 30",Table1[[#This Row],[Age]]&lt;=40,"30-40",Table1[[#This Row],[Age]]&lt;=50,"41-50",Table1[[#This Row],[Age]]&gt;50,"Over 50")</f>
        <v>Over 50</v>
      </c>
      <c r="C410" t="s">
        <v>43</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t="str" cm="1">
        <f t="array" ref="AH410">_xlfn.IFS(Table1[[#This Row],[YearsAtCompany]]&lt;=2,"0-2 years",Table1[[#This Row],[YearsAtCompany]]&lt;=5,"3-5 years",Table1[[#This Row],[YearsAtCompany]]&lt;=10,"6-10 years",Table1[[#This Row],[YearsAtCompany]]&gt;10,"10+ years")</f>
        <v>3-5 years</v>
      </c>
      <c r="AI410">
        <v>2</v>
      </c>
      <c r="AJ410">
        <v>1</v>
      </c>
      <c r="AK410">
        <v>4</v>
      </c>
      <c r="AL410" t="str" cm="1">
        <f t="array" ref="AL410">_xlfn.IFS(Table1[[#This Row],[JobSatisfaction]]=1,"Low",Table1[[#This Row],[JobSatisfaction]]=2,"Medium",Table1[[#This Row],[JobSatisfaction]]=3,"High",Table1[[#This Row],[JobSatisfaction]]=4,"Very High")</f>
        <v>Very High</v>
      </c>
      <c r="AM410">
        <f>IF(Table1[[#This Row],[Attrition]]="Yes",1,0)</f>
        <v>0</v>
      </c>
    </row>
    <row r="411" spans="1:39" ht="13.8" x14ac:dyDescent="0.25">
      <c r="A411">
        <v>42</v>
      </c>
      <c r="B411" t="str" cm="1">
        <f t="array" ref="B411">_xlfn.IFS(Table1[[#This Row],[Age]]&lt;30,"Under 30",Table1[[#This Row],[Age]]&lt;=40,"30-40",Table1[[#This Row],[Age]]&lt;=50,"41-50",Table1[[#This Row],[Age]]&gt;50,"Over 50")</f>
        <v>41-50</v>
      </c>
      <c r="C411" t="s">
        <v>43</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t="str" cm="1">
        <f t="array" ref="AH411">_xlfn.IFS(Table1[[#This Row],[YearsAtCompany]]&lt;=2,"0-2 years",Table1[[#This Row],[YearsAtCompany]]&lt;=5,"3-5 years",Table1[[#This Row],[YearsAtCompany]]&lt;=10,"6-10 years",Table1[[#This Row],[YearsAtCompany]]&gt;10,"10+ years")</f>
        <v>3-5 years</v>
      </c>
      <c r="AI411">
        <v>4</v>
      </c>
      <c r="AJ411">
        <v>0</v>
      </c>
      <c r="AK411">
        <v>2</v>
      </c>
      <c r="AL411" t="str" cm="1">
        <f t="array" ref="AL411">_xlfn.IFS(Table1[[#This Row],[JobSatisfaction]]=1,"Low",Table1[[#This Row],[JobSatisfaction]]=2,"Medium",Table1[[#This Row],[JobSatisfaction]]=3,"High",Table1[[#This Row],[JobSatisfaction]]=4,"Very High")</f>
        <v>High</v>
      </c>
      <c r="AM411">
        <f>IF(Table1[[#This Row],[Attrition]]="Yes",1,0)</f>
        <v>0</v>
      </c>
    </row>
    <row r="412" spans="1:39" ht="13.8" x14ac:dyDescent="0.25">
      <c r="A412">
        <v>30</v>
      </c>
      <c r="B412" t="str" cm="1">
        <f t="array" ref="B412">_xlfn.IFS(Table1[[#This Row],[Age]]&lt;30,"Under 30",Table1[[#This Row],[Age]]&lt;=40,"30-40",Table1[[#This Row],[Age]]&lt;=50,"41-50",Table1[[#This Row],[Age]]&gt;50,"Over 50")</f>
        <v>30-40</v>
      </c>
      <c r="C412" t="s">
        <v>43</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t="str" cm="1">
        <f t="array" ref="AH412">_xlfn.IFS(Table1[[#This Row],[YearsAtCompany]]&lt;=2,"0-2 years",Table1[[#This Row],[YearsAtCompany]]&lt;=5,"3-5 years",Table1[[#This Row],[YearsAtCompany]]&lt;=10,"6-10 years",Table1[[#This Row],[YearsAtCompany]]&gt;10,"10+ years")</f>
        <v>3-5 years</v>
      </c>
      <c r="AI412">
        <v>4</v>
      </c>
      <c r="AJ412">
        <v>0</v>
      </c>
      <c r="AK412">
        <v>2</v>
      </c>
      <c r="AL412" t="str" cm="1">
        <f t="array" ref="AL412">_xlfn.IFS(Table1[[#This Row],[JobSatisfaction]]=1,"Low",Table1[[#This Row],[JobSatisfaction]]=2,"Medium",Table1[[#This Row],[JobSatisfaction]]=3,"High",Table1[[#This Row],[JobSatisfaction]]=4,"Very High")</f>
        <v>Very High</v>
      </c>
      <c r="AM412">
        <f>IF(Table1[[#This Row],[Attrition]]="Yes",1,0)</f>
        <v>0</v>
      </c>
    </row>
    <row r="413" spans="1:39" ht="13.8" x14ac:dyDescent="0.25">
      <c r="A413">
        <v>60</v>
      </c>
      <c r="B413" t="str" cm="1">
        <f t="array" ref="B413">_xlfn.IFS(Table1[[#This Row],[Age]]&lt;30,"Under 30",Table1[[#This Row],[Age]]&lt;=40,"30-40",Table1[[#This Row],[Age]]&lt;=50,"41-50",Table1[[#This Row],[Age]]&gt;50,"Over 50")</f>
        <v>Over 50</v>
      </c>
      <c r="C413" t="s">
        <v>43</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t="str" cm="1">
        <f t="array" ref="AH413">_xlfn.IFS(Table1[[#This Row],[YearsAtCompany]]&lt;=2,"0-2 years",Table1[[#This Row],[YearsAtCompany]]&lt;=5,"3-5 years",Table1[[#This Row],[YearsAtCompany]]&lt;=10,"6-10 years",Table1[[#This Row],[YearsAtCompany]]&gt;10,"10+ years")</f>
        <v>10+ years</v>
      </c>
      <c r="AI413">
        <v>8</v>
      </c>
      <c r="AJ413">
        <v>11</v>
      </c>
      <c r="AK413">
        <v>10</v>
      </c>
      <c r="AL413" t="str" cm="1">
        <f t="array" ref="AL413">_xlfn.IFS(Table1[[#This Row],[JobSatisfaction]]=1,"Low",Table1[[#This Row],[JobSatisfaction]]=2,"Medium",Table1[[#This Row],[JobSatisfaction]]=3,"High",Table1[[#This Row],[JobSatisfaction]]=4,"Very High")</f>
        <v>Low</v>
      </c>
      <c r="AM413">
        <f>IF(Table1[[#This Row],[Attrition]]="Yes",1,0)</f>
        <v>0</v>
      </c>
    </row>
    <row r="414" spans="1:39" ht="13.8" x14ac:dyDescent="0.25">
      <c r="A414">
        <v>46</v>
      </c>
      <c r="B414" t="str" cm="1">
        <f t="array" ref="B414">_xlfn.IFS(Table1[[#This Row],[Age]]&lt;30,"Under 30",Table1[[#This Row],[Age]]&lt;=40,"30-40",Table1[[#This Row],[Age]]&lt;=50,"41-50",Table1[[#This Row],[Age]]&gt;50,"Over 50")</f>
        <v>41-50</v>
      </c>
      <c r="C414" t="s">
        <v>43</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t="str" cm="1">
        <f t="array" ref="AH414">_xlfn.IFS(Table1[[#This Row],[YearsAtCompany]]&lt;=2,"0-2 years",Table1[[#This Row],[YearsAtCompany]]&lt;=5,"3-5 years",Table1[[#This Row],[YearsAtCompany]]&lt;=10,"6-10 years",Table1[[#This Row],[YearsAtCompany]]&gt;10,"10+ years")</f>
        <v>6-10 years</v>
      </c>
      <c r="AI414">
        <v>7</v>
      </c>
      <c r="AJ414">
        <v>0</v>
      </c>
      <c r="AK414">
        <v>8</v>
      </c>
      <c r="AL414" t="str" cm="1">
        <f t="array" ref="AL414">_xlfn.IFS(Table1[[#This Row],[JobSatisfaction]]=1,"Low",Table1[[#This Row],[JobSatisfaction]]=2,"Medium",Table1[[#This Row],[JobSatisfaction]]=3,"High",Table1[[#This Row],[JobSatisfaction]]=4,"Very High")</f>
        <v>High</v>
      </c>
      <c r="AM414">
        <f>IF(Table1[[#This Row],[Attrition]]="Yes",1,0)</f>
        <v>0</v>
      </c>
    </row>
    <row r="415" spans="1:39" ht="13.8" x14ac:dyDescent="0.25">
      <c r="A415">
        <v>42</v>
      </c>
      <c r="B415" t="str" cm="1">
        <f t="array" ref="B415">_xlfn.IFS(Table1[[#This Row],[Age]]&lt;30,"Under 30",Table1[[#This Row],[Age]]&lt;=40,"30-40",Table1[[#This Row],[Age]]&lt;=50,"41-50",Table1[[#This Row],[Age]]&gt;50,"Over 50")</f>
        <v>41-50</v>
      </c>
      <c r="C415" t="s">
        <v>43</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t="str" cm="1">
        <f t="array" ref="AH415">_xlfn.IFS(Table1[[#This Row],[YearsAtCompany]]&lt;=2,"0-2 years",Table1[[#This Row],[YearsAtCompany]]&lt;=5,"3-5 years",Table1[[#This Row],[YearsAtCompany]]&lt;=10,"6-10 years",Table1[[#This Row],[YearsAtCompany]]&gt;10,"10+ years")</f>
        <v>6-10 years</v>
      </c>
      <c r="AI415">
        <v>5</v>
      </c>
      <c r="AJ415">
        <v>0</v>
      </c>
      <c r="AK415">
        <v>4</v>
      </c>
      <c r="AL415" t="str" cm="1">
        <f t="array" ref="AL415">_xlfn.IFS(Table1[[#This Row],[JobSatisfaction]]=1,"Low",Table1[[#This Row],[JobSatisfaction]]=2,"Medium",Table1[[#This Row],[JobSatisfaction]]=3,"High",Table1[[#This Row],[JobSatisfaction]]=4,"Very High")</f>
        <v>Very High</v>
      </c>
      <c r="AM415">
        <f>IF(Table1[[#This Row],[Attrition]]="Yes",1,0)</f>
        <v>0</v>
      </c>
    </row>
    <row r="416" spans="1:39" ht="13.8" x14ac:dyDescent="0.25">
      <c r="A416">
        <v>24</v>
      </c>
      <c r="B416" t="str" cm="1">
        <f t="array" ref="B416">_xlfn.IFS(Table1[[#This Row],[Age]]&lt;30,"Under 30",Table1[[#This Row],[Age]]&lt;=40,"30-40",Table1[[#This Row],[Age]]&lt;=50,"41-50",Table1[[#This Row],[Age]]&gt;50,"Over 50")</f>
        <v>Under 30</v>
      </c>
      <c r="C416" t="s">
        <v>35</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t="str" cm="1">
        <f t="array" ref="AH416">_xlfn.IFS(Table1[[#This Row],[YearsAtCompany]]&lt;=2,"0-2 years",Table1[[#This Row],[YearsAtCompany]]&lt;=5,"3-5 years",Table1[[#This Row],[YearsAtCompany]]&lt;=10,"6-10 years",Table1[[#This Row],[YearsAtCompany]]&gt;10,"10+ years")</f>
        <v>3-5 years</v>
      </c>
      <c r="AI416">
        <v>3</v>
      </c>
      <c r="AJ416">
        <v>1</v>
      </c>
      <c r="AK416">
        <v>4</v>
      </c>
      <c r="AL416" t="str" cm="1">
        <f t="array" ref="AL416">_xlfn.IFS(Table1[[#This Row],[JobSatisfaction]]=1,"Low",Table1[[#This Row],[JobSatisfaction]]=2,"Medium",Table1[[#This Row],[JobSatisfaction]]=3,"High",Table1[[#This Row],[JobSatisfaction]]=4,"Very High")</f>
        <v>Medium</v>
      </c>
      <c r="AM416">
        <f>IF(Table1[[#This Row],[Attrition]]="Yes",1,0)</f>
        <v>1</v>
      </c>
    </row>
    <row r="417" spans="1:39" ht="13.8" x14ac:dyDescent="0.25">
      <c r="A417">
        <v>34</v>
      </c>
      <c r="B417" t="str" cm="1">
        <f t="array" ref="B417">_xlfn.IFS(Table1[[#This Row],[Age]]&lt;30,"Under 30",Table1[[#This Row],[Age]]&lt;=40,"30-40",Table1[[#This Row],[Age]]&lt;=50,"41-50",Table1[[#This Row],[Age]]&gt;50,"Over 50")</f>
        <v>30-40</v>
      </c>
      <c r="C417" t="s">
        <v>35</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t="str" cm="1">
        <f t="array" ref="AH417">_xlfn.IFS(Table1[[#This Row],[YearsAtCompany]]&lt;=2,"0-2 years",Table1[[#This Row],[YearsAtCompany]]&lt;=5,"3-5 years",Table1[[#This Row],[YearsAtCompany]]&lt;=10,"6-10 years",Table1[[#This Row],[YearsAtCompany]]&gt;10,"10+ years")</f>
        <v>0-2 years</v>
      </c>
      <c r="AI417">
        <v>2</v>
      </c>
      <c r="AJ417">
        <v>1</v>
      </c>
      <c r="AK417">
        <v>0</v>
      </c>
      <c r="AL417" t="str" cm="1">
        <f t="array" ref="AL417">_xlfn.IFS(Table1[[#This Row],[JobSatisfaction]]=1,"Low",Table1[[#This Row],[JobSatisfaction]]=2,"Medium",Table1[[#This Row],[JobSatisfaction]]=3,"High",Table1[[#This Row],[JobSatisfaction]]=4,"Very High")</f>
        <v>High</v>
      </c>
      <c r="AM417">
        <f>IF(Table1[[#This Row],[Attrition]]="Yes",1,0)</f>
        <v>1</v>
      </c>
    </row>
    <row r="418" spans="1:39" ht="13.8" x14ac:dyDescent="0.25">
      <c r="A418">
        <v>38</v>
      </c>
      <c r="B418" t="str" cm="1">
        <f t="array" ref="B418">_xlfn.IFS(Table1[[#This Row],[Age]]&lt;30,"Under 30",Table1[[#This Row],[Age]]&lt;=40,"30-40",Table1[[#This Row],[Age]]&lt;=50,"41-50",Table1[[#This Row],[Age]]&gt;50,"Over 50")</f>
        <v>30-40</v>
      </c>
      <c r="C418" t="s">
        <v>43</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t="str" cm="1">
        <f t="array" ref="AH418">_xlfn.IFS(Table1[[#This Row],[YearsAtCompany]]&lt;=2,"0-2 years",Table1[[#This Row],[YearsAtCompany]]&lt;=5,"3-5 years",Table1[[#This Row],[YearsAtCompany]]&lt;=10,"6-10 years",Table1[[#This Row],[YearsAtCompany]]&gt;10,"10+ years")</f>
        <v>0-2 years</v>
      </c>
      <c r="AI418">
        <v>0</v>
      </c>
      <c r="AJ418">
        <v>0</v>
      </c>
      <c r="AK418">
        <v>0</v>
      </c>
      <c r="AL418" t="str" cm="1">
        <f t="array" ref="AL418">_xlfn.IFS(Table1[[#This Row],[JobSatisfaction]]=1,"Low",Table1[[#This Row],[JobSatisfaction]]=2,"Medium",Table1[[#This Row],[JobSatisfaction]]=3,"High",Table1[[#This Row],[JobSatisfaction]]=4,"Very High")</f>
        <v>Very High</v>
      </c>
      <c r="AM418">
        <f>IF(Table1[[#This Row],[Attrition]]="Yes",1,0)</f>
        <v>0</v>
      </c>
    </row>
    <row r="419" spans="1:39" ht="13.8" x14ac:dyDescent="0.25">
      <c r="A419">
        <v>40</v>
      </c>
      <c r="B419" t="str" cm="1">
        <f t="array" ref="B419">_xlfn.IFS(Table1[[#This Row],[Age]]&lt;30,"Under 30",Table1[[#This Row],[Age]]&lt;=40,"30-40",Table1[[#This Row],[Age]]&lt;=50,"41-50",Table1[[#This Row],[Age]]&gt;50,"Over 50")</f>
        <v>30-40</v>
      </c>
      <c r="C419" t="s">
        <v>43</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t="str" cm="1">
        <f t="array" ref="AH419">_xlfn.IFS(Table1[[#This Row],[YearsAtCompany]]&lt;=2,"0-2 years",Table1[[#This Row],[YearsAtCompany]]&lt;=5,"3-5 years",Table1[[#This Row],[YearsAtCompany]]&lt;=10,"6-10 years",Table1[[#This Row],[YearsAtCompany]]&gt;10,"10+ years")</f>
        <v>10+ years</v>
      </c>
      <c r="AI419">
        <v>15</v>
      </c>
      <c r="AJ419">
        <v>1</v>
      </c>
      <c r="AK419">
        <v>12</v>
      </c>
      <c r="AL419" t="str" cm="1">
        <f t="array" ref="AL419">_xlfn.IFS(Table1[[#This Row],[JobSatisfaction]]=1,"Low",Table1[[#This Row],[JobSatisfaction]]=2,"Medium",Table1[[#This Row],[JobSatisfaction]]=3,"High",Table1[[#This Row],[JobSatisfaction]]=4,"Very High")</f>
        <v>High</v>
      </c>
      <c r="AM419">
        <f>IF(Table1[[#This Row],[Attrition]]="Yes",1,0)</f>
        <v>0</v>
      </c>
    </row>
    <row r="420" spans="1:39" ht="13.8" x14ac:dyDescent="0.25">
      <c r="A420">
        <v>26</v>
      </c>
      <c r="B420" t="str" cm="1">
        <f t="array" ref="B420">_xlfn.IFS(Table1[[#This Row],[Age]]&lt;30,"Under 30",Table1[[#This Row],[Age]]&lt;=40,"30-40",Table1[[#This Row],[Age]]&lt;=50,"41-50",Table1[[#This Row],[Age]]&gt;50,"Over 50")</f>
        <v>Under 30</v>
      </c>
      <c r="C420" t="s">
        <v>43</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t="str" cm="1">
        <f t="array" ref="AH420">_xlfn.IFS(Table1[[#This Row],[YearsAtCompany]]&lt;=2,"0-2 years",Table1[[#This Row],[YearsAtCompany]]&lt;=5,"3-5 years",Table1[[#This Row],[YearsAtCompany]]&lt;=10,"6-10 years",Table1[[#This Row],[YearsAtCompany]]&gt;10,"10+ years")</f>
        <v>3-5 years</v>
      </c>
      <c r="AI420">
        <v>2</v>
      </c>
      <c r="AJ420">
        <v>0</v>
      </c>
      <c r="AK420">
        <v>2</v>
      </c>
      <c r="AL420" t="str" cm="1">
        <f t="array" ref="AL420">_xlfn.IFS(Table1[[#This Row],[JobSatisfaction]]=1,"Low",Table1[[#This Row],[JobSatisfaction]]=2,"Medium",Table1[[#This Row],[JobSatisfaction]]=3,"High",Table1[[#This Row],[JobSatisfaction]]=4,"Very High")</f>
        <v>Very High</v>
      </c>
      <c r="AM420">
        <f>IF(Table1[[#This Row],[Attrition]]="Yes",1,0)</f>
        <v>0</v>
      </c>
    </row>
    <row r="421" spans="1:39" ht="13.8" x14ac:dyDescent="0.25">
      <c r="A421">
        <v>30</v>
      </c>
      <c r="B421" t="str" cm="1">
        <f t="array" ref="B421">_xlfn.IFS(Table1[[#This Row],[Age]]&lt;30,"Under 30",Table1[[#This Row],[Age]]&lt;=40,"30-40",Table1[[#This Row],[Age]]&lt;=50,"41-50",Table1[[#This Row],[Age]]&gt;50,"Over 50")</f>
        <v>30-40</v>
      </c>
      <c r="C421" t="s">
        <v>43</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t="str" cm="1">
        <f t="array" ref="AH421">_xlfn.IFS(Table1[[#This Row],[YearsAtCompany]]&lt;=2,"0-2 years",Table1[[#This Row],[YearsAtCompany]]&lt;=5,"3-5 years",Table1[[#This Row],[YearsAtCompany]]&lt;=10,"6-10 years",Table1[[#This Row],[YearsAtCompany]]&gt;10,"10+ years")</f>
        <v>3-5 years</v>
      </c>
      <c r="AI421">
        <v>3</v>
      </c>
      <c r="AJ421">
        <v>1</v>
      </c>
      <c r="AK421">
        <v>4</v>
      </c>
      <c r="AL421" t="str" cm="1">
        <f t="array" ref="AL421">_xlfn.IFS(Table1[[#This Row],[JobSatisfaction]]=1,"Low",Table1[[#This Row],[JobSatisfaction]]=2,"Medium",Table1[[#This Row],[JobSatisfaction]]=3,"High",Table1[[#This Row],[JobSatisfaction]]=4,"Very High")</f>
        <v>Very High</v>
      </c>
      <c r="AM421">
        <f>IF(Table1[[#This Row],[Attrition]]="Yes",1,0)</f>
        <v>0</v>
      </c>
    </row>
    <row r="422" spans="1:39" ht="13.8" x14ac:dyDescent="0.25">
      <c r="A422">
        <v>29</v>
      </c>
      <c r="B422" t="str" cm="1">
        <f t="array" ref="B422">_xlfn.IFS(Table1[[#This Row],[Age]]&lt;30,"Under 30",Table1[[#This Row],[Age]]&lt;=40,"30-40",Table1[[#This Row],[Age]]&lt;=50,"41-50",Table1[[#This Row],[Age]]&gt;50,"Over 50")</f>
        <v>Under 30</v>
      </c>
      <c r="C422" t="s">
        <v>43</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t="str" cm="1">
        <f t="array" ref="AH422">_xlfn.IFS(Table1[[#This Row],[YearsAtCompany]]&lt;=2,"0-2 years",Table1[[#This Row],[YearsAtCompany]]&lt;=5,"3-5 years",Table1[[#This Row],[YearsAtCompany]]&lt;=10,"6-10 years",Table1[[#This Row],[YearsAtCompany]]&gt;10,"10+ years")</f>
        <v>6-10 years</v>
      </c>
      <c r="AI422">
        <v>2</v>
      </c>
      <c r="AJ422">
        <v>0</v>
      </c>
      <c r="AK422">
        <v>7</v>
      </c>
      <c r="AL422" t="str" cm="1">
        <f t="array" ref="AL422">_xlfn.IFS(Table1[[#This Row],[JobSatisfaction]]=1,"Low",Table1[[#This Row],[JobSatisfaction]]=2,"Medium",Table1[[#This Row],[JobSatisfaction]]=3,"High",Table1[[#This Row],[JobSatisfaction]]=4,"Very High")</f>
        <v>High</v>
      </c>
      <c r="AM422">
        <f>IF(Table1[[#This Row],[Attrition]]="Yes",1,0)</f>
        <v>0</v>
      </c>
    </row>
    <row r="423" spans="1:39" ht="13.8" x14ac:dyDescent="0.25">
      <c r="A423">
        <v>29</v>
      </c>
      <c r="B423" t="str" cm="1">
        <f t="array" ref="B423">_xlfn.IFS(Table1[[#This Row],[Age]]&lt;30,"Under 30",Table1[[#This Row],[Age]]&lt;=40,"30-40",Table1[[#This Row],[Age]]&lt;=50,"41-50",Table1[[#This Row],[Age]]&gt;50,"Over 50")</f>
        <v>Under 30</v>
      </c>
      <c r="C423" t="s">
        <v>35</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t="str" cm="1">
        <f t="array" ref="AH423">_xlfn.IFS(Table1[[#This Row],[YearsAtCompany]]&lt;=2,"0-2 years",Table1[[#This Row],[YearsAtCompany]]&lt;=5,"3-5 years",Table1[[#This Row],[YearsAtCompany]]&lt;=10,"6-10 years",Table1[[#This Row],[YearsAtCompany]]&gt;10,"10+ years")</f>
        <v>0-2 years</v>
      </c>
      <c r="AI423">
        <v>2</v>
      </c>
      <c r="AJ423">
        <v>1</v>
      </c>
      <c r="AK423">
        <v>1</v>
      </c>
      <c r="AL423" t="str" cm="1">
        <f t="array" ref="AL423">_xlfn.IFS(Table1[[#This Row],[JobSatisfaction]]=1,"Low",Table1[[#This Row],[JobSatisfaction]]=2,"Medium",Table1[[#This Row],[JobSatisfaction]]=3,"High",Table1[[#This Row],[JobSatisfaction]]=4,"Very High")</f>
        <v>Medium</v>
      </c>
      <c r="AM423">
        <f>IF(Table1[[#This Row],[Attrition]]="Yes",1,0)</f>
        <v>1</v>
      </c>
    </row>
    <row r="424" spans="1:39" ht="13.8" x14ac:dyDescent="0.25">
      <c r="A424">
        <v>19</v>
      </c>
      <c r="B424" t="str" cm="1">
        <f t="array" ref="B424">_xlfn.IFS(Table1[[#This Row],[Age]]&lt;30,"Under 30",Table1[[#This Row],[Age]]&lt;=40,"30-40",Table1[[#This Row],[Age]]&lt;=50,"41-50",Table1[[#This Row],[Age]]&gt;50,"Over 50")</f>
        <v>Under 30</v>
      </c>
      <c r="C424" t="s">
        <v>35</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t="str" cm="1">
        <f t="array" ref="AH424">_xlfn.IFS(Table1[[#This Row],[YearsAtCompany]]&lt;=2,"0-2 years",Table1[[#This Row],[YearsAtCompany]]&lt;=5,"3-5 years",Table1[[#This Row],[YearsAtCompany]]&lt;=10,"6-10 years",Table1[[#This Row],[YearsAtCompany]]&gt;10,"10+ years")</f>
        <v>0-2 years</v>
      </c>
      <c r="AI424">
        <v>0</v>
      </c>
      <c r="AJ424">
        <v>0</v>
      </c>
      <c r="AK424">
        <v>0</v>
      </c>
      <c r="AL424" t="str" cm="1">
        <f t="array" ref="AL424">_xlfn.IFS(Table1[[#This Row],[JobSatisfaction]]=1,"Low",Table1[[#This Row],[JobSatisfaction]]=2,"Medium",Table1[[#This Row],[JobSatisfaction]]=3,"High",Table1[[#This Row],[JobSatisfaction]]=4,"Very High")</f>
        <v>Very High</v>
      </c>
      <c r="AM424">
        <f>IF(Table1[[#This Row],[Attrition]]="Yes",1,0)</f>
        <v>1</v>
      </c>
    </row>
    <row r="425" spans="1:39" ht="13.8" x14ac:dyDescent="0.25">
      <c r="A425">
        <v>30</v>
      </c>
      <c r="B425" t="str" cm="1">
        <f t="array" ref="B425">_xlfn.IFS(Table1[[#This Row],[Age]]&lt;30,"Under 30",Table1[[#This Row],[Age]]&lt;=40,"30-40",Table1[[#This Row],[Age]]&lt;=50,"41-50",Table1[[#This Row],[Age]]&gt;50,"Over 50")</f>
        <v>30-40</v>
      </c>
      <c r="C425" t="s">
        <v>43</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t="str" cm="1">
        <f t="array" ref="AH425">_xlfn.IFS(Table1[[#This Row],[YearsAtCompany]]&lt;=2,"0-2 years",Table1[[#This Row],[YearsAtCompany]]&lt;=5,"3-5 years",Table1[[#This Row],[YearsAtCompany]]&lt;=10,"6-10 years",Table1[[#This Row],[YearsAtCompany]]&gt;10,"10+ years")</f>
        <v>6-10 years</v>
      </c>
      <c r="AI425">
        <v>8</v>
      </c>
      <c r="AJ425">
        <v>7</v>
      </c>
      <c r="AK425">
        <v>8</v>
      </c>
      <c r="AL425" t="str" cm="1">
        <f t="array" ref="AL425">_xlfn.IFS(Table1[[#This Row],[JobSatisfaction]]=1,"Low",Table1[[#This Row],[JobSatisfaction]]=2,"Medium",Table1[[#This Row],[JobSatisfaction]]=3,"High",Table1[[#This Row],[JobSatisfaction]]=4,"Very High")</f>
        <v>Low</v>
      </c>
      <c r="AM425">
        <f>IF(Table1[[#This Row],[Attrition]]="Yes",1,0)</f>
        <v>0</v>
      </c>
    </row>
    <row r="426" spans="1:39" ht="13.8" x14ac:dyDescent="0.25">
      <c r="A426">
        <v>57</v>
      </c>
      <c r="B426" t="str" cm="1">
        <f t="array" ref="B426">_xlfn.IFS(Table1[[#This Row],[Age]]&lt;30,"Under 30",Table1[[#This Row],[Age]]&lt;=40,"30-40",Table1[[#This Row],[Age]]&lt;=50,"41-50",Table1[[#This Row],[Age]]&gt;50,"Over 50")</f>
        <v>Over 50</v>
      </c>
      <c r="C426" t="s">
        <v>43</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t="str" cm="1">
        <f t="array" ref="AH426">_xlfn.IFS(Table1[[#This Row],[YearsAtCompany]]&lt;=2,"0-2 years",Table1[[#This Row],[YearsAtCompany]]&lt;=5,"3-5 years",Table1[[#This Row],[YearsAtCompany]]&lt;=10,"6-10 years",Table1[[#This Row],[YearsAtCompany]]&gt;10,"10+ years")</f>
        <v>0-2 years</v>
      </c>
      <c r="AI426">
        <v>0</v>
      </c>
      <c r="AJ426">
        <v>0</v>
      </c>
      <c r="AK426">
        <v>0</v>
      </c>
      <c r="AL426" t="str" cm="1">
        <f t="array" ref="AL426">_xlfn.IFS(Table1[[#This Row],[JobSatisfaction]]=1,"Low",Table1[[#This Row],[JobSatisfaction]]=2,"Medium",Table1[[#This Row],[JobSatisfaction]]=3,"High",Table1[[#This Row],[JobSatisfaction]]=4,"Very High")</f>
        <v>Very High</v>
      </c>
      <c r="AM426">
        <f>IF(Table1[[#This Row],[Attrition]]="Yes",1,0)</f>
        <v>0</v>
      </c>
    </row>
    <row r="427" spans="1:39" ht="13.8" x14ac:dyDescent="0.25">
      <c r="A427">
        <v>50</v>
      </c>
      <c r="B427" t="str" cm="1">
        <f t="array" ref="B427">_xlfn.IFS(Table1[[#This Row],[Age]]&lt;30,"Under 30",Table1[[#This Row],[Age]]&lt;=40,"30-40",Table1[[#This Row],[Age]]&lt;=50,"41-50",Table1[[#This Row],[Age]]&gt;50,"Over 50")</f>
        <v>41-50</v>
      </c>
      <c r="C427" t="s">
        <v>43</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t="str" cm="1">
        <f t="array" ref="AH427">_xlfn.IFS(Table1[[#This Row],[YearsAtCompany]]&lt;=2,"0-2 years",Table1[[#This Row],[YearsAtCompany]]&lt;=5,"3-5 years",Table1[[#This Row],[YearsAtCompany]]&lt;=10,"6-10 years",Table1[[#This Row],[YearsAtCompany]]&gt;10,"10+ years")</f>
        <v>10+ years</v>
      </c>
      <c r="AI427">
        <v>10</v>
      </c>
      <c r="AJ427">
        <v>15</v>
      </c>
      <c r="AK427">
        <v>7</v>
      </c>
      <c r="AL427" t="str" cm="1">
        <f t="array" ref="AL427">_xlfn.IFS(Table1[[#This Row],[JobSatisfaction]]=1,"Low",Table1[[#This Row],[JobSatisfaction]]=2,"Medium",Table1[[#This Row],[JobSatisfaction]]=3,"High",Table1[[#This Row],[JobSatisfaction]]=4,"Very High")</f>
        <v>High</v>
      </c>
      <c r="AM427">
        <f>IF(Table1[[#This Row],[Attrition]]="Yes",1,0)</f>
        <v>0</v>
      </c>
    </row>
    <row r="428" spans="1:39" ht="13.8" x14ac:dyDescent="0.25">
      <c r="A428">
        <v>30</v>
      </c>
      <c r="B428" t="str" cm="1">
        <f t="array" ref="B428">_xlfn.IFS(Table1[[#This Row],[Age]]&lt;30,"Under 30",Table1[[#This Row],[Age]]&lt;=40,"30-40",Table1[[#This Row],[Age]]&lt;=50,"41-50",Table1[[#This Row],[Age]]&gt;50,"Over 50")</f>
        <v>30-40</v>
      </c>
      <c r="C428" t="s">
        <v>43</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t="str" cm="1">
        <f t="array" ref="AH428">_xlfn.IFS(Table1[[#This Row],[YearsAtCompany]]&lt;=2,"0-2 years",Table1[[#This Row],[YearsAtCompany]]&lt;=5,"3-5 years",Table1[[#This Row],[YearsAtCompany]]&lt;=10,"6-10 years",Table1[[#This Row],[YearsAtCompany]]&gt;10,"10+ years")</f>
        <v>10+ years</v>
      </c>
      <c r="AI428">
        <v>7</v>
      </c>
      <c r="AJ428">
        <v>6</v>
      </c>
      <c r="AK428">
        <v>7</v>
      </c>
      <c r="AL428" t="str" cm="1">
        <f t="array" ref="AL428">_xlfn.IFS(Table1[[#This Row],[JobSatisfaction]]=1,"Low",Table1[[#This Row],[JobSatisfaction]]=2,"Medium",Table1[[#This Row],[JobSatisfaction]]=3,"High",Table1[[#This Row],[JobSatisfaction]]=4,"Very High")</f>
        <v>Very High</v>
      </c>
      <c r="AM428">
        <f>IF(Table1[[#This Row],[Attrition]]="Yes",1,0)</f>
        <v>0</v>
      </c>
    </row>
    <row r="429" spans="1:39" ht="13.8" x14ac:dyDescent="0.25">
      <c r="A429">
        <v>60</v>
      </c>
      <c r="B429" t="str" cm="1">
        <f t="array" ref="B429">_xlfn.IFS(Table1[[#This Row],[Age]]&lt;30,"Under 30",Table1[[#This Row],[Age]]&lt;=40,"30-40",Table1[[#This Row],[Age]]&lt;=50,"41-50",Table1[[#This Row],[Age]]&gt;50,"Over 50")</f>
        <v>Over 50</v>
      </c>
      <c r="C429" t="s">
        <v>43</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t="str" cm="1">
        <f t="array" ref="AH429">_xlfn.IFS(Table1[[#This Row],[YearsAtCompany]]&lt;=2,"0-2 years",Table1[[#This Row],[YearsAtCompany]]&lt;=5,"3-5 years",Table1[[#This Row],[YearsAtCompany]]&lt;=10,"6-10 years",Table1[[#This Row],[YearsAtCompany]]&gt;10,"10+ years")</f>
        <v>10+ years</v>
      </c>
      <c r="AI429">
        <v>13</v>
      </c>
      <c r="AJ429">
        <v>13</v>
      </c>
      <c r="AK429">
        <v>11</v>
      </c>
      <c r="AL429" t="str" cm="1">
        <f t="array" ref="AL429">_xlfn.IFS(Table1[[#This Row],[JobSatisfaction]]=1,"Low",Table1[[#This Row],[JobSatisfaction]]=2,"Medium",Table1[[#This Row],[JobSatisfaction]]=3,"High",Table1[[#This Row],[JobSatisfaction]]=4,"Very High")</f>
        <v>Low</v>
      </c>
      <c r="AM429">
        <f>IF(Table1[[#This Row],[Attrition]]="Yes",1,0)</f>
        <v>0</v>
      </c>
    </row>
    <row r="430" spans="1:39" ht="13.8" x14ac:dyDescent="0.25">
      <c r="A430">
        <v>47</v>
      </c>
      <c r="B430" t="str" cm="1">
        <f t="array" ref="B430">_xlfn.IFS(Table1[[#This Row],[Age]]&lt;30,"Under 30",Table1[[#This Row],[Age]]&lt;=40,"30-40",Table1[[#This Row],[Age]]&lt;=50,"41-50",Table1[[#This Row],[Age]]&gt;50,"Over 50")</f>
        <v>41-50</v>
      </c>
      <c r="C430" t="s">
        <v>43</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t="str" cm="1">
        <f t="array" ref="AH430">_xlfn.IFS(Table1[[#This Row],[YearsAtCompany]]&lt;=2,"0-2 years",Table1[[#This Row],[YearsAtCompany]]&lt;=5,"3-5 years",Table1[[#This Row],[YearsAtCompany]]&lt;=10,"6-10 years",Table1[[#This Row],[YearsAtCompany]]&gt;10,"10+ years")</f>
        <v>3-5 years</v>
      </c>
      <c r="AI430">
        <v>0</v>
      </c>
      <c r="AJ430">
        <v>0</v>
      </c>
      <c r="AK430">
        <v>4</v>
      </c>
      <c r="AL430" t="str" cm="1">
        <f t="array" ref="AL430">_xlfn.IFS(Table1[[#This Row],[JobSatisfaction]]=1,"Low",Table1[[#This Row],[JobSatisfaction]]=2,"Medium",Table1[[#This Row],[JobSatisfaction]]=3,"High",Table1[[#This Row],[JobSatisfaction]]=4,"Very High")</f>
        <v>Very High</v>
      </c>
      <c r="AM430">
        <f>IF(Table1[[#This Row],[Attrition]]="Yes",1,0)</f>
        <v>0</v>
      </c>
    </row>
    <row r="431" spans="1:39" ht="13.8" x14ac:dyDescent="0.25">
      <c r="A431">
        <v>46</v>
      </c>
      <c r="B431" t="str" cm="1">
        <f t="array" ref="B431">_xlfn.IFS(Table1[[#This Row],[Age]]&lt;30,"Under 30",Table1[[#This Row],[Age]]&lt;=40,"30-40",Table1[[#This Row],[Age]]&lt;=50,"41-50",Table1[[#This Row],[Age]]&gt;50,"Over 50")</f>
        <v>41-50</v>
      </c>
      <c r="C431" t="s">
        <v>43</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t="str" cm="1">
        <f t="array" ref="AH431">_xlfn.IFS(Table1[[#This Row],[YearsAtCompany]]&lt;=2,"0-2 years",Table1[[#This Row],[YearsAtCompany]]&lt;=5,"3-5 years",Table1[[#This Row],[YearsAtCompany]]&lt;=10,"6-10 years",Table1[[#This Row],[YearsAtCompany]]&gt;10,"10+ years")</f>
        <v>3-5 years</v>
      </c>
      <c r="AI431">
        <v>2</v>
      </c>
      <c r="AJ431">
        <v>0</v>
      </c>
      <c r="AK431">
        <v>1</v>
      </c>
      <c r="AL431" t="str" cm="1">
        <f t="array" ref="AL431">_xlfn.IFS(Table1[[#This Row],[JobSatisfaction]]=1,"Low",Table1[[#This Row],[JobSatisfaction]]=2,"Medium",Table1[[#This Row],[JobSatisfaction]]=3,"High",Table1[[#This Row],[JobSatisfaction]]=4,"Very High")</f>
        <v>High</v>
      </c>
      <c r="AM431">
        <f>IF(Table1[[#This Row],[Attrition]]="Yes",1,0)</f>
        <v>0</v>
      </c>
    </row>
    <row r="432" spans="1:39" ht="13.8" x14ac:dyDescent="0.25">
      <c r="A432">
        <v>35</v>
      </c>
      <c r="B432" t="str" cm="1">
        <f t="array" ref="B432">_xlfn.IFS(Table1[[#This Row],[Age]]&lt;30,"Under 30",Table1[[#This Row],[Age]]&lt;=40,"30-40",Table1[[#This Row],[Age]]&lt;=50,"41-50",Table1[[#This Row],[Age]]&gt;50,"Over 50")</f>
        <v>30-40</v>
      </c>
      <c r="C432" t="s">
        <v>43</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t="str" cm="1">
        <f t="array" ref="AH432">_xlfn.IFS(Table1[[#This Row],[YearsAtCompany]]&lt;=2,"0-2 years",Table1[[#This Row],[YearsAtCompany]]&lt;=5,"3-5 years",Table1[[#This Row],[YearsAtCompany]]&lt;=10,"6-10 years",Table1[[#This Row],[YearsAtCompany]]&gt;10,"10+ years")</f>
        <v>3-5 years</v>
      </c>
      <c r="AI432">
        <v>4</v>
      </c>
      <c r="AJ432">
        <v>4</v>
      </c>
      <c r="AK432">
        <v>3</v>
      </c>
      <c r="AL432" t="str" cm="1">
        <f t="array" ref="AL432">_xlfn.IFS(Table1[[#This Row],[JobSatisfaction]]=1,"Low",Table1[[#This Row],[JobSatisfaction]]=2,"Medium",Table1[[#This Row],[JobSatisfaction]]=3,"High",Table1[[#This Row],[JobSatisfaction]]=4,"Very High")</f>
        <v>High</v>
      </c>
      <c r="AM432">
        <f>IF(Table1[[#This Row],[Attrition]]="Yes",1,0)</f>
        <v>0</v>
      </c>
    </row>
    <row r="433" spans="1:39" ht="13.8" x14ac:dyDescent="0.25">
      <c r="A433">
        <v>54</v>
      </c>
      <c r="B433" t="str" cm="1">
        <f t="array" ref="B433">_xlfn.IFS(Table1[[#This Row],[Age]]&lt;30,"Under 30",Table1[[#This Row],[Age]]&lt;=40,"30-40",Table1[[#This Row],[Age]]&lt;=50,"41-50",Table1[[#This Row],[Age]]&gt;50,"Over 50")</f>
        <v>Over 50</v>
      </c>
      <c r="C433" t="s">
        <v>43</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t="str" cm="1">
        <f t="array" ref="AH433">_xlfn.IFS(Table1[[#This Row],[YearsAtCompany]]&lt;=2,"0-2 years",Table1[[#This Row],[YearsAtCompany]]&lt;=5,"3-5 years",Table1[[#This Row],[YearsAtCompany]]&lt;=10,"6-10 years",Table1[[#This Row],[YearsAtCompany]]&gt;10,"10+ years")</f>
        <v>0-2 years</v>
      </c>
      <c r="AI433">
        <v>0</v>
      </c>
      <c r="AJ433">
        <v>0</v>
      </c>
      <c r="AK433">
        <v>0</v>
      </c>
      <c r="AL433" t="str" cm="1">
        <f t="array" ref="AL433">_xlfn.IFS(Table1[[#This Row],[JobSatisfaction]]=1,"Low",Table1[[#This Row],[JobSatisfaction]]=2,"Medium",Table1[[#This Row],[JobSatisfaction]]=3,"High",Table1[[#This Row],[JobSatisfaction]]=4,"Very High")</f>
        <v>High</v>
      </c>
      <c r="AM433">
        <f>IF(Table1[[#This Row],[Attrition]]="Yes",1,0)</f>
        <v>0</v>
      </c>
    </row>
    <row r="434" spans="1:39" ht="13.8" x14ac:dyDescent="0.25">
      <c r="A434">
        <v>34</v>
      </c>
      <c r="B434" t="str" cm="1">
        <f t="array" ref="B434">_xlfn.IFS(Table1[[#This Row],[Age]]&lt;30,"Under 30",Table1[[#This Row],[Age]]&lt;=40,"30-40",Table1[[#This Row],[Age]]&lt;=50,"41-50",Table1[[#This Row],[Age]]&gt;50,"Over 50")</f>
        <v>30-40</v>
      </c>
      <c r="C434" t="s">
        <v>43</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t="str" cm="1">
        <f t="array" ref="AH434">_xlfn.IFS(Table1[[#This Row],[YearsAtCompany]]&lt;=2,"0-2 years",Table1[[#This Row],[YearsAtCompany]]&lt;=5,"3-5 years",Table1[[#This Row],[YearsAtCompany]]&lt;=10,"6-10 years",Table1[[#This Row],[YearsAtCompany]]&gt;10,"10+ years")</f>
        <v>6-10 years</v>
      </c>
      <c r="AI434">
        <v>3</v>
      </c>
      <c r="AJ434">
        <v>5</v>
      </c>
      <c r="AK434">
        <v>7</v>
      </c>
      <c r="AL434" t="str" cm="1">
        <f t="array" ref="AL434">_xlfn.IFS(Table1[[#This Row],[JobSatisfaction]]=1,"Low",Table1[[#This Row],[JobSatisfaction]]=2,"Medium",Table1[[#This Row],[JobSatisfaction]]=3,"High",Table1[[#This Row],[JobSatisfaction]]=4,"Very High")</f>
        <v>High</v>
      </c>
      <c r="AM434">
        <f>IF(Table1[[#This Row],[Attrition]]="Yes",1,0)</f>
        <v>0</v>
      </c>
    </row>
    <row r="435" spans="1:39" ht="13.8" x14ac:dyDescent="0.25">
      <c r="A435">
        <v>46</v>
      </c>
      <c r="B435" t="str" cm="1">
        <f t="array" ref="B435">_xlfn.IFS(Table1[[#This Row],[Age]]&lt;30,"Under 30",Table1[[#This Row],[Age]]&lt;=40,"30-40",Table1[[#This Row],[Age]]&lt;=50,"41-50",Table1[[#This Row],[Age]]&gt;50,"Over 50")</f>
        <v>41-50</v>
      </c>
      <c r="C435" t="s">
        <v>43</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t="str" cm="1">
        <f t="array" ref="AH435">_xlfn.IFS(Table1[[#This Row],[YearsAtCompany]]&lt;=2,"0-2 years",Table1[[#This Row],[YearsAtCompany]]&lt;=5,"3-5 years",Table1[[#This Row],[YearsAtCompany]]&lt;=10,"6-10 years",Table1[[#This Row],[YearsAtCompany]]&gt;10,"10+ years")</f>
        <v>3-5 years</v>
      </c>
      <c r="AI435">
        <v>2</v>
      </c>
      <c r="AJ435">
        <v>1</v>
      </c>
      <c r="AK435">
        <v>2</v>
      </c>
      <c r="AL435" t="str" cm="1">
        <f t="array" ref="AL435">_xlfn.IFS(Table1[[#This Row],[JobSatisfaction]]=1,"Low",Table1[[#This Row],[JobSatisfaction]]=2,"Medium",Table1[[#This Row],[JobSatisfaction]]=3,"High",Table1[[#This Row],[JobSatisfaction]]=4,"Very High")</f>
        <v>Very High</v>
      </c>
      <c r="AM435">
        <f>IF(Table1[[#This Row],[Attrition]]="Yes",1,0)</f>
        <v>0</v>
      </c>
    </row>
    <row r="436" spans="1:39" ht="13.8" x14ac:dyDescent="0.25">
      <c r="A436">
        <v>31</v>
      </c>
      <c r="B436" t="str" cm="1">
        <f t="array" ref="B436">_xlfn.IFS(Table1[[#This Row],[Age]]&lt;30,"Under 30",Table1[[#This Row],[Age]]&lt;=40,"30-40",Table1[[#This Row],[Age]]&lt;=50,"41-50",Table1[[#This Row],[Age]]&gt;50,"Over 50")</f>
        <v>30-40</v>
      </c>
      <c r="C436" t="s">
        <v>43</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t="str" cm="1">
        <f t="array" ref="AH436">_xlfn.IFS(Table1[[#This Row],[YearsAtCompany]]&lt;=2,"0-2 years",Table1[[#This Row],[YearsAtCompany]]&lt;=5,"3-5 years",Table1[[#This Row],[YearsAtCompany]]&lt;=10,"6-10 years",Table1[[#This Row],[YearsAtCompany]]&gt;10,"10+ years")</f>
        <v>10+ years</v>
      </c>
      <c r="AI436">
        <v>8</v>
      </c>
      <c r="AJ436">
        <v>0</v>
      </c>
      <c r="AK436">
        <v>8</v>
      </c>
      <c r="AL436" t="str" cm="1">
        <f t="array" ref="AL436">_xlfn.IFS(Table1[[#This Row],[JobSatisfaction]]=1,"Low",Table1[[#This Row],[JobSatisfaction]]=2,"Medium",Table1[[#This Row],[JobSatisfaction]]=3,"High",Table1[[#This Row],[JobSatisfaction]]=4,"Very High")</f>
        <v>Medium</v>
      </c>
      <c r="AM436">
        <f>IF(Table1[[#This Row],[Attrition]]="Yes",1,0)</f>
        <v>0</v>
      </c>
    </row>
    <row r="437" spans="1:39" ht="13.8" x14ac:dyDescent="0.25">
      <c r="A437">
        <v>33</v>
      </c>
      <c r="B437" t="str" cm="1">
        <f t="array" ref="B437">_xlfn.IFS(Table1[[#This Row],[Age]]&lt;30,"Under 30",Table1[[#This Row],[Age]]&lt;=40,"30-40",Table1[[#This Row],[Age]]&lt;=50,"41-50",Table1[[#This Row],[Age]]&gt;50,"Over 50")</f>
        <v>30-40</v>
      </c>
      <c r="C437" t="s">
        <v>35</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t="str" cm="1">
        <f t="array" ref="AH437">_xlfn.IFS(Table1[[#This Row],[YearsAtCompany]]&lt;=2,"0-2 years",Table1[[#This Row],[YearsAtCompany]]&lt;=5,"3-5 years",Table1[[#This Row],[YearsAtCompany]]&lt;=10,"6-10 years",Table1[[#This Row],[YearsAtCompany]]&gt;10,"10+ years")</f>
        <v>6-10 years</v>
      </c>
      <c r="AI437">
        <v>6</v>
      </c>
      <c r="AJ437">
        <v>7</v>
      </c>
      <c r="AK437">
        <v>7</v>
      </c>
      <c r="AL437" t="str" cm="1">
        <f t="array" ref="AL437">_xlfn.IFS(Table1[[#This Row],[JobSatisfaction]]=1,"Low",Table1[[#This Row],[JobSatisfaction]]=2,"Medium",Table1[[#This Row],[JobSatisfaction]]=3,"High",Table1[[#This Row],[JobSatisfaction]]=4,"Very High")</f>
        <v>High</v>
      </c>
      <c r="AM437">
        <f>IF(Table1[[#This Row],[Attrition]]="Yes",1,0)</f>
        <v>1</v>
      </c>
    </row>
    <row r="438" spans="1:39" ht="13.8" x14ac:dyDescent="0.25">
      <c r="A438">
        <v>33</v>
      </c>
      <c r="B438" t="str" cm="1">
        <f t="array" ref="B438">_xlfn.IFS(Table1[[#This Row],[Age]]&lt;30,"Under 30",Table1[[#This Row],[Age]]&lt;=40,"30-40",Table1[[#This Row],[Age]]&lt;=50,"41-50",Table1[[#This Row],[Age]]&gt;50,"Over 50")</f>
        <v>30-40</v>
      </c>
      <c r="C438" t="s">
        <v>35</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t="str" cm="1">
        <f t="array" ref="AH438">_xlfn.IFS(Table1[[#This Row],[YearsAtCompany]]&lt;=2,"0-2 years",Table1[[#This Row],[YearsAtCompany]]&lt;=5,"3-5 years",Table1[[#This Row],[YearsAtCompany]]&lt;=10,"6-10 years",Table1[[#This Row],[YearsAtCompany]]&gt;10,"10+ years")</f>
        <v>3-5 years</v>
      </c>
      <c r="AI438">
        <v>3</v>
      </c>
      <c r="AJ438">
        <v>1</v>
      </c>
      <c r="AK438">
        <v>3</v>
      </c>
      <c r="AL438" t="str" cm="1">
        <f t="array" ref="AL438">_xlfn.IFS(Table1[[#This Row],[JobSatisfaction]]=1,"Low",Table1[[#This Row],[JobSatisfaction]]=2,"Medium",Table1[[#This Row],[JobSatisfaction]]=3,"High",Table1[[#This Row],[JobSatisfaction]]=4,"Very High")</f>
        <v>Very High</v>
      </c>
      <c r="AM438">
        <f>IF(Table1[[#This Row],[Attrition]]="Yes",1,0)</f>
        <v>1</v>
      </c>
    </row>
    <row r="439" spans="1:39" ht="13.8" x14ac:dyDescent="0.25">
      <c r="A439">
        <v>30</v>
      </c>
      <c r="B439" t="str" cm="1">
        <f t="array" ref="B439">_xlfn.IFS(Table1[[#This Row],[Age]]&lt;30,"Under 30",Table1[[#This Row],[Age]]&lt;=40,"30-40",Table1[[#This Row],[Age]]&lt;=50,"41-50",Table1[[#This Row],[Age]]&gt;50,"Over 50")</f>
        <v>30-40</v>
      </c>
      <c r="C439" t="s">
        <v>43</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t="str" cm="1">
        <f t="array" ref="AH439">_xlfn.IFS(Table1[[#This Row],[YearsAtCompany]]&lt;=2,"0-2 years",Table1[[#This Row],[YearsAtCompany]]&lt;=5,"3-5 years",Table1[[#This Row],[YearsAtCompany]]&lt;=10,"6-10 years",Table1[[#This Row],[YearsAtCompany]]&gt;10,"10+ years")</f>
        <v>3-5 years</v>
      </c>
      <c r="AI439">
        <v>2</v>
      </c>
      <c r="AJ439">
        <v>1</v>
      </c>
      <c r="AK439">
        <v>2</v>
      </c>
      <c r="AL439" t="str" cm="1">
        <f t="array" ref="AL439">_xlfn.IFS(Table1[[#This Row],[JobSatisfaction]]=1,"Low",Table1[[#This Row],[JobSatisfaction]]=2,"Medium",Table1[[#This Row],[JobSatisfaction]]=3,"High",Table1[[#This Row],[JobSatisfaction]]=4,"Very High")</f>
        <v>Medium</v>
      </c>
      <c r="AM439">
        <f>IF(Table1[[#This Row],[Attrition]]="Yes",1,0)</f>
        <v>0</v>
      </c>
    </row>
    <row r="440" spans="1:39" ht="13.8" x14ac:dyDescent="0.25">
      <c r="A440">
        <v>35</v>
      </c>
      <c r="B440" t="str" cm="1">
        <f t="array" ref="B440">_xlfn.IFS(Table1[[#This Row],[Age]]&lt;30,"Under 30",Table1[[#This Row],[Age]]&lt;=40,"30-40",Table1[[#This Row],[Age]]&lt;=50,"41-50",Table1[[#This Row],[Age]]&gt;50,"Over 50")</f>
        <v>30-40</v>
      </c>
      <c r="C440" t="s">
        <v>43</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t="str" cm="1">
        <f t="array" ref="AH440">_xlfn.IFS(Table1[[#This Row],[YearsAtCompany]]&lt;=2,"0-2 years",Table1[[#This Row],[YearsAtCompany]]&lt;=5,"3-5 years",Table1[[#This Row],[YearsAtCompany]]&lt;=10,"6-10 years",Table1[[#This Row],[YearsAtCompany]]&gt;10,"10+ years")</f>
        <v>6-10 years</v>
      </c>
      <c r="AI440">
        <v>7</v>
      </c>
      <c r="AJ440">
        <v>0</v>
      </c>
      <c r="AK440">
        <v>0</v>
      </c>
      <c r="AL440" t="str" cm="1">
        <f t="array" ref="AL440">_xlfn.IFS(Table1[[#This Row],[JobSatisfaction]]=1,"Low",Table1[[#This Row],[JobSatisfaction]]=2,"Medium",Table1[[#This Row],[JobSatisfaction]]=3,"High",Table1[[#This Row],[JobSatisfaction]]=4,"Very High")</f>
        <v>High</v>
      </c>
      <c r="AM440">
        <f>IF(Table1[[#This Row],[Attrition]]="Yes",1,0)</f>
        <v>0</v>
      </c>
    </row>
    <row r="441" spans="1:39" ht="13.8" x14ac:dyDescent="0.25">
      <c r="A441">
        <v>31</v>
      </c>
      <c r="B441" t="str" cm="1">
        <f t="array" ref="B441">_xlfn.IFS(Table1[[#This Row],[Age]]&lt;30,"Under 30",Table1[[#This Row],[Age]]&lt;=40,"30-40",Table1[[#This Row],[Age]]&lt;=50,"41-50",Table1[[#This Row],[Age]]&gt;50,"Over 50")</f>
        <v>30-40</v>
      </c>
      <c r="C441" t="s">
        <v>35</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t="str" cm="1">
        <f t="array" ref="AH441">_xlfn.IFS(Table1[[#This Row],[YearsAtCompany]]&lt;=2,"0-2 years",Table1[[#This Row],[YearsAtCompany]]&lt;=5,"3-5 years",Table1[[#This Row],[YearsAtCompany]]&lt;=10,"6-10 years",Table1[[#This Row],[YearsAtCompany]]&gt;10,"10+ years")</f>
        <v>0-2 years</v>
      </c>
      <c r="AI441">
        <v>0</v>
      </c>
      <c r="AJ441">
        <v>0</v>
      </c>
      <c r="AK441">
        <v>0</v>
      </c>
      <c r="AL441" t="str" cm="1">
        <f t="array" ref="AL441">_xlfn.IFS(Table1[[#This Row],[JobSatisfaction]]=1,"Low",Table1[[#This Row],[JobSatisfaction]]=2,"Medium",Table1[[#This Row],[JobSatisfaction]]=3,"High",Table1[[#This Row],[JobSatisfaction]]=4,"Very High")</f>
        <v>High</v>
      </c>
      <c r="AM441">
        <f>IF(Table1[[#This Row],[Attrition]]="Yes",1,0)</f>
        <v>1</v>
      </c>
    </row>
    <row r="442" spans="1:39" ht="13.8" x14ac:dyDescent="0.25">
      <c r="A442">
        <v>34</v>
      </c>
      <c r="B442" t="str" cm="1">
        <f t="array" ref="B442">_xlfn.IFS(Table1[[#This Row],[Age]]&lt;30,"Under 30",Table1[[#This Row],[Age]]&lt;=40,"30-40",Table1[[#This Row],[Age]]&lt;=50,"41-50",Table1[[#This Row],[Age]]&gt;50,"Over 50")</f>
        <v>30-40</v>
      </c>
      <c r="C442" t="s">
        <v>35</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t="str" cm="1">
        <f t="array" ref="AH442">_xlfn.IFS(Table1[[#This Row],[YearsAtCompany]]&lt;=2,"0-2 years",Table1[[#This Row],[YearsAtCompany]]&lt;=5,"3-5 years",Table1[[#This Row],[YearsAtCompany]]&lt;=10,"6-10 years",Table1[[#This Row],[YearsAtCompany]]&gt;10,"10+ years")</f>
        <v>3-5 years</v>
      </c>
      <c r="AI442">
        <v>2</v>
      </c>
      <c r="AJ442">
        <v>0</v>
      </c>
      <c r="AK442">
        <v>2</v>
      </c>
      <c r="AL442" t="str" cm="1">
        <f t="array" ref="AL442">_xlfn.IFS(Table1[[#This Row],[JobSatisfaction]]=1,"Low",Table1[[#This Row],[JobSatisfaction]]=2,"Medium",Table1[[#This Row],[JobSatisfaction]]=3,"High",Table1[[#This Row],[JobSatisfaction]]=4,"Very High")</f>
        <v>Low</v>
      </c>
      <c r="AM442">
        <f>IF(Table1[[#This Row],[Attrition]]="Yes",1,0)</f>
        <v>1</v>
      </c>
    </row>
    <row r="443" spans="1:39" ht="13.8" x14ac:dyDescent="0.25">
      <c r="A443">
        <v>42</v>
      </c>
      <c r="B443" t="str" cm="1">
        <f t="array" ref="B443">_xlfn.IFS(Table1[[#This Row],[Age]]&lt;30,"Under 30",Table1[[#This Row],[Age]]&lt;=40,"30-40",Table1[[#This Row],[Age]]&lt;=50,"41-50",Table1[[#This Row],[Age]]&gt;50,"Over 50")</f>
        <v>41-50</v>
      </c>
      <c r="C443" t="s">
        <v>43</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t="str" cm="1">
        <f t="array" ref="AH443">_xlfn.IFS(Table1[[#This Row],[YearsAtCompany]]&lt;=2,"0-2 years",Table1[[#This Row],[YearsAtCompany]]&lt;=5,"3-5 years",Table1[[#This Row],[YearsAtCompany]]&lt;=10,"6-10 years",Table1[[#This Row],[YearsAtCompany]]&gt;10,"10+ years")</f>
        <v>0-2 years</v>
      </c>
      <c r="AI443">
        <v>2</v>
      </c>
      <c r="AJ443">
        <v>2</v>
      </c>
      <c r="AK443">
        <v>0</v>
      </c>
      <c r="AL443" t="str" cm="1">
        <f t="array" ref="AL443">_xlfn.IFS(Table1[[#This Row],[JobSatisfaction]]=1,"Low",Table1[[#This Row],[JobSatisfaction]]=2,"Medium",Table1[[#This Row],[JobSatisfaction]]=3,"High",Table1[[#This Row],[JobSatisfaction]]=4,"Very High")</f>
        <v>High</v>
      </c>
      <c r="AM443">
        <f>IF(Table1[[#This Row],[Attrition]]="Yes",1,0)</f>
        <v>0</v>
      </c>
    </row>
    <row r="444" spans="1:39" ht="13.8" x14ac:dyDescent="0.25">
      <c r="A444">
        <v>36</v>
      </c>
      <c r="B444" t="str" cm="1">
        <f t="array" ref="B444">_xlfn.IFS(Table1[[#This Row],[Age]]&lt;30,"Under 30",Table1[[#This Row],[Age]]&lt;=40,"30-40",Table1[[#This Row],[Age]]&lt;=50,"41-50",Table1[[#This Row],[Age]]&gt;50,"Over 50")</f>
        <v>30-40</v>
      </c>
      <c r="C444" t="s">
        <v>43</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t="str" cm="1">
        <f t="array" ref="AH444">_xlfn.IFS(Table1[[#This Row],[YearsAtCompany]]&lt;=2,"0-2 years",Table1[[#This Row],[YearsAtCompany]]&lt;=5,"3-5 years",Table1[[#This Row],[YearsAtCompany]]&lt;=10,"6-10 years",Table1[[#This Row],[YearsAtCompany]]&gt;10,"10+ years")</f>
        <v>6-10 years</v>
      </c>
      <c r="AI444">
        <v>3</v>
      </c>
      <c r="AJ444">
        <v>9</v>
      </c>
      <c r="AK444">
        <v>7</v>
      </c>
      <c r="AL444" t="str" cm="1">
        <f t="array" ref="AL444">_xlfn.IFS(Table1[[#This Row],[JobSatisfaction]]=1,"Low",Table1[[#This Row],[JobSatisfaction]]=2,"Medium",Table1[[#This Row],[JobSatisfaction]]=3,"High",Table1[[#This Row],[JobSatisfaction]]=4,"Very High")</f>
        <v>Very High</v>
      </c>
      <c r="AM444">
        <f>IF(Table1[[#This Row],[Attrition]]="Yes",1,0)</f>
        <v>0</v>
      </c>
    </row>
    <row r="445" spans="1:39" ht="13.8" x14ac:dyDescent="0.25">
      <c r="A445">
        <v>22</v>
      </c>
      <c r="B445" t="str" cm="1">
        <f t="array" ref="B445">_xlfn.IFS(Table1[[#This Row],[Age]]&lt;30,"Under 30",Table1[[#This Row],[Age]]&lt;=40,"30-40",Table1[[#This Row],[Age]]&lt;=50,"41-50",Table1[[#This Row],[Age]]&gt;50,"Over 50")</f>
        <v>Under 30</v>
      </c>
      <c r="C445" t="s">
        <v>35</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t="str" cm="1">
        <f t="array" ref="AH445">_xlfn.IFS(Table1[[#This Row],[YearsAtCompany]]&lt;=2,"0-2 years",Table1[[#This Row],[YearsAtCompany]]&lt;=5,"3-5 years",Table1[[#This Row],[YearsAtCompany]]&lt;=10,"6-10 years",Table1[[#This Row],[YearsAtCompany]]&gt;10,"10+ years")</f>
        <v>0-2 years</v>
      </c>
      <c r="AI445">
        <v>2</v>
      </c>
      <c r="AJ445">
        <v>1</v>
      </c>
      <c r="AK445">
        <v>2</v>
      </c>
      <c r="AL445" t="str" cm="1">
        <f t="array" ref="AL445">_xlfn.IFS(Table1[[#This Row],[JobSatisfaction]]=1,"Low",Table1[[#This Row],[JobSatisfaction]]=2,"Medium",Table1[[#This Row],[JobSatisfaction]]=3,"High",Table1[[#This Row],[JobSatisfaction]]=4,"Very High")</f>
        <v>High</v>
      </c>
      <c r="AM445">
        <f>IF(Table1[[#This Row],[Attrition]]="Yes",1,0)</f>
        <v>1</v>
      </c>
    </row>
    <row r="446" spans="1:39" ht="13.8" x14ac:dyDescent="0.25">
      <c r="A446">
        <v>48</v>
      </c>
      <c r="B446" t="str" cm="1">
        <f t="array" ref="B446">_xlfn.IFS(Table1[[#This Row],[Age]]&lt;30,"Under 30",Table1[[#This Row],[Age]]&lt;=40,"30-40",Table1[[#This Row],[Age]]&lt;=50,"41-50",Table1[[#This Row],[Age]]&gt;50,"Over 50")</f>
        <v>41-50</v>
      </c>
      <c r="C446" t="s">
        <v>43</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t="str" cm="1">
        <f t="array" ref="AH446">_xlfn.IFS(Table1[[#This Row],[YearsAtCompany]]&lt;=2,"0-2 years",Table1[[#This Row],[YearsAtCompany]]&lt;=5,"3-5 years",Table1[[#This Row],[YearsAtCompany]]&lt;=10,"6-10 years",Table1[[#This Row],[YearsAtCompany]]&gt;10,"10+ years")</f>
        <v>6-10 years</v>
      </c>
      <c r="AI446">
        <v>7</v>
      </c>
      <c r="AJ446">
        <v>6</v>
      </c>
      <c r="AK446">
        <v>7</v>
      </c>
      <c r="AL446" t="str" cm="1">
        <f t="array" ref="AL446">_xlfn.IFS(Table1[[#This Row],[JobSatisfaction]]=1,"Low",Table1[[#This Row],[JobSatisfaction]]=2,"Medium",Table1[[#This Row],[JobSatisfaction]]=3,"High",Table1[[#This Row],[JobSatisfaction]]=4,"Very High")</f>
        <v>Very High</v>
      </c>
      <c r="AM446">
        <f>IF(Table1[[#This Row],[Attrition]]="Yes",1,0)</f>
        <v>0</v>
      </c>
    </row>
    <row r="447" spans="1:39" ht="13.8" x14ac:dyDescent="0.25">
      <c r="A447">
        <v>55</v>
      </c>
      <c r="B447" t="str" cm="1">
        <f t="array" ref="B447">_xlfn.IFS(Table1[[#This Row],[Age]]&lt;30,"Under 30",Table1[[#This Row],[Age]]&lt;=40,"30-40",Table1[[#This Row],[Age]]&lt;=50,"41-50",Table1[[#This Row],[Age]]&gt;50,"Over 50")</f>
        <v>Over 50</v>
      </c>
      <c r="C447" t="s">
        <v>43</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t="str" cm="1">
        <f t="array" ref="AH447">_xlfn.IFS(Table1[[#This Row],[YearsAtCompany]]&lt;=2,"0-2 years",Table1[[#This Row],[YearsAtCompany]]&lt;=5,"3-5 years",Table1[[#This Row],[YearsAtCompany]]&lt;=10,"6-10 years",Table1[[#This Row],[YearsAtCompany]]&gt;10,"10+ years")</f>
        <v>6-10 years</v>
      </c>
      <c r="AI447">
        <v>9</v>
      </c>
      <c r="AJ447">
        <v>7</v>
      </c>
      <c r="AK447">
        <v>7</v>
      </c>
      <c r="AL447" t="str" cm="1">
        <f t="array" ref="AL447">_xlfn.IFS(Table1[[#This Row],[JobSatisfaction]]=1,"Low",Table1[[#This Row],[JobSatisfaction]]=2,"Medium",Table1[[#This Row],[JobSatisfaction]]=3,"High",Table1[[#This Row],[JobSatisfaction]]=4,"Very High")</f>
        <v>Medium</v>
      </c>
      <c r="AM447">
        <f>IF(Table1[[#This Row],[Attrition]]="Yes",1,0)</f>
        <v>0</v>
      </c>
    </row>
    <row r="448" spans="1:39" ht="13.8" x14ac:dyDescent="0.25">
      <c r="A448">
        <v>41</v>
      </c>
      <c r="B448" t="str" cm="1">
        <f t="array" ref="B448">_xlfn.IFS(Table1[[#This Row],[Age]]&lt;30,"Under 30",Table1[[#This Row],[Age]]&lt;=40,"30-40",Table1[[#This Row],[Age]]&lt;=50,"41-50",Table1[[#This Row],[Age]]&gt;50,"Over 50")</f>
        <v>41-50</v>
      </c>
      <c r="C448" t="s">
        <v>43</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t="str" cm="1">
        <f t="array" ref="AH448">_xlfn.IFS(Table1[[#This Row],[YearsAtCompany]]&lt;=2,"0-2 years",Table1[[#This Row],[YearsAtCompany]]&lt;=5,"3-5 years",Table1[[#This Row],[YearsAtCompany]]&lt;=10,"6-10 years",Table1[[#This Row],[YearsAtCompany]]&gt;10,"10+ years")</f>
        <v>10+ years</v>
      </c>
      <c r="AI448">
        <v>3</v>
      </c>
      <c r="AJ448">
        <v>1</v>
      </c>
      <c r="AK448">
        <v>10</v>
      </c>
      <c r="AL448" t="str" cm="1">
        <f t="array" ref="AL448">_xlfn.IFS(Table1[[#This Row],[JobSatisfaction]]=1,"Low",Table1[[#This Row],[JobSatisfaction]]=2,"Medium",Table1[[#This Row],[JobSatisfaction]]=3,"High",Table1[[#This Row],[JobSatisfaction]]=4,"Very High")</f>
        <v>Very High</v>
      </c>
      <c r="AM448">
        <f>IF(Table1[[#This Row],[Attrition]]="Yes",1,0)</f>
        <v>0</v>
      </c>
    </row>
    <row r="449" spans="1:39" ht="13.8" x14ac:dyDescent="0.25">
      <c r="A449">
        <v>35</v>
      </c>
      <c r="B449" t="str" cm="1">
        <f t="array" ref="B449">_xlfn.IFS(Table1[[#This Row],[Age]]&lt;30,"Under 30",Table1[[#This Row],[Age]]&lt;=40,"30-40",Table1[[#This Row],[Age]]&lt;=50,"41-50",Table1[[#This Row],[Age]]&gt;50,"Over 50")</f>
        <v>30-40</v>
      </c>
      <c r="C449" t="s">
        <v>43</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t="str" cm="1">
        <f t="array" ref="AH449">_xlfn.IFS(Table1[[#This Row],[YearsAtCompany]]&lt;=2,"0-2 years",Table1[[#This Row],[YearsAtCompany]]&lt;=5,"3-5 years",Table1[[#This Row],[YearsAtCompany]]&lt;=10,"6-10 years",Table1[[#This Row],[YearsAtCompany]]&gt;10,"10+ years")</f>
        <v>10+ years</v>
      </c>
      <c r="AI449">
        <v>9</v>
      </c>
      <c r="AJ449">
        <v>6</v>
      </c>
      <c r="AK449">
        <v>9</v>
      </c>
      <c r="AL449" t="str" cm="1">
        <f t="array" ref="AL449">_xlfn.IFS(Table1[[#This Row],[JobSatisfaction]]=1,"Low",Table1[[#This Row],[JobSatisfaction]]=2,"Medium",Table1[[#This Row],[JobSatisfaction]]=3,"High",Table1[[#This Row],[JobSatisfaction]]=4,"Very High")</f>
        <v>High</v>
      </c>
      <c r="AM449">
        <f>IF(Table1[[#This Row],[Attrition]]="Yes",1,0)</f>
        <v>0</v>
      </c>
    </row>
    <row r="450" spans="1:39" ht="13.8" x14ac:dyDescent="0.25">
      <c r="A450">
        <v>40</v>
      </c>
      <c r="B450" t="str" cm="1">
        <f t="array" ref="B450">_xlfn.IFS(Table1[[#This Row],[Age]]&lt;30,"Under 30",Table1[[#This Row],[Age]]&lt;=40,"30-40",Table1[[#This Row],[Age]]&lt;=50,"41-50",Table1[[#This Row],[Age]]&gt;50,"Over 50")</f>
        <v>30-40</v>
      </c>
      <c r="C450" t="s">
        <v>43</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t="str" cm="1">
        <f t="array" ref="AH450">_xlfn.IFS(Table1[[#This Row],[YearsAtCompany]]&lt;=2,"0-2 years",Table1[[#This Row],[YearsAtCompany]]&lt;=5,"3-5 years",Table1[[#This Row],[YearsAtCompany]]&lt;=10,"6-10 years",Table1[[#This Row],[YearsAtCompany]]&gt;10,"10+ years")</f>
        <v>10+ years</v>
      </c>
      <c r="AI450">
        <v>6</v>
      </c>
      <c r="AJ450">
        <v>5</v>
      </c>
      <c r="AK450">
        <v>13</v>
      </c>
      <c r="AL450" t="str" cm="1">
        <f t="array" ref="AL450">_xlfn.IFS(Table1[[#This Row],[JobSatisfaction]]=1,"Low",Table1[[#This Row],[JobSatisfaction]]=2,"Medium",Table1[[#This Row],[JobSatisfaction]]=3,"High",Table1[[#This Row],[JobSatisfaction]]=4,"Very High")</f>
        <v>High</v>
      </c>
      <c r="AM450">
        <f>IF(Table1[[#This Row],[Attrition]]="Yes",1,0)</f>
        <v>0</v>
      </c>
    </row>
    <row r="451" spans="1:39" ht="13.8" x14ac:dyDescent="0.25">
      <c r="A451">
        <v>39</v>
      </c>
      <c r="B451" t="str" cm="1">
        <f t="array" ref="B451">_xlfn.IFS(Table1[[#This Row],[Age]]&lt;30,"Under 30",Table1[[#This Row],[Age]]&lt;=40,"30-40",Table1[[#This Row],[Age]]&lt;=50,"41-50",Table1[[#This Row],[Age]]&gt;50,"Over 50")</f>
        <v>30-40</v>
      </c>
      <c r="C451" t="s">
        <v>43</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t="str" cm="1">
        <f t="array" ref="AH451">_xlfn.IFS(Table1[[#This Row],[YearsAtCompany]]&lt;=2,"0-2 years",Table1[[#This Row],[YearsAtCompany]]&lt;=5,"3-5 years",Table1[[#This Row],[YearsAtCompany]]&lt;=10,"6-10 years",Table1[[#This Row],[YearsAtCompany]]&gt;10,"10+ years")</f>
        <v>6-10 years</v>
      </c>
      <c r="AI451">
        <v>3</v>
      </c>
      <c r="AJ451">
        <v>0</v>
      </c>
      <c r="AK451">
        <v>7</v>
      </c>
      <c r="AL451" t="str" cm="1">
        <f t="array" ref="AL451">_xlfn.IFS(Table1[[#This Row],[JobSatisfaction]]=1,"Low",Table1[[#This Row],[JobSatisfaction]]=2,"Medium",Table1[[#This Row],[JobSatisfaction]]=3,"High",Table1[[#This Row],[JobSatisfaction]]=4,"Very High")</f>
        <v>High</v>
      </c>
      <c r="AM451">
        <f>IF(Table1[[#This Row],[Attrition]]="Yes",1,0)</f>
        <v>0</v>
      </c>
    </row>
    <row r="452" spans="1:39" ht="13.8" x14ac:dyDescent="0.25">
      <c r="A452">
        <v>31</v>
      </c>
      <c r="B452" t="str" cm="1">
        <f t="array" ref="B452">_xlfn.IFS(Table1[[#This Row],[Age]]&lt;30,"Under 30",Table1[[#This Row],[Age]]&lt;=40,"30-40",Table1[[#This Row],[Age]]&lt;=50,"41-50",Table1[[#This Row],[Age]]&gt;50,"Over 50")</f>
        <v>30-40</v>
      </c>
      <c r="C452" t="s">
        <v>43</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t="str" cm="1">
        <f t="array" ref="AH452">_xlfn.IFS(Table1[[#This Row],[YearsAtCompany]]&lt;=2,"0-2 years",Table1[[#This Row],[YearsAtCompany]]&lt;=5,"3-5 years",Table1[[#This Row],[YearsAtCompany]]&lt;=10,"6-10 years",Table1[[#This Row],[YearsAtCompany]]&gt;10,"10+ years")</f>
        <v>6-10 years</v>
      </c>
      <c r="AI452">
        <v>5</v>
      </c>
      <c r="AJ452">
        <v>0</v>
      </c>
      <c r="AK452">
        <v>5</v>
      </c>
      <c r="AL452" t="str" cm="1">
        <f t="array" ref="AL452">_xlfn.IFS(Table1[[#This Row],[JobSatisfaction]]=1,"Low",Table1[[#This Row],[JobSatisfaction]]=2,"Medium",Table1[[#This Row],[JobSatisfaction]]=3,"High",Table1[[#This Row],[JobSatisfaction]]=4,"Very High")</f>
        <v>Very High</v>
      </c>
      <c r="AM452">
        <f>IF(Table1[[#This Row],[Attrition]]="Yes",1,0)</f>
        <v>0</v>
      </c>
    </row>
    <row r="453" spans="1:39" ht="13.8" x14ac:dyDescent="0.25">
      <c r="A453">
        <v>42</v>
      </c>
      <c r="B453" t="str" cm="1">
        <f t="array" ref="B453">_xlfn.IFS(Table1[[#This Row],[Age]]&lt;30,"Under 30",Table1[[#This Row],[Age]]&lt;=40,"30-40",Table1[[#This Row],[Age]]&lt;=50,"41-50",Table1[[#This Row],[Age]]&gt;50,"Over 50")</f>
        <v>41-50</v>
      </c>
      <c r="C453" t="s">
        <v>43</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t="str" cm="1">
        <f t="array" ref="AH453">_xlfn.IFS(Table1[[#This Row],[YearsAtCompany]]&lt;=2,"0-2 years",Table1[[#This Row],[YearsAtCompany]]&lt;=5,"3-5 years",Table1[[#This Row],[YearsAtCompany]]&lt;=10,"6-10 years",Table1[[#This Row],[YearsAtCompany]]&gt;10,"10+ years")</f>
        <v>6-10 years</v>
      </c>
      <c r="AI453">
        <v>9</v>
      </c>
      <c r="AJ453">
        <v>5</v>
      </c>
      <c r="AK453">
        <v>8</v>
      </c>
      <c r="AL453" t="str" cm="1">
        <f t="array" ref="AL453">_xlfn.IFS(Table1[[#This Row],[JobSatisfaction]]=1,"Low",Table1[[#This Row],[JobSatisfaction]]=2,"Medium",Table1[[#This Row],[JobSatisfaction]]=3,"High",Table1[[#This Row],[JobSatisfaction]]=4,"Very High")</f>
        <v>Low</v>
      </c>
      <c r="AM453">
        <f>IF(Table1[[#This Row],[Attrition]]="Yes",1,0)</f>
        <v>0</v>
      </c>
    </row>
    <row r="454" spans="1:39" ht="13.8" x14ac:dyDescent="0.25">
      <c r="A454">
        <v>45</v>
      </c>
      <c r="B454" t="str" cm="1">
        <f t="array" ref="B454">_xlfn.IFS(Table1[[#This Row],[Age]]&lt;30,"Under 30",Table1[[#This Row],[Age]]&lt;=40,"30-40",Table1[[#This Row],[Age]]&lt;=50,"41-50",Table1[[#This Row],[Age]]&gt;50,"Over 50")</f>
        <v>41-50</v>
      </c>
      <c r="C454" t="s">
        <v>43</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t="str" cm="1">
        <f t="array" ref="AH454">_xlfn.IFS(Table1[[#This Row],[YearsAtCompany]]&lt;=2,"0-2 years",Table1[[#This Row],[YearsAtCompany]]&lt;=5,"3-5 years",Table1[[#This Row],[YearsAtCompany]]&lt;=10,"6-10 years",Table1[[#This Row],[YearsAtCompany]]&gt;10,"10+ years")</f>
        <v>6-10 years</v>
      </c>
      <c r="AI454">
        <v>7</v>
      </c>
      <c r="AJ454">
        <v>3</v>
      </c>
      <c r="AK454">
        <v>7</v>
      </c>
      <c r="AL454" t="str" cm="1">
        <f t="array" ref="AL454">_xlfn.IFS(Table1[[#This Row],[JobSatisfaction]]=1,"Low",Table1[[#This Row],[JobSatisfaction]]=2,"Medium",Table1[[#This Row],[JobSatisfaction]]=3,"High",Table1[[#This Row],[JobSatisfaction]]=4,"Very High")</f>
        <v>Medium</v>
      </c>
      <c r="AM454">
        <f>IF(Table1[[#This Row],[Attrition]]="Yes",1,0)</f>
        <v>0</v>
      </c>
    </row>
    <row r="455" spans="1:39" ht="13.8" x14ac:dyDescent="0.25">
      <c r="A455">
        <v>26</v>
      </c>
      <c r="B455" t="str" cm="1">
        <f t="array" ref="B455">_xlfn.IFS(Table1[[#This Row],[Age]]&lt;30,"Under 30",Table1[[#This Row],[Age]]&lt;=40,"30-40",Table1[[#This Row],[Age]]&lt;=50,"41-50",Table1[[#This Row],[Age]]&gt;50,"Over 50")</f>
        <v>Under 30</v>
      </c>
      <c r="C455" t="s">
        <v>35</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t="str" cm="1">
        <f t="array" ref="AH455">_xlfn.IFS(Table1[[#This Row],[YearsAtCompany]]&lt;=2,"0-2 years",Table1[[#This Row],[YearsAtCompany]]&lt;=5,"3-5 years",Table1[[#This Row],[YearsAtCompany]]&lt;=10,"6-10 years",Table1[[#This Row],[YearsAtCompany]]&gt;10,"10+ years")</f>
        <v>6-10 years</v>
      </c>
      <c r="AI455">
        <v>7</v>
      </c>
      <c r="AJ455">
        <v>1</v>
      </c>
      <c r="AK455">
        <v>0</v>
      </c>
      <c r="AL455" t="str" cm="1">
        <f t="array" ref="AL455">_xlfn.IFS(Table1[[#This Row],[JobSatisfaction]]=1,"Low",Table1[[#This Row],[JobSatisfaction]]=2,"Medium",Table1[[#This Row],[JobSatisfaction]]=3,"High",Table1[[#This Row],[JobSatisfaction]]=4,"Very High")</f>
        <v>High</v>
      </c>
      <c r="AM455">
        <f>IF(Table1[[#This Row],[Attrition]]="Yes",1,0)</f>
        <v>1</v>
      </c>
    </row>
    <row r="456" spans="1:39" ht="13.8" x14ac:dyDescent="0.25">
      <c r="A456">
        <v>29</v>
      </c>
      <c r="B456" t="str" cm="1">
        <f t="array" ref="B456">_xlfn.IFS(Table1[[#This Row],[Age]]&lt;30,"Under 30",Table1[[#This Row],[Age]]&lt;=40,"30-40",Table1[[#This Row],[Age]]&lt;=50,"41-50",Table1[[#This Row],[Age]]&gt;50,"Over 50")</f>
        <v>Under 30</v>
      </c>
      <c r="C456" t="s">
        <v>43</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t="str" cm="1">
        <f t="array" ref="AH456">_xlfn.IFS(Table1[[#This Row],[YearsAtCompany]]&lt;=2,"0-2 years",Table1[[#This Row],[YearsAtCompany]]&lt;=5,"3-5 years",Table1[[#This Row],[YearsAtCompany]]&lt;=10,"6-10 years",Table1[[#This Row],[YearsAtCompany]]&gt;10,"10+ years")</f>
        <v>3-5 years</v>
      </c>
      <c r="AI456">
        <v>2</v>
      </c>
      <c r="AJ456">
        <v>1</v>
      </c>
      <c r="AK456">
        <v>2</v>
      </c>
      <c r="AL456" t="str" cm="1">
        <f t="array" ref="AL456">_xlfn.IFS(Table1[[#This Row],[JobSatisfaction]]=1,"Low",Table1[[#This Row],[JobSatisfaction]]=2,"Medium",Table1[[#This Row],[JobSatisfaction]]=3,"High",Table1[[#This Row],[JobSatisfaction]]=4,"Very High")</f>
        <v>Very High</v>
      </c>
      <c r="AM456">
        <f>IF(Table1[[#This Row],[Attrition]]="Yes",1,0)</f>
        <v>0</v>
      </c>
    </row>
    <row r="457" spans="1:39" ht="13.8" x14ac:dyDescent="0.25">
      <c r="A457">
        <v>33</v>
      </c>
      <c r="B457" t="str" cm="1">
        <f t="array" ref="B457">_xlfn.IFS(Table1[[#This Row],[Age]]&lt;30,"Under 30",Table1[[#This Row],[Age]]&lt;=40,"30-40",Table1[[#This Row],[Age]]&lt;=50,"41-50",Table1[[#This Row],[Age]]&gt;50,"Over 50")</f>
        <v>30-40</v>
      </c>
      <c r="C457" t="s">
        <v>43</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t="str" cm="1">
        <f t="array" ref="AH457">_xlfn.IFS(Table1[[#This Row],[YearsAtCompany]]&lt;=2,"0-2 years",Table1[[#This Row],[YearsAtCompany]]&lt;=5,"3-5 years",Table1[[#This Row],[YearsAtCompany]]&lt;=10,"6-10 years",Table1[[#This Row],[YearsAtCompany]]&gt;10,"10+ years")</f>
        <v>6-10 years</v>
      </c>
      <c r="AI457">
        <v>1</v>
      </c>
      <c r="AJ457">
        <v>0</v>
      </c>
      <c r="AK457">
        <v>5</v>
      </c>
      <c r="AL457" t="str" cm="1">
        <f t="array" ref="AL457">_xlfn.IFS(Table1[[#This Row],[JobSatisfaction]]=1,"Low",Table1[[#This Row],[JobSatisfaction]]=2,"Medium",Table1[[#This Row],[JobSatisfaction]]=3,"High",Table1[[#This Row],[JobSatisfaction]]=4,"Very High")</f>
        <v>High</v>
      </c>
      <c r="AM457">
        <f>IF(Table1[[#This Row],[Attrition]]="Yes",1,0)</f>
        <v>0</v>
      </c>
    </row>
    <row r="458" spans="1:39" ht="13.8" x14ac:dyDescent="0.25">
      <c r="A458">
        <v>31</v>
      </c>
      <c r="B458" t="str" cm="1">
        <f t="array" ref="B458">_xlfn.IFS(Table1[[#This Row],[Age]]&lt;30,"Under 30",Table1[[#This Row],[Age]]&lt;=40,"30-40",Table1[[#This Row],[Age]]&lt;=50,"41-50",Table1[[#This Row],[Age]]&gt;50,"Over 50")</f>
        <v>30-40</v>
      </c>
      <c r="C458" t="s">
        <v>43</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t="str" cm="1">
        <f t="array" ref="AH458">_xlfn.IFS(Table1[[#This Row],[YearsAtCompany]]&lt;=2,"0-2 years",Table1[[#This Row],[YearsAtCompany]]&lt;=5,"3-5 years",Table1[[#This Row],[YearsAtCompany]]&lt;=10,"6-10 years",Table1[[#This Row],[YearsAtCompany]]&gt;10,"10+ years")</f>
        <v>3-5 years</v>
      </c>
      <c r="AI458">
        <v>4</v>
      </c>
      <c r="AJ458">
        <v>0</v>
      </c>
      <c r="AK458">
        <v>1</v>
      </c>
      <c r="AL458" t="str" cm="1">
        <f t="array" ref="AL458">_xlfn.IFS(Table1[[#This Row],[JobSatisfaction]]=1,"Low",Table1[[#This Row],[JobSatisfaction]]=2,"Medium",Table1[[#This Row],[JobSatisfaction]]=3,"High",Table1[[#This Row],[JobSatisfaction]]=4,"Very High")</f>
        <v>Very High</v>
      </c>
      <c r="AM458">
        <f>IF(Table1[[#This Row],[Attrition]]="Yes",1,0)</f>
        <v>0</v>
      </c>
    </row>
    <row r="459" spans="1:39" ht="13.8" x14ac:dyDescent="0.25">
      <c r="A459">
        <v>18</v>
      </c>
      <c r="B459" t="str" cm="1">
        <f t="array" ref="B459">_xlfn.IFS(Table1[[#This Row],[Age]]&lt;30,"Under 30",Table1[[#This Row],[Age]]&lt;=40,"30-40",Table1[[#This Row],[Age]]&lt;=50,"41-50",Table1[[#This Row],[Age]]&gt;50,"Over 50")</f>
        <v>Under 30</v>
      </c>
      <c r="C459" t="s">
        <v>35</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t="str" cm="1">
        <f t="array" ref="AH459">_xlfn.IFS(Table1[[#This Row],[YearsAtCompany]]&lt;=2,"0-2 years",Table1[[#This Row],[YearsAtCompany]]&lt;=5,"3-5 years",Table1[[#This Row],[YearsAtCompany]]&lt;=10,"6-10 years",Table1[[#This Row],[YearsAtCompany]]&gt;10,"10+ years")</f>
        <v>0-2 years</v>
      </c>
      <c r="AI459">
        <v>0</v>
      </c>
      <c r="AJ459">
        <v>0</v>
      </c>
      <c r="AK459">
        <v>0</v>
      </c>
      <c r="AL459" t="str" cm="1">
        <f t="array" ref="AL459">_xlfn.IFS(Table1[[#This Row],[JobSatisfaction]]=1,"Low",Table1[[#This Row],[JobSatisfaction]]=2,"Medium",Table1[[#This Row],[JobSatisfaction]]=3,"High",Table1[[#This Row],[JobSatisfaction]]=4,"Very High")</f>
        <v>Medium</v>
      </c>
      <c r="AM459">
        <f>IF(Table1[[#This Row],[Attrition]]="Yes",1,0)</f>
        <v>1</v>
      </c>
    </row>
    <row r="460" spans="1:39" ht="13.8" x14ac:dyDescent="0.25">
      <c r="A460">
        <v>40</v>
      </c>
      <c r="B460" t="str" cm="1">
        <f t="array" ref="B460">_xlfn.IFS(Table1[[#This Row],[Age]]&lt;30,"Under 30",Table1[[#This Row],[Age]]&lt;=40,"30-40",Table1[[#This Row],[Age]]&lt;=50,"41-50",Table1[[#This Row],[Age]]&gt;50,"Over 50")</f>
        <v>30-40</v>
      </c>
      <c r="C460" t="s">
        <v>43</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t="str" cm="1">
        <f t="array" ref="AH460">_xlfn.IFS(Table1[[#This Row],[YearsAtCompany]]&lt;=2,"0-2 years",Table1[[#This Row],[YearsAtCompany]]&lt;=5,"3-5 years",Table1[[#This Row],[YearsAtCompany]]&lt;=10,"6-10 years",Table1[[#This Row],[YearsAtCompany]]&gt;10,"10+ years")</f>
        <v>0-2 years</v>
      </c>
      <c r="AI460">
        <v>0</v>
      </c>
      <c r="AJ460">
        <v>0</v>
      </c>
      <c r="AK460">
        <v>1</v>
      </c>
      <c r="AL460" t="str" cm="1">
        <f t="array" ref="AL460">_xlfn.IFS(Table1[[#This Row],[JobSatisfaction]]=1,"Low",Table1[[#This Row],[JobSatisfaction]]=2,"Medium",Table1[[#This Row],[JobSatisfaction]]=3,"High",Table1[[#This Row],[JobSatisfaction]]=4,"Very High")</f>
        <v>Low</v>
      </c>
      <c r="AM460">
        <f>IF(Table1[[#This Row],[Attrition]]="Yes",1,0)</f>
        <v>0</v>
      </c>
    </row>
    <row r="461" spans="1:39" ht="13.8" x14ac:dyDescent="0.25">
      <c r="A461">
        <v>41</v>
      </c>
      <c r="B461" t="str" cm="1">
        <f t="array" ref="B461">_xlfn.IFS(Table1[[#This Row],[Age]]&lt;30,"Under 30",Table1[[#This Row],[Age]]&lt;=40,"30-40",Table1[[#This Row],[Age]]&lt;=50,"41-50",Table1[[#This Row],[Age]]&gt;50,"Over 50")</f>
        <v>41-50</v>
      </c>
      <c r="C461" t="s">
        <v>43</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t="str" cm="1">
        <f t="array" ref="AH461">_xlfn.IFS(Table1[[#This Row],[YearsAtCompany]]&lt;=2,"0-2 years",Table1[[#This Row],[YearsAtCompany]]&lt;=5,"3-5 years",Table1[[#This Row],[YearsAtCompany]]&lt;=10,"6-10 years",Table1[[#This Row],[YearsAtCompany]]&gt;10,"10+ years")</f>
        <v>6-10 years</v>
      </c>
      <c r="AI461">
        <v>7</v>
      </c>
      <c r="AJ461">
        <v>0</v>
      </c>
      <c r="AK461">
        <v>7</v>
      </c>
      <c r="AL461" t="str" cm="1">
        <f t="array" ref="AL461">_xlfn.IFS(Table1[[#This Row],[JobSatisfaction]]=1,"Low",Table1[[#This Row],[JobSatisfaction]]=2,"Medium",Table1[[#This Row],[JobSatisfaction]]=3,"High",Table1[[#This Row],[JobSatisfaction]]=4,"Very High")</f>
        <v>High</v>
      </c>
      <c r="AM461">
        <f>IF(Table1[[#This Row],[Attrition]]="Yes",1,0)</f>
        <v>0</v>
      </c>
    </row>
    <row r="462" spans="1:39" ht="13.8" x14ac:dyDescent="0.25">
      <c r="A462">
        <v>26</v>
      </c>
      <c r="B462" t="str" cm="1">
        <f t="array" ref="B462">_xlfn.IFS(Table1[[#This Row],[Age]]&lt;30,"Under 30",Table1[[#This Row],[Age]]&lt;=40,"30-40",Table1[[#This Row],[Age]]&lt;=50,"41-50",Table1[[#This Row],[Age]]&gt;50,"Over 50")</f>
        <v>Under 30</v>
      </c>
      <c r="C462" t="s">
        <v>43</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t="str" cm="1">
        <f t="array" ref="AH462">_xlfn.IFS(Table1[[#This Row],[YearsAtCompany]]&lt;=2,"0-2 years",Table1[[#This Row],[YearsAtCompany]]&lt;=5,"3-5 years",Table1[[#This Row],[YearsAtCompany]]&lt;=10,"6-10 years",Table1[[#This Row],[YearsAtCompany]]&gt;10,"10+ years")</f>
        <v>0-2 years</v>
      </c>
      <c r="AI462">
        <v>0</v>
      </c>
      <c r="AJ462">
        <v>0</v>
      </c>
      <c r="AK462">
        <v>0</v>
      </c>
      <c r="AL462" t="str" cm="1">
        <f t="array" ref="AL462">_xlfn.IFS(Table1[[#This Row],[JobSatisfaction]]=1,"Low",Table1[[#This Row],[JobSatisfaction]]=2,"Medium",Table1[[#This Row],[JobSatisfaction]]=3,"High",Table1[[#This Row],[JobSatisfaction]]=4,"Very High")</f>
        <v>High</v>
      </c>
      <c r="AM462">
        <f>IF(Table1[[#This Row],[Attrition]]="Yes",1,0)</f>
        <v>0</v>
      </c>
    </row>
    <row r="463" spans="1:39" ht="13.8" x14ac:dyDescent="0.25">
      <c r="A463">
        <v>35</v>
      </c>
      <c r="B463" t="str" cm="1">
        <f t="array" ref="B463">_xlfn.IFS(Table1[[#This Row],[Age]]&lt;30,"Under 30",Table1[[#This Row],[Age]]&lt;=40,"30-40",Table1[[#This Row],[Age]]&lt;=50,"41-50",Table1[[#This Row],[Age]]&gt;50,"Over 50")</f>
        <v>30-40</v>
      </c>
      <c r="C463" t="s">
        <v>43</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t="str" cm="1">
        <f t="array" ref="AH463">_xlfn.IFS(Table1[[#This Row],[YearsAtCompany]]&lt;=2,"0-2 years",Table1[[#This Row],[YearsAtCompany]]&lt;=5,"3-5 years",Table1[[#This Row],[YearsAtCompany]]&lt;=10,"6-10 years",Table1[[#This Row],[YearsAtCompany]]&gt;10,"10+ years")</f>
        <v>3-5 years</v>
      </c>
      <c r="AI463">
        <v>4</v>
      </c>
      <c r="AJ463">
        <v>0</v>
      </c>
      <c r="AK463">
        <v>3</v>
      </c>
      <c r="AL463" t="str" cm="1">
        <f t="array" ref="AL463">_xlfn.IFS(Table1[[#This Row],[JobSatisfaction]]=1,"Low",Table1[[#This Row],[JobSatisfaction]]=2,"Medium",Table1[[#This Row],[JobSatisfaction]]=3,"High",Table1[[#This Row],[JobSatisfaction]]=4,"Very High")</f>
        <v>High</v>
      </c>
      <c r="AM463">
        <f>IF(Table1[[#This Row],[Attrition]]="Yes",1,0)</f>
        <v>0</v>
      </c>
    </row>
    <row r="464" spans="1:39" ht="13.8" x14ac:dyDescent="0.25">
      <c r="A464">
        <v>34</v>
      </c>
      <c r="B464" t="str" cm="1">
        <f t="array" ref="B464">_xlfn.IFS(Table1[[#This Row],[Age]]&lt;30,"Under 30",Table1[[#This Row],[Age]]&lt;=40,"30-40",Table1[[#This Row],[Age]]&lt;=50,"41-50",Table1[[#This Row],[Age]]&gt;50,"Over 50")</f>
        <v>30-40</v>
      </c>
      <c r="C464" t="s">
        <v>43</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t="str" cm="1">
        <f t="array" ref="AH464">_xlfn.IFS(Table1[[#This Row],[YearsAtCompany]]&lt;=2,"0-2 years",Table1[[#This Row],[YearsAtCompany]]&lt;=5,"3-5 years",Table1[[#This Row],[YearsAtCompany]]&lt;=10,"6-10 years",Table1[[#This Row],[YearsAtCompany]]&gt;10,"10+ years")</f>
        <v>6-10 years</v>
      </c>
      <c r="AI464">
        <v>7</v>
      </c>
      <c r="AJ464">
        <v>5</v>
      </c>
      <c r="AK464">
        <v>7</v>
      </c>
      <c r="AL464" t="str" cm="1">
        <f t="array" ref="AL464">_xlfn.IFS(Table1[[#This Row],[JobSatisfaction]]=1,"Low",Table1[[#This Row],[JobSatisfaction]]=2,"Medium",Table1[[#This Row],[JobSatisfaction]]=3,"High",Table1[[#This Row],[JobSatisfaction]]=4,"Very High")</f>
        <v>Very High</v>
      </c>
      <c r="AM464">
        <f>IF(Table1[[#This Row],[Attrition]]="Yes",1,0)</f>
        <v>0</v>
      </c>
    </row>
    <row r="465" spans="1:39" ht="13.8" x14ac:dyDescent="0.25">
      <c r="A465">
        <v>26</v>
      </c>
      <c r="B465" t="str" cm="1">
        <f t="array" ref="B465">_xlfn.IFS(Table1[[#This Row],[Age]]&lt;30,"Under 30",Table1[[#This Row],[Age]]&lt;=40,"30-40",Table1[[#This Row],[Age]]&lt;=50,"41-50",Table1[[#This Row],[Age]]&gt;50,"Over 50")</f>
        <v>Under 30</v>
      </c>
      <c r="C465" t="s">
        <v>35</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t="str" cm="1">
        <f t="array" ref="AH465">_xlfn.IFS(Table1[[#This Row],[YearsAtCompany]]&lt;=2,"0-2 years",Table1[[#This Row],[YearsAtCompany]]&lt;=5,"3-5 years",Table1[[#This Row],[YearsAtCompany]]&lt;=10,"6-10 years",Table1[[#This Row],[YearsAtCompany]]&gt;10,"10+ years")</f>
        <v>0-2 years</v>
      </c>
      <c r="AI465">
        <v>0</v>
      </c>
      <c r="AJ465">
        <v>0</v>
      </c>
      <c r="AK465">
        <v>0</v>
      </c>
      <c r="AL465" t="str" cm="1">
        <f t="array" ref="AL465">_xlfn.IFS(Table1[[#This Row],[JobSatisfaction]]=1,"Low",Table1[[#This Row],[JobSatisfaction]]=2,"Medium",Table1[[#This Row],[JobSatisfaction]]=3,"High",Table1[[#This Row],[JobSatisfaction]]=4,"Very High")</f>
        <v>Very High</v>
      </c>
      <c r="AM465">
        <f>IF(Table1[[#This Row],[Attrition]]="Yes",1,0)</f>
        <v>1</v>
      </c>
    </row>
    <row r="466" spans="1:39" ht="13.8" x14ac:dyDescent="0.25">
      <c r="A466">
        <v>37</v>
      </c>
      <c r="B466" t="str" cm="1">
        <f t="array" ref="B466">_xlfn.IFS(Table1[[#This Row],[Age]]&lt;30,"Under 30",Table1[[#This Row],[Age]]&lt;=40,"30-40",Table1[[#This Row],[Age]]&lt;=50,"41-50",Table1[[#This Row],[Age]]&gt;50,"Over 50")</f>
        <v>30-40</v>
      </c>
      <c r="C466" t="s">
        <v>43</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t="str" cm="1">
        <f t="array" ref="AH466">_xlfn.IFS(Table1[[#This Row],[YearsAtCompany]]&lt;=2,"0-2 years",Table1[[#This Row],[YearsAtCompany]]&lt;=5,"3-5 years",Table1[[#This Row],[YearsAtCompany]]&lt;=10,"6-10 years",Table1[[#This Row],[YearsAtCompany]]&gt;10,"10+ years")</f>
        <v>6-10 years</v>
      </c>
      <c r="AI466">
        <v>5</v>
      </c>
      <c r="AJ466">
        <v>1</v>
      </c>
      <c r="AK466">
        <v>2</v>
      </c>
      <c r="AL466" t="str" cm="1">
        <f t="array" ref="AL466">_xlfn.IFS(Table1[[#This Row],[JobSatisfaction]]=1,"Low",Table1[[#This Row],[JobSatisfaction]]=2,"Medium",Table1[[#This Row],[JobSatisfaction]]=3,"High",Table1[[#This Row],[JobSatisfaction]]=4,"Very High")</f>
        <v>Very High</v>
      </c>
      <c r="AM466">
        <f>IF(Table1[[#This Row],[Attrition]]="Yes",1,0)</f>
        <v>0</v>
      </c>
    </row>
    <row r="467" spans="1:39" ht="13.8" x14ac:dyDescent="0.25">
      <c r="A467">
        <v>46</v>
      </c>
      <c r="B467" t="str" cm="1">
        <f t="array" ref="B467">_xlfn.IFS(Table1[[#This Row],[Age]]&lt;30,"Under 30",Table1[[#This Row],[Age]]&lt;=40,"30-40",Table1[[#This Row],[Age]]&lt;=50,"41-50",Table1[[#This Row],[Age]]&gt;50,"Over 50")</f>
        <v>41-50</v>
      </c>
      <c r="C467" t="s">
        <v>43</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t="str" cm="1">
        <f t="array" ref="AH467">_xlfn.IFS(Table1[[#This Row],[YearsAtCompany]]&lt;=2,"0-2 years",Table1[[#This Row],[YearsAtCompany]]&lt;=5,"3-5 years",Table1[[#This Row],[YearsAtCompany]]&lt;=10,"6-10 years",Table1[[#This Row],[YearsAtCompany]]&gt;10,"10+ years")</f>
        <v>0-2 years</v>
      </c>
      <c r="AI467">
        <v>2</v>
      </c>
      <c r="AJ467">
        <v>1</v>
      </c>
      <c r="AK467">
        <v>2</v>
      </c>
      <c r="AL467" t="str" cm="1">
        <f t="array" ref="AL467">_xlfn.IFS(Table1[[#This Row],[JobSatisfaction]]=1,"Low",Table1[[#This Row],[JobSatisfaction]]=2,"Medium",Table1[[#This Row],[JobSatisfaction]]=3,"High",Table1[[#This Row],[JobSatisfaction]]=4,"Very High")</f>
        <v>High</v>
      </c>
      <c r="AM467">
        <f>IF(Table1[[#This Row],[Attrition]]="Yes",1,0)</f>
        <v>0</v>
      </c>
    </row>
    <row r="468" spans="1:39" ht="13.8" x14ac:dyDescent="0.25">
      <c r="A468">
        <v>41</v>
      </c>
      <c r="B468" t="str" cm="1">
        <f t="array" ref="B468">_xlfn.IFS(Table1[[#This Row],[Age]]&lt;30,"Under 30",Table1[[#This Row],[Age]]&lt;=40,"30-40",Table1[[#This Row],[Age]]&lt;=50,"41-50",Table1[[#This Row],[Age]]&gt;50,"Over 50")</f>
        <v>41-50</v>
      </c>
      <c r="C468" t="s">
        <v>43</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t="str" cm="1">
        <f t="array" ref="AH468">_xlfn.IFS(Table1[[#This Row],[YearsAtCompany]]&lt;=2,"0-2 years",Table1[[#This Row],[YearsAtCompany]]&lt;=5,"3-5 years",Table1[[#This Row],[YearsAtCompany]]&lt;=10,"6-10 years",Table1[[#This Row],[YearsAtCompany]]&gt;10,"10+ years")</f>
        <v>10+ years</v>
      </c>
      <c r="AI468">
        <v>16</v>
      </c>
      <c r="AJ468">
        <v>11</v>
      </c>
      <c r="AK468">
        <v>8</v>
      </c>
      <c r="AL468" t="str" cm="1">
        <f t="array" ref="AL468">_xlfn.IFS(Table1[[#This Row],[JobSatisfaction]]=1,"Low",Table1[[#This Row],[JobSatisfaction]]=2,"Medium",Table1[[#This Row],[JobSatisfaction]]=3,"High",Table1[[#This Row],[JobSatisfaction]]=4,"Very High")</f>
        <v>Low</v>
      </c>
      <c r="AM468">
        <f>IF(Table1[[#This Row],[Attrition]]="Yes",1,0)</f>
        <v>0</v>
      </c>
    </row>
    <row r="469" spans="1:39" ht="13.8" x14ac:dyDescent="0.25">
      <c r="A469">
        <v>37</v>
      </c>
      <c r="B469" t="str" cm="1">
        <f t="array" ref="B469">_xlfn.IFS(Table1[[#This Row],[Age]]&lt;30,"Under 30",Table1[[#This Row],[Age]]&lt;=40,"30-40",Table1[[#This Row],[Age]]&lt;=50,"41-50",Table1[[#This Row],[Age]]&gt;50,"Over 50")</f>
        <v>30-40</v>
      </c>
      <c r="C469" t="s">
        <v>43</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t="str" cm="1">
        <f t="array" ref="AH469">_xlfn.IFS(Table1[[#This Row],[YearsAtCompany]]&lt;=2,"0-2 years",Table1[[#This Row],[YearsAtCompany]]&lt;=5,"3-5 years",Table1[[#This Row],[YearsAtCompany]]&lt;=10,"6-10 years",Table1[[#This Row],[YearsAtCompany]]&gt;10,"10+ years")</f>
        <v>6-10 years</v>
      </c>
      <c r="AI469">
        <v>5</v>
      </c>
      <c r="AJ469">
        <v>7</v>
      </c>
      <c r="AK469">
        <v>7</v>
      </c>
      <c r="AL469" t="str" cm="1">
        <f t="array" ref="AL469">_xlfn.IFS(Table1[[#This Row],[JobSatisfaction]]=1,"Low",Table1[[#This Row],[JobSatisfaction]]=2,"Medium",Table1[[#This Row],[JobSatisfaction]]=3,"High",Table1[[#This Row],[JobSatisfaction]]=4,"Very High")</f>
        <v>Medium</v>
      </c>
      <c r="AM469">
        <f>IF(Table1[[#This Row],[Attrition]]="Yes",1,0)</f>
        <v>0</v>
      </c>
    </row>
    <row r="470" spans="1:39" ht="13.8" x14ac:dyDescent="0.25">
      <c r="A470">
        <v>52</v>
      </c>
      <c r="B470" t="str" cm="1">
        <f t="array" ref="B470">_xlfn.IFS(Table1[[#This Row],[Age]]&lt;30,"Under 30",Table1[[#This Row],[Age]]&lt;=40,"30-40",Table1[[#This Row],[Age]]&lt;=50,"41-50",Table1[[#This Row],[Age]]&gt;50,"Over 50")</f>
        <v>Over 50</v>
      </c>
      <c r="C470" t="s">
        <v>43</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t="str" cm="1">
        <f t="array" ref="AH470">_xlfn.IFS(Table1[[#This Row],[YearsAtCompany]]&lt;=2,"0-2 years",Table1[[#This Row],[YearsAtCompany]]&lt;=5,"3-5 years",Table1[[#This Row],[YearsAtCompany]]&lt;=10,"6-10 years",Table1[[#This Row],[YearsAtCompany]]&gt;10,"10+ years")</f>
        <v>6-10 years</v>
      </c>
      <c r="AI470">
        <v>9</v>
      </c>
      <c r="AJ470">
        <v>6</v>
      </c>
      <c r="AK470">
        <v>9</v>
      </c>
      <c r="AL470" t="str" cm="1">
        <f t="array" ref="AL470">_xlfn.IFS(Table1[[#This Row],[JobSatisfaction]]=1,"Low",Table1[[#This Row],[JobSatisfaction]]=2,"Medium",Table1[[#This Row],[JobSatisfaction]]=3,"High",Table1[[#This Row],[JobSatisfaction]]=4,"Very High")</f>
        <v>Low</v>
      </c>
      <c r="AM470">
        <f>IF(Table1[[#This Row],[Attrition]]="Yes",1,0)</f>
        <v>0</v>
      </c>
    </row>
    <row r="471" spans="1:39" ht="13.8" x14ac:dyDescent="0.25">
      <c r="A471">
        <v>32</v>
      </c>
      <c r="B471" t="str" cm="1">
        <f t="array" ref="B471">_xlfn.IFS(Table1[[#This Row],[Age]]&lt;30,"Under 30",Table1[[#This Row],[Age]]&lt;=40,"30-40",Table1[[#This Row],[Age]]&lt;=50,"41-50",Table1[[#This Row],[Age]]&gt;50,"Over 50")</f>
        <v>30-40</v>
      </c>
      <c r="C471" t="s">
        <v>35</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t="str" cm="1">
        <f t="array" ref="AH471">_xlfn.IFS(Table1[[#This Row],[YearsAtCompany]]&lt;=2,"0-2 years",Table1[[#This Row],[YearsAtCompany]]&lt;=5,"3-5 years",Table1[[#This Row],[YearsAtCompany]]&lt;=10,"6-10 years",Table1[[#This Row],[YearsAtCompany]]&gt;10,"10+ years")</f>
        <v>3-5 years</v>
      </c>
      <c r="AI471">
        <v>2</v>
      </c>
      <c r="AJ471">
        <v>1</v>
      </c>
      <c r="AK471">
        <v>2</v>
      </c>
      <c r="AL471" t="str" cm="1">
        <f t="array" ref="AL471">_xlfn.IFS(Table1[[#This Row],[JobSatisfaction]]=1,"Low",Table1[[#This Row],[JobSatisfaction]]=2,"Medium",Table1[[#This Row],[JobSatisfaction]]=3,"High",Table1[[#This Row],[JobSatisfaction]]=4,"Very High")</f>
        <v>High</v>
      </c>
      <c r="AM471">
        <f>IF(Table1[[#This Row],[Attrition]]="Yes",1,0)</f>
        <v>1</v>
      </c>
    </row>
    <row r="472" spans="1:39" ht="13.8" x14ac:dyDescent="0.25">
      <c r="A472">
        <v>24</v>
      </c>
      <c r="B472" t="str" cm="1">
        <f t="array" ref="B472">_xlfn.IFS(Table1[[#This Row],[Age]]&lt;30,"Under 30",Table1[[#This Row],[Age]]&lt;=40,"30-40",Table1[[#This Row],[Age]]&lt;=50,"41-50",Table1[[#This Row],[Age]]&gt;50,"Over 50")</f>
        <v>Under 30</v>
      </c>
      <c r="C472" t="s">
        <v>43</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t="str" cm="1">
        <f t="array" ref="AH472">_xlfn.IFS(Table1[[#This Row],[YearsAtCompany]]&lt;=2,"0-2 years",Table1[[#This Row],[YearsAtCompany]]&lt;=5,"3-5 years",Table1[[#This Row],[YearsAtCompany]]&lt;=10,"6-10 years",Table1[[#This Row],[YearsAtCompany]]&gt;10,"10+ years")</f>
        <v>0-2 years</v>
      </c>
      <c r="AI472">
        <v>2</v>
      </c>
      <c r="AJ472">
        <v>2</v>
      </c>
      <c r="AK472">
        <v>1</v>
      </c>
      <c r="AL472" t="str" cm="1">
        <f t="array" ref="AL472">_xlfn.IFS(Table1[[#This Row],[JobSatisfaction]]=1,"Low",Table1[[#This Row],[JobSatisfaction]]=2,"Medium",Table1[[#This Row],[JobSatisfaction]]=3,"High",Table1[[#This Row],[JobSatisfaction]]=4,"Very High")</f>
        <v>Very High</v>
      </c>
      <c r="AM472">
        <f>IF(Table1[[#This Row],[Attrition]]="Yes",1,0)</f>
        <v>0</v>
      </c>
    </row>
    <row r="473" spans="1:39" ht="13.8" x14ac:dyDescent="0.25">
      <c r="A473">
        <v>38</v>
      </c>
      <c r="B473" t="str" cm="1">
        <f t="array" ref="B473">_xlfn.IFS(Table1[[#This Row],[Age]]&lt;30,"Under 30",Table1[[#This Row],[Age]]&lt;=40,"30-40",Table1[[#This Row],[Age]]&lt;=50,"41-50",Table1[[#This Row],[Age]]&gt;50,"Over 50")</f>
        <v>30-40</v>
      </c>
      <c r="C473" t="s">
        <v>43</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t="str" cm="1">
        <f t="array" ref="AH473">_xlfn.IFS(Table1[[#This Row],[YearsAtCompany]]&lt;=2,"0-2 years",Table1[[#This Row],[YearsAtCompany]]&lt;=5,"3-5 years",Table1[[#This Row],[YearsAtCompany]]&lt;=10,"6-10 years",Table1[[#This Row],[YearsAtCompany]]&gt;10,"10+ years")</f>
        <v>0-2 years</v>
      </c>
      <c r="AI473">
        <v>0</v>
      </c>
      <c r="AJ473">
        <v>0</v>
      </c>
      <c r="AK473">
        <v>0</v>
      </c>
      <c r="AL473" t="str" cm="1">
        <f t="array" ref="AL473">_xlfn.IFS(Table1[[#This Row],[JobSatisfaction]]=1,"Low",Table1[[#This Row],[JobSatisfaction]]=2,"Medium",Table1[[#This Row],[JobSatisfaction]]=3,"High",Table1[[#This Row],[JobSatisfaction]]=4,"Very High")</f>
        <v>High</v>
      </c>
      <c r="AM473">
        <f>IF(Table1[[#This Row],[Attrition]]="Yes",1,0)</f>
        <v>0</v>
      </c>
    </row>
    <row r="474" spans="1:39" ht="13.8" x14ac:dyDescent="0.25">
      <c r="A474">
        <v>37</v>
      </c>
      <c r="B474" t="str" cm="1">
        <f t="array" ref="B474">_xlfn.IFS(Table1[[#This Row],[Age]]&lt;30,"Under 30",Table1[[#This Row],[Age]]&lt;=40,"30-40",Table1[[#This Row],[Age]]&lt;=50,"41-50",Table1[[#This Row],[Age]]&gt;50,"Over 50")</f>
        <v>30-40</v>
      </c>
      <c r="C474" t="s">
        <v>43</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t="str" cm="1">
        <f t="array" ref="AH474">_xlfn.IFS(Table1[[#This Row],[YearsAtCompany]]&lt;=2,"0-2 years",Table1[[#This Row],[YearsAtCompany]]&lt;=5,"3-5 years",Table1[[#This Row],[YearsAtCompany]]&lt;=10,"6-10 years",Table1[[#This Row],[YearsAtCompany]]&gt;10,"10+ years")</f>
        <v>6-10 years</v>
      </c>
      <c r="AI474">
        <v>5</v>
      </c>
      <c r="AJ474">
        <v>4</v>
      </c>
      <c r="AK474">
        <v>3</v>
      </c>
      <c r="AL474" t="str" cm="1">
        <f t="array" ref="AL474">_xlfn.IFS(Table1[[#This Row],[JobSatisfaction]]=1,"Low",Table1[[#This Row],[JobSatisfaction]]=2,"Medium",Table1[[#This Row],[JobSatisfaction]]=3,"High",Table1[[#This Row],[JobSatisfaction]]=4,"Very High")</f>
        <v>Medium</v>
      </c>
      <c r="AM474">
        <f>IF(Table1[[#This Row],[Attrition]]="Yes",1,0)</f>
        <v>0</v>
      </c>
    </row>
    <row r="475" spans="1:39" ht="13.8" x14ac:dyDescent="0.25">
      <c r="A475">
        <v>49</v>
      </c>
      <c r="B475" t="str" cm="1">
        <f t="array" ref="B475">_xlfn.IFS(Table1[[#This Row],[Age]]&lt;30,"Under 30",Table1[[#This Row],[Age]]&lt;=40,"30-40",Table1[[#This Row],[Age]]&lt;=50,"41-50",Table1[[#This Row],[Age]]&gt;50,"Over 50")</f>
        <v>41-50</v>
      </c>
      <c r="C475" t="s">
        <v>43</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t="str" cm="1">
        <f t="array" ref="AH475">_xlfn.IFS(Table1[[#This Row],[YearsAtCompany]]&lt;=2,"0-2 years",Table1[[#This Row],[YearsAtCompany]]&lt;=5,"3-5 years",Table1[[#This Row],[YearsAtCompany]]&lt;=10,"6-10 years",Table1[[#This Row],[YearsAtCompany]]&gt;10,"10+ years")</f>
        <v>10+ years</v>
      </c>
      <c r="AI475">
        <v>9</v>
      </c>
      <c r="AJ475">
        <v>0</v>
      </c>
      <c r="AK475">
        <v>9</v>
      </c>
      <c r="AL475" t="str" cm="1">
        <f t="array" ref="AL475">_xlfn.IFS(Table1[[#This Row],[JobSatisfaction]]=1,"Low",Table1[[#This Row],[JobSatisfaction]]=2,"Medium",Table1[[#This Row],[JobSatisfaction]]=3,"High",Table1[[#This Row],[JobSatisfaction]]=4,"Very High")</f>
        <v>High</v>
      </c>
      <c r="AM475">
        <f>IF(Table1[[#This Row],[Attrition]]="Yes",1,0)</f>
        <v>0</v>
      </c>
    </row>
    <row r="476" spans="1:39" ht="13.8" x14ac:dyDescent="0.25">
      <c r="A476">
        <v>24</v>
      </c>
      <c r="B476" t="str" cm="1">
        <f t="array" ref="B476">_xlfn.IFS(Table1[[#This Row],[Age]]&lt;30,"Under 30",Table1[[#This Row],[Age]]&lt;=40,"30-40",Table1[[#This Row],[Age]]&lt;=50,"41-50",Table1[[#This Row],[Age]]&gt;50,"Over 50")</f>
        <v>Under 30</v>
      </c>
      <c r="C476" t="s">
        <v>43</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t="str" cm="1">
        <f t="array" ref="AH476">_xlfn.IFS(Table1[[#This Row],[YearsAtCompany]]&lt;=2,"0-2 years",Table1[[#This Row],[YearsAtCompany]]&lt;=5,"3-5 years",Table1[[#This Row],[YearsAtCompany]]&lt;=10,"6-10 years",Table1[[#This Row],[YearsAtCompany]]&gt;10,"10+ years")</f>
        <v>6-10 years</v>
      </c>
      <c r="AI476">
        <v>5</v>
      </c>
      <c r="AJ476">
        <v>1</v>
      </c>
      <c r="AK476">
        <v>4</v>
      </c>
      <c r="AL476" t="str" cm="1">
        <f t="array" ref="AL476">_xlfn.IFS(Table1[[#This Row],[JobSatisfaction]]=1,"Low",Table1[[#This Row],[JobSatisfaction]]=2,"Medium",Table1[[#This Row],[JobSatisfaction]]=3,"High",Table1[[#This Row],[JobSatisfaction]]=4,"Very High")</f>
        <v>Very High</v>
      </c>
      <c r="AM476">
        <f>IF(Table1[[#This Row],[Attrition]]="Yes",1,0)</f>
        <v>0</v>
      </c>
    </row>
    <row r="477" spans="1:39" ht="13.8" x14ac:dyDescent="0.25">
      <c r="A477">
        <v>26</v>
      </c>
      <c r="B477" t="str" cm="1">
        <f t="array" ref="B477">_xlfn.IFS(Table1[[#This Row],[Age]]&lt;30,"Under 30",Table1[[#This Row],[Age]]&lt;=40,"30-40",Table1[[#This Row],[Age]]&lt;=50,"41-50",Table1[[#This Row],[Age]]&gt;50,"Over 50")</f>
        <v>Under 30</v>
      </c>
      <c r="C477" t="s">
        <v>43</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t="str" cm="1">
        <f t="array" ref="AH477">_xlfn.IFS(Table1[[#This Row],[YearsAtCompany]]&lt;=2,"0-2 years",Table1[[#This Row],[YearsAtCompany]]&lt;=5,"3-5 years",Table1[[#This Row],[YearsAtCompany]]&lt;=10,"6-10 years",Table1[[#This Row],[YearsAtCompany]]&gt;10,"10+ years")</f>
        <v>3-5 years</v>
      </c>
      <c r="AI477">
        <v>3</v>
      </c>
      <c r="AJ477">
        <v>1</v>
      </c>
      <c r="AK477">
        <v>4</v>
      </c>
      <c r="AL477" t="str" cm="1">
        <f t="array" ref="AL477">_xlfn.IFS(Table1[[#This Row],[JobSatisfaction]]=1,"Low",Table1[[#This Row],[JobSatisfaction]]=2,"Medium",Table1[[#This Row],[JobSatisfaction]]=3,"High",Table1[[#This Row],[JobSatisfaction]]=4,"Very High")</f>
        <v>Medium</v>
      </c>
      <c r="AM477">
        <f>IF(Table1[[#This Row],[Attrition]]="Yes",1,0)</f>
        <v>0</v>
      </c>
    </row>
    <row r="478" spans="1:39" ht="13.8" x14ac:dyDescent="0.25">
      <c r="A478">
        <v>24</v>
      </c>
      <c r="B478" t="str" cm="1">
        <f t="array" ref="B478">_xlfn.IFS(Table1[[#This Row],[Age]]&lt;30,"Under 30",Table1[[#This Row],[Age]]&lt;=40,"30-40",Table1[[#This Row],[Age]]&lt;=50,"41-50",Table1[[#This Row],[Age]]&gt;50,"Over 50")</f>
        <v>Under 30</v>
      </c>
      <c r="C478" t="s">
        <v>43</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t="str" cm="1">
        <f t="array" ref="AH478">_xlfn.IFS(Table1[[#This Row],[YearsAtCompany]]&lt;=2,"0-2 years",Table1[[#This Row],[YearsAtCompany]]&lt;=5,"3-5 years",Table1[[#This Row],[YearsAtCompany]]&lt;=10,"6-10 years",Table1[[#This Row],[YearsAtCompany]]&gt;10,"10+ years")</f>
        <v>0-2 years</v>
      </c>
      <c r="AI478">
        <v>0</v>
      </c>
      <c r="AJ478">
        <v>0</v>
      </c>
      <c r="AK478">
        <v>0</v>
      </c>
      <c r="AL478" t="str" cm="1">
        <f t="array" ref="AL478">_xlfn.IFS(Table1[[#This Row],[JobSatisfaction]]=1,"Low",Table1[[#This Row],[JobSatisfaction]]=2,"Medium",Table1[[#This Row],[JobSatisfaction]]=3,"High",Table1[[#This Row],[JobSatisfaction]]=4,"Very High")</f>
        <v>Medium</v>
      </c>
      <c r="AM478">
        <f>IF(Table1[[#This Row],[Attrition]]="Yes",1,0)</f>
        <v>0</v>
      </c>
    </row>
    <row r="479" spans="1:39" ht="13.8" x14ac:dyDescent="0.25">
      <c r="A479">
        <v>50</v>
      </c>
      <c r="B479" t="str" cm="1">
        <f t="array" ref="B479">_xlfn.IFS(Table1[[#This Row],[Age]]&lt;30,"Under 30",Table1[[#This Row],[Age]]&lt;=40,"30-40",Table1[[#This Row],[Age]]&lt;=50,"41-50",Table1[[#This Row],[Age]]&gt;50,"Over 50")</f>
        <v>41-50</v>
      </c>
      <c r="C479" t="s">
        <v>43</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t="str" cm="1">
        <f t="array" ref="AH479">_xlfn.IFS(Table1[[#This Row],[YearsAtCompany]]&lt;=2,"0-2 years",Table1[[#This Row],[YearsAtCompany]]&lt;=5,"3-5 years",Table1[[#This Row],[YearsAtCompany]]&lt;=10,"6-10 years",Table1[[#This Row],[YearsAtCompany]]&gt;10,"10+ years")</f>
        <v>10+ years</v>
      </c>
      <c r="AI479">
        <v>5</v>
      </c>
      <c r="AJ479">
        <v>10</v>
      </c>
      <c r="AK479">
        <v>7</v>
      </c>
      <c r="AL479" t="str" cm="1">
        <f t="array" ref="AL479">_xlfn.IFS(Table1[[#This Row],[JobSatisfaction]]=1,"Low",Table1[[#This Row],[JobSatisfaction]]=2,"Medium",Table1[[#This Row],[JobSatisfaction]]=3,"High",Table1[[#This Row],[JobSatisfaction]]=4,"Very High")</f>
        <v>Medium</v>
      </c>
      <c r="AM479">
        <f>IF(Table1[[#This Row],[Attrition]]="Yes",1,0)</f>
        <v>0</v>
      </c>
    </row>
    <row r="480" spans="1:39" ht="13.8" x14ac:dyDescent="0.25">
      <c r="A480">
        <v>25</v>
      </c>
      <c r="B480" t="str" cm="1">
        <f t="array" ref="B480">_xlfn.IFS(Table1[[#This Row],[Age]]&lt;30,"Under 30",Table1[[#This Row],[Age]]&lt;=40,"30-40",Table1[[#This Row],[Age]]&lt;=50,"41-50",Table1[[#This Row],[Age]]&gt;50,"Over 50")</f>
        <v>Under 30</v>
      </c>
      <c r="C480" t="s">
        <v>43</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t="str" cm="1">
        <f t="array" ref="AH480">_xlfn.IFS(Table1[[#This Row],[YearsAtCompany]]&lt;=2,"0-2 years",Table1[[#This Row],[YearsAtCompany]]&lt;=5,"3-5 years",Table1[[#This Row],[YearsAtCompany]]&lt;=10,"6-10 years",Table1[[#This Row],[YearsAtCompany]]&gt;10,"10+ years")</f>
        <v>6-10 years</v>
      </c>
      <c r="AI480">
        <v>4</v>
      </c>
      <c r="AJ480">
        <v>0</v>
      </c>
      <c r="AK480">
        <v>6</v>
      </c>
      <c r="AL480" t="str" cm="1">
        <f t="array" ref="AL480">_xlfn.IFS(Table1[[#This Row],[JobSatisfaction]]=1,"Low",Table1[[#This Row],[JobSatisfaction]]=2,"Medium",Table1[[#This Row],[JobSatisfaction]]=3,"High",Table1[[#This Row],[JobSatisfaction]]=4,"Very High")</f>
        <v>High</v>
      </c>
      <c r="AM480">
        <f>IF(Table1[[#This Row],[Attrition]]="Yes",1,0)</f>
        <v>0</v>
      </c>
    </row>
    <row r="481" spans="1:39" ht="13.8" x14ac:dyDescent="0.25">
      <c r="A481">
        <v>24</v>
      </c>
      <c r="B481" t="str" cm="1">
        <f t="array" ref="B481">_xlfn.IFS(Table1[[#This Row],[Age]]&lt;30,"Under 30",Table1[[#This Row],[Age]]&lt;=40,"30-40",Table1[[#This Row],[Age]]&lt;=50,"41-50",Table1[[#This Row],[Age]]&gt;50,"Over 50")</f>
        <v>Under 30</v>
      </c>
      <c r="C481" t="s">
        <v>35</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t="str" cm="1">
        <f t="array" ref="AH481">_xlfn.IFS(Table1[[#This Row],[YearsAtCompany]]&lt;=2,"0-2 years",Table1[[#This Row],[YearsAtCompany]]&lt;=5,"3-5 years",Table1[[#This Row],[YearsAtCompany]]&lt;=10,"6-10 years",Table1[[#This Row],[YearsAtCompany]]&gt;10,"10+ years")</f>
        <v>6-10 years</v>
      </c>
      <c r="AI481">
        <v>3</v>
      </c>
      <c r="AJ481">
        <v>1</v>
      </c>
      <c r="AK481">
        <v>2</v>
      </c>
      <c r="AL481" t="str" cm="1">
        <f t="array" ref="AL481">_xlfn.IFS(Table1[[#This Row],[JobSatisfaction]]=1,"Low",Table1[[#This Row],[JobSatisfaction]]=2,"Medium",Table1[[#This Row],[JobSatisfaction]]=3,"High",Table1[[#This Row],[JobSatisfaction]]=4,"Very High")</f>
        <v>High</v>
      </c>
      <c r="AM481">
        <f>IF(Table1[[#This Row],[Attrition]]="Yes",1,0)</f>
        <v>1</v>
      </c>
    </row>
    <row r="482" spans="1:39" ht="13.8" x14ac:dyDescent="0.25">
      <c r="A482">
        <v>30</v>
      </c>
      <c r="B482" t="str" cm="1">
        <f t="array" ref="B482">_xlfn.IFS(Table1[[#This Row],[Age]]&lt;30,"Under 30",Table1[[#This Row],[Age]]&lt;=40,"30-40",Table1[[#This Row],[Age]]&lt;=50,"41-50",Table1[[#This Row],[Age]]&gt;50,"Over 50")</f>
        <v>30-40</v>
      </c>
      <c r="C482" t="s">
        <v>35</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t="str" cm="1">
        <f t="array" ref="AH482">_xlfn.IFS(Table1[[#This Row],[YearsAtCompany]]&lt;=2,"0-2 years",Table1[[#This Row],[YearsAtCompany]]&lt;=5,"3-5 years",Table1[[#This Row],[YearsAtCompany]]&lt;=10,"6-10 years",Table1[[#This Row],[YearsAtCompany]]&gt;10,"10+ years")</f>
        <v>0-2 years</v>
      </c>
      <c r="AI482">
        <v>0</v>
      </c>
      <c r="AJ482">
        <v>0</v>
      </c>
      <c r="AK482">
        <v>0</v>
      </c>
      <c r="AL482" t="str" cm="1">
        <f t="array" ref="AL482">_xlfn.IFS(Table1[[#This Row],[JobSatisfaction]]=1,"Low",Table1[[#This Row],[JobSatisfaction]]=2,"Medium",Table1[[#This Row],[JobSatisfaction]]=3,"High",Table1[[#This Row],[JobSatisfaction]]=4,"Very High")</f>
        <v>Low</v>
      </c>
      <c r="AM482">
        <f>IF(Table1[[#This Row],[Attrition]]="Yes",1,0)</f>
        <v>1</v>
      </c>
    </row>
    <row r="483" spans="1:39" ht="13.8" x14ac:dyDescent="0.25">
      <c r="A483">
        <v>34</v>
      </c>
      <c r="B483" t="str" cm="1">
        <f t="array" ref="B483">_xlfn.IFS(Table1[[#This Row],[Age]]&lt;30,"Under 30",Table1[[#This Row],[Age]]&lt;=40,"30-40",Table1[[#This Row],[Age]]&lt;=50,"41-50",Table1[[#This Row],[Age]]&gt;50,"Over 50")</f>
        <v>30-40</v>
      </c>
      <c r="C483" t="s">
        <v>43</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t="str" cm="1">
        <f t="array" ref="AH483">_xlfn.IFS(Table1[[#This Row],[YearsAtCompany]]&lt;=2,"0-2 years",Table1[[#This Row],[YearsAtCompany]]&lt;=5,"3-5 years",Table1[[#This Row],[YearsAtCompany]]&lt;=10,"6-10 years",Table1[[#This Row],[YearsAtCompany]]&gt;10,"10+ years")</f>
        <v>6-10 years</v>
      </c>
      <c r="AI483">
        <v>5</v>
      </c>
      <c r="AJ483">
        <v>1</v>
      </c>
      <c r="AK483">
        <v>3</v>
      </c>
      <c r="AL483" t="str" cm="1">
        <f t="array" ref="AL483">_xlfn.IFS(Table1[[#This Row],[JobSatisfaction]]=1,"Low",Table1[[#This Row],[JobSatisfaction]]=2,"Medium",Table1[[#This Row],[JobSatisfaction]]=3,"High",Table1[[#This Row],[JobSatisfaction]]=4,"Very High")</f>
        <v>Very High</v>
      </c>
      <c r="AM483">
        <f>IF(Table1[[#This Row],[Attrition]]="Yes",1,0)</f>
        <v>0</v>
      </c>
    </row>
    <row r="484" spans="1:39" ht="13.8" x14ac:dyDescent="0.25">
      <c r="A484">
        <v>31</v>
      </c>
      <c r="B484" t="str" cm="1">
        <f t="array" ref="B484">_xlfn.IFS(Table1[[#This Row],[Age]]&lt;30,"Under 30",Table1[[#This Row],[Age]]&lt;=40,"30-40",Table1[[#This Row],[Age]]&lt;=50,"41-50",Table1[[#This Row],[Age]]&gt;50,"Over 50")</f>
        <v>30-40</v>
      </c>
      <c r="C484" t="s">
        <v>35</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t="str" cm="1">
        <f t="array" ref="AH484">_xlfn.IFS(Table1[[#This Row],[YearsAtCompany]]&lt;=2,"0-2 years",Table1[[#This Row],[YearsAtCompany]]&lt;=5,"3-5 years",Table1[[#This Row],[YearsAtCompany]]&lt;=10,"6-10 years",Table1[[#This Row],[YearsAtCompany]]&gt;10,"10+ years")</f>
        <v>3-5 years</v>
      </c>
      <c r="AI484">
        <v>1</v>
      </c>
      <c r="AJ484">
        <v>1</v>
      </c>
      <c r="AK484">
        <v>2</v>
      </c>
      <c r="AL484" t="str" cm="1">
        <f t="array" ref="AL484">_xlfn.IFS(Table1[[#This Row],[JobSatisfaction]]=1,"Low",Table1[[#This Row],[JobSatisfaction]]=2,"Medium",Table1[[#This Row],[JobSatisfaction]]=3,"High",Table1[[#This Row],[JobSatisfaction]]=4,"Very High")</f>
        <v>Low</v>
      </c>
      <c r="AM484">
        <f>IF(Table1[[#This Row],[Attrition]]="Yes",1,0)</f>
        <v>1</v>
      </c>
    </row>
    <row r="485" spans="1:39" ht="13.8" x14ac:dyDescent="0.25">
      <c r="A485">
        <v>35</v>
      </c>
      <c r="B485" t="str" cm="1">
        <f t="array" ref="B485">_xlfn.IFS(Table1[[#This Row],[Age]]&lt;30,"Under 30",Table1[[#This Row],[Age]]&lt;=40,"30-40",Table1[[#This Row],[Age]]&lt;=50,"41-50",Table1[[#This Row],[Age]]&gt;50,"Over 50")</f>
        <v>30-40</v>
      </c>
      <c r="C485" t="s">
        <v>43</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t="str" cm="1">
        <f t="array" ref="AH485">_xlfn.IFS(Table1[[#This Row],[YearsAtCompany]]&lt;=2,"0-2 years",Table1[[#This Row],[YearsAtCompany]]&lt;=5,"3-5 years",Table1[[#This Row],[YearsAtCompany]]&lt;=10,"6-10 years",Table1[[#This Row],[YearsAtCompany]]&gt;10,"10+ years")</f>
        <v>3-5 years</v>
      </c>
      <c r="AI485">
        <v>2</v>
      </c>
      <c r="AJ485">
        <v>0</v>
      </c>
      <c r="AK485">
        <v>2</v>
      </c>
      <c r="AL485" t="str" cm="1">
        <f t="array" ref="AL485">_xlfn.IFS(Table1[[#This Row],[JobSatisfaction]]=1,"Low",Table1[[#This Row],[JobSatisfaction]]=2,"Medium",Table1[[#This Row],[JobSatisfaction]]=3,"High",Table1[[#This Row],[JobSatisfaction]]=4,"Very High")</f>
        <v>Very High</v>
      </c>
      <c r="AM485">
        <f>IF(Table1[[#This Row],[Attrition]]="Yes",1,0)</f>
        <v>0</v>
      </c>
    </row>
    <row r="486" spans="1:39" ht="13.8" x14ac:dyDescent="0.25">
      <c r="A486">
        <v>31</v>
      </c>
      <c r="B486" t="str" cm="1">
        <f t="array" ref="B486">_xlfn.IFS(Table1[[#This Row],[Age]]&lt;30,"Under 30",Table1[[#This Row],[Age]]&lt;=40,"30-40",Table1[[#This Row],[Age]]&lt;=50,"41-50",Table1[[#This Row],[Age]]&gt;50,"Over 50")</f>
        <v>30-40</v>
      </c>
      <c r="C486" t="s">
        <v>43</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t="str" cm="1">
        <f t="array" ref="AH486">_xlfn.IFS(Table1[[#This Row],[YearsAtCompany]]&lt;=2,"0-2 years",Table1[[#This Row],[YearsAtCompany]]&lt;=5,"3-5 years",Table1[[#This Row],[YearsAtCompany]]&lt;=10,"6-10 years",Table1[[#This Row],[YearsAtCompany]]&gt;10,"10+ years")</f>
        <v>6-10 years</v>
      </c>
      <c r="AI486">
        <v>7</v>
      </c>
      <c r="AJ486">
        <v>5</v>
      </c>
      <c r="AK486">
        <v>7</v>
      </c>
      <c r="AL486" t="str" cm="1">
        <f t="array" ref="AL486">_xlfn.IFS(Table1[[#This Row],[JobSatisfaction]]=1,"Low",Table1[[#This Row],[JobSatisfaction]]=2,"Medium",Table1[[#This Row],[JobSatisfaction]]=3,"High",Table1[[#This Row],[JobSatisfaction]]=4,"Very High")</f>
        <v>Very High</v>
      </c>
      <c r="AM486">
        <f>IF(Table1[[#This Row],[Attrition]]="Yes",1,0)</f>
        <v>0</v>
      </c>
    </row>
    <row r="487" spans="1:39" ht="13.8" x14ac:dyDescent="0.25">
      <c r="A487">
        <v>27</v>
      </c>
      <c r="B487" t="str" cm="1">
        <f t="array" ref="B487">_xlfn.IFS(Table1[[#This Row],[Age]]&lt;30,"Under 30",Table1[[#This Row],[Age]]&lt;=40,"30-40",Table1[[#This Row],[Age]]&lt;=50,"41-50",Table1[[#This Row],[Age]]&gt;50,"Over 50")</f>
        <v>Under 30</v>
      </c>
      <c r="C487" t="s">
        <v>43</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t="str" cm="1">
        <f t="array" ref="AH487">_xlfn.IFS(Table1[[#This Row],[YearsAtCompany]]&lt;=2,"0-2 years",Table1[[#This Row],[YearsAtCompany]]&lt;=5,"3-5 years",Table1[[#This Row],[YearsAtCompany]]&lt;=10,"6-10 years",Table1[[#This Row],[YearsAtCompany]]&gt;10,"10+ years")</f>
        <v>3-5 years</v>
      </c>
      <c r="AI487">
        <v>3</v>
      </c>
      <c r="AJ487">
        <v>0</v>
      </c>
      <c r="AK487">
        <v>3</v>
      </c>
      <c r="AL487" t="str" cm="1">
        <f t="array" ref="AL487">_xlfn.IFS(Table1[[#This Row],[JobSatisfaction]]=1,"Low",Table1[[#This Row],[JobSatisfaction]]=2,"Medium",Table1[[#This Row],[JobSatisfaction]]=3,"High",Table1[[#This Row],[JobSatisfaction]]=4,"Very High")</f>
        <v>High</v>
      </c>
      <c r="AM487">
        <f>IF(Table1[[#This Row],[Attrition]]="Yes",1,0)</f>
        <v>0</v>
      </c>
    </row>
    <row r="488" spans="1:39" ht="13.8" x14ac:dyDescent="0.25">
      <c r="A488">
        <v>37</v>
      </c>
      <c r="B488" t="str" cm="1">
        <f t="array" ref="B488">_xlfn.IFS(Table1[[#This Row],[Age]]&lt;30,"Under 30",Table1[[#This Row],[Age]]&lt;=40,"30-40",Table1[[#This Row],[Age]]&lt;=50,"41-50",Table1[[#This Row],[Age]]&gt;50,"Over 50")</f>
        <v>30-40</v>
      </c>
      <c r="C488" t="s">
        <v>43</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t="str" cm="1">
        <f t="array" ref="AH488">_xlfn.IFS(Table1[[#This Row],[YearsAtCompany]]&lt;=2,"0-2 years",Table1[[#This Row],[YearsAtCompany]]&lt;=5,"3-5 years",Table1[[#This Row],[YearsAtCompany]]&lt;=10,"6-10 years",Table1[[#This Row],[YearsAtCompany]]&gt;10,"10+ years")</f>
        <v>3-5 years</v>
      </c>
      <c r="AI488">
        <v>0</v>
      </c>
      <c r="AJ488">
        <v>1</v>
      </c>
      <c r="AK488">
        <v>0</v>
      </c>
      <c r="AL488" t="str" cm="1">
        <f t="array" ref="AL488">_xlfn.IFS(Table1[[#This Row],[JobSatisfaction]]=1,"Low",Table1[[#This Row],[JobSatisfaction]]=2,"Medium",Table1[[#This Row],[JobSatisfaction]]=3,"High",Table1[[#This Row],[JobSatisfaction]]=4,"Very High")</f>
        <v>High</v>
      </c>
      <c r="AM488">
        <f>IF(Table1[[#This Row],[Attrition]]="Yes",1,0)</f>
        <v>0</v>
      </c>
    </row>
    <row r="489" spans="1:39" ht="13.8" x14ac:dyDescent="0.25">
      <c r="A489">
        <v>20</v>
      </c>
      <c r="B489" t="str" cm="1">
        <f t="array" ref="B489">_xlfn.IFS(Table1[[#This Row],[Age]]&lt;30,"Under 30",Table1[[#This Row],[Age]]&lt;=40,"30-40",Table1[[#This Row],[Age]]&lt;=50,"41-50",Table1[[#This Row],[Age]]&gt;50,"Over 50")</f>
        <v>Under 30</v>
      </c>
      <c r="C489" t="s">
        <v>43</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t="str" cm="1">
        <f t="array" ref="AH489">_xlfn.IFS(Table1[[#This Row],[YearsAtCompany]]&lt;=2,"0-2 years",Table1[[#This Row],[YearsAtCompany]]&lt;=5,"3-5 years",Table1[[#This Row],[YearsAtCompany]]&lt;=10,"6-10 years",Table1[[#This Row],[YearsAtCompany]]&gt;10,"10+ years")</f>
        <v>0-2 years</v>
      </c>
      <c r="AI489">
        <v>0</v>
      </c>
      <c r="AJ489">
        <v>0</v>
      </c>
      <c r="AK489">
        <v>0</v>
      </c>
      <c r="AL489" t="str" cm="1">
        <f t="array" ref="AL489">_xlfn.IFS(Table1[[#This Row],[JobSatisfaction]]=1,"Low",Table1[[#This Row],[JobSatisfaction]]=2,"Medium",Table1[[#This Row],[JobSatisfaction]]=3,"High",Table1[[#This Row],[JobSatisfaction]]=4,"Very High")</f>
        <v>Medium</v>
      </c>
      <c r="AM489">
        <f>IF(Table1[[#This Row],[Attrition]]="Yes",1,0)</f>
        <v>0</v>
      </c>
    </row>
    <row r="490" spans="1:39" ht="13.8" x14ac:dyDescent="0.25">
      <c r="A490">
        <v>42</v>
      </c>
      <c r="B490" t="str" cm="1">
        <f t="array" ref="B490">_xlfn.IFS(Table1[[#This Row],[Age]]&lt;30,"Under 30",Table1[[#This Row],[Age]]&lt;=40,"30-40",Table1[[#This Row],[Age]]&lt;=50,"41-50",Table1[[#This Row],[Age]]&gt;50,"Over 50")</f>
        <v>41-50</v>
      </c>
      <c r="C490" t="s">
        <v>43</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t="str" cm="1">
        <f t="array" ref="AH490">_xlfn.IFS(Table1[[#This Row],[YearsAtCompany]]&lt;=2,"0-2 years",Table1[[#This Row],[YearsAtCompany]]&lt;=5,"3-5 years",Table1[[#This Row],[YearsAtCompany]]&lt;=10,"6-10 years",Table1[[#This Row],[YearsAtCompany]]&gt;10,"10+ years")</f>
        <v>6-10 years</v>
      </c>
      <c r="AI490">
        <v>2</v>
      </c>
      <c r="AJ490">
        <v>2</v>
      </c>
      <c r="AK490">
        <v>2</v>
      </c>
      <c r="AL490" t="str" cm="1">
        <f t="array" ref="AL490">_xlfn.IFS(Table1[[#This Row],[JobSatisfaction]]=1,"Low",Table1[[#This Row],[JobSatisfaction]]=2,"Medium",Table1[[#This Row],[JobSatisfaction]]=3,"High",Table1[[#This Row],[JobSatisfaction]]=4,"Very High")</f>
        <v>Very High</v>
      </c>
      <c r="AM490">
        <f>IF(Table1[[#This Row],[Attrition]]="Yes",1,0)</f>
        <v>0</v>
      </c>
    </row>
    <row r="491" spans="1:39" ht="13.8" x14ac:dyDescent="0.25">
      <c r="A491">
        <v>43</v>
      </c>
      <c r="B491" t="str" cm="1">
        <f t="array" ref="B491">_xlfn.IFS(Table1[[#This Row],[Age]]&lt;30,"Under 30",Table1[[#This Row],[Age]]&lt;=40,"30-40",Table1[[#This Row],[Age]]&lt;=50,"41-50",Table1[[#This Row],[Age]]&gt;50,"Over 50")</f>
        <v>41-50</v>
      </c>
      <c r="C491" t="s">
        <v>43</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t="str" cm="1">
        <f t="array" ref="AH491">_xlfn.IFS(Table1[[#This Row],[YearsAtCompany]]&lt;=2,"0-2 years",Table1[[#This Row],[YearsAtCompany]]&lt;=5,"3-5 years",Table1[[#This Row],[YearsAtCompany]]&lt;=10,"6-10 years",Table1[[#This Row],[YearsAtCompany]]&gt;10,"10+ years")</f>
        <v>0-2 years</v>
      </c>
      <c r="AI491">
        <v>0</v>
      </c>
      <c r="AJ491">
        <v>0</v>
      </c>
      <c r="AK491">
        <v>0</v>
      </c>
      <c r="AL491" t="str" cm="1">
        <f t="array" ref="AL491">_xlfn.IFS(Table1[[#This Row],[JobSatisfaction]]=1,"Low",Table1[[#This Row],[JobSatisfaction]]=2,"Medium",Table1[[#This Row],[JobSatisfaction]]=3,"High",Table1[[#This Row],[JobSatisfaction]]=4,"Very High")</f>
        <v>Very High</v>
      </c>
      <c r="AM491">
        <f>IF(Table1[[#This Row],[Attrition]]="Yes",1,0)</f>
        <v>0</v>
      </c>
    </row>
    <row r="492" spans="1:39" ht="13.8" x14ac:dyDescent="0.25">
      <c r="A492">
        <v>38</v>
      </c>
      <c r="B492" t="str" cm="1">
        <f t="array" ref="B492">_xlfn.IFS(Table1[[#This Row],[Age]]&lt;30,"Under 30",Table1[[#This Row],[Age]]&lt;=40,"30-40",Table1[[#This Row],[Age]]&lt;=50,"41-50",Table1[[#This Row],[Age]]&gt;50,"Over 50")</f>
        <v>30-40</v>
      </c>
      <c r="C492" t="s">
        <v>43</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t="str" cm="1">
        <f t="array" ref="AH492">_xlfn.IFS(Table1[[#This Row],[YearsAtCompany]]&lt;=2,"0-2 years",Table1[[#This Row],[YearsAtCompany]]&lt;=5,"3-5 years",Table1[[#This Row],[YearsAtCompany]]&lt;=10,"6-10 years",Table1[[#This Row],[YearsAtCompany]]&gt;10,"10+ years")</f>
        <v>0-2 years</v>
      </c>
      <c r="AI492">
        <v>0</v>
      </c>
      <c r="AJ492">
        <v>0</v>
      </c>
      <c r="AK492">
        <v>0</v>
      </c>
      <c r="AL492" t="str" cm="1">
        <f t="array" ref="AL492">_xlfn.IFS(Table1[[#This Row],[JobSatisfaction]]=1,"Low",Table1[[#This Row],[JobSatisfaction]]=2,"Medium",Table1[[#This Row],[JobSatisfaction]]=3,"High",Table1[[#This Row],[JobSatisfaction]]=4,"Very High")</f>
        <v>Low</v>
      </c>
      <c r="AM492">
        <f>IF(Table1[[#This Row],[Attrition]]="Yes",1,0)</f>
        <v>0</v>
      </c>
    </row>
    <row r="493" spans="1:39" ht="13.8" x14ac:dyDescent="0.25">
      <c r="A493">
        <v>43</v>
      </c>
      <c r="B493" t="str" cm="1">
        <f t="array" ref="B493">_xlfn.IFS(Table1[[#This Row],[Age]]&lt;30,"Under 30",Table1[[#This Row],[Age]]&lt;=40,"30-40",Table1[[#This Row],[Age]]&lt;=50,"41-50",Table1[[#This Row],[Age]]&gt;50,"Over 50")</f>
        <v>41-50</v>
      </c>
      <c r="C493" t="s">
        <v>43</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t="str" cm="1">
        <f t="array" ref="AH493">_xlfn.IFS(Table1[[#This Row],[YearsAtCompany]]&lt;=2,"0-2 years",Table1[[#This Row],[YearsAtCompany]]&lt;=5,"3-5 years",Table1[[#This Row],[YearsAtCompany]]&lt;=10,"6-10 years",Table1[[#This Row],[YearsAtCompany]]&gt;10,"10+ years")</f>
        <v>6-10 years</v>
      </c>
      <c r="AI493">
        <v>7</v>
      </c>
      <c r="AJ493">
        <v>4</v>
      </c>
      <c r="AK493">
        <v>7</v>
      </c>
      <c r="AL493" t="str" cm="1">
        <f t="array" ref="AL493">_xlfn.IFS(Table1[[#This Row],[JobSatisfaction]]=1,"Low",Table1[[#This Row],[JobSatisfaction]]=2,"Medium",Table1[[#This Row],[JobSatisfaction]]=3,"High",Table1[[#This Row],[JobSatisfaction]]=4,"Very High")</f>
        <v>High</v>
      </c>
      <c r="AM493">
        <f>IF(Table1[[#This Row],[Attrition]]="Yes",1,0)</f>
        <v>0</v>
      </c>
    </row>
    <row r="494" spans="1:39" ht="13.8" x14ac:dyDescent="0.25">
      <c r="A494">
        <v>48</v>
      </c>
      <c r="B494" t="str" cm="1">
        <f t="array" ref="B494">_xlfn.IFS(Table1[[#This Row],[Age]]&lt;30,"Under 30",Table1[[#This Row],[Age]]&lt;=40,"30-40",Table1[[#This Row],[Age]]&lt;=50,"41-50",Table1[[#This Row],[Age]]&gt;50,"Over 50")</f>
        <v>41-50</v>
      </c>
      <c r="C494" t="s">
        <v>43</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t="str" cm="1">
        <f t="array" ref="AH494">_xlfn.IFS(Table1[[#This Row],[YearsAtCompany]]&lt;=2,"0-2 years",Table1[[#This Row],[YearsAtCompany]]&lt;=5,"3-5 years",Table1[[#This Row],[YearsAtCompany]]&lt;=10,"6-10 years",Table1[[#This Row],[YearsAtCompany]]&gt;10,"10+ years")</f>
        <v>3-5 years</v>
      </c>
      <c r="AI494">
        <v>2</v>
      </c>
      <c r="AJ494">
        <v>0</v>
      </c>
      <c r="AK494">
        <v>2</v>
      </c>
      <c r="AL494" t="str" cm="1">
        <f t="array" ref="AL494">_xlfn.IFS(Table1[[#This Row],[JobSatisfaction]]=1,"Low",Table1[[#This Row],[JobSatisfaction]]=2,"Medium",Table1[[#This Row],[JobSatisfaction]]=3,"High",Table1[[#This Row],[JobSatisfaction]]=4,"Very High")</f>
        <v>Low</v>
      </c>
      <c r="AM494">
        <f>IF(Table1[[#This Row],[Attrition]]="Yes",1,0)</f>
        <v>0</v>
      </c>
    </row>
    <row r="495" spans="1:39" ht="13.8" x14ac:dyDescent="0.25">
      <c r="A495">
        <v>44</v>
      </c>
      <c r="B495" t="str" cm="1">
        <f t="array" ref="B495">_xlfn.IFS(Table1[[#This Row],[Age]]&lt;30,"Under 30",Table1[[#This Row],[Age]]&lt;=40,"30-40",Table1[[#This Row],[Age]]&lt;=50,"41-50",Table1[[#This Row],[Age]]&gt;50,"Over 50")</f>
        <v>41-50</v>
      </c>
      <c r="C495" t="s">
        <v>43</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t="str" cm="1">
        <f t="array" ref="AH495">_xlfn.IFS(Table1[[#This Row],[YearsAtCompany]]&lt;=2,"0-2 years",Table1[[#This Row],[YearsAtCompany]]&lt;=5,"3-5 years",Table1[[#This Row],[YearsAtCompany]]&lt;=10,"6-10 years",Table1[[#This Row],[YearsAtCompany]]&gt;10,"10+ years")</f>
        <v>0-2 years</v>
      </c>
      <c r="AI495">
        <v>2</v>
      </c>
      <c r="AJ495">
        <v>0</v>
      </c>
      <c r="AK495">
        <v>2</v>
      </c>
      <c r="AL495" t="str" cm="1">
        <f t="array" ref="AL495">_xlfn.IFS(Table1[[#This Row],[JobSatisfaction]]=1,"Low",Table1[[#This Row],[JobSatisfaction]]=2,"Medium",Table1[[#This Row],[JobSatisfaction]]=3,"High",Table1[[#This Row],[JobSatisfaction]]=4,"Very High")</f>
        <v>High</v>
      </c>
      <c r="AM495">
        <f>IF(Table1[[#This Row],[Attrition]]="Yes",1,0)</f>
        <v>0</v>
      </c>
    </row>
    <row r="496" spans="1:39" ht="13.8" x14ac:dyDescent="0.25">
      <c r="A496">
        <v>34</v>
      </c>
      <c r="B496" t="str" cm="1">
        <f t="array" ref="B496">_xlfn.IFS(Table1[[#This Row],[Age]]&lt;30,"Under 30",Table1[[#This Row],[Age]]&lt;=40,"30-40",Table1[[#This Row],[Age]]&lt;=50,"41-50",Table1[[#This Row],[Age]]&gt;50,"Over 50")</f>
        <v>30-40</v>
      </c>
      <c r="C496" t="s">
        <v>43</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t="str" cm="1">
        <f t="array" ref="AH496">_xlfn.IFS(Table1[[#This Row],[YearsAtCompany]]&lt;=2,"0-2 years",Table1[[#This Row],[YearsAtCompany]]&lt;=5,"3-5 years",Table1[[#This Row],[YearsAtCompany]]&lt;=10,"6-10 years",Table1[[#This Row],[YearsAtCompany]]&gt;10,"10+ years")</f>
        <v>6-10 years</v>
      </c>
      <c r="AI496">
        <v>2</v>
      </c>
      <c r="AJ496">
        <v>0</v>
      </c>
      <c r="AK496">
        <v>6</v>
      </c>
      <c r="AL496" t="str" cm="1">
        <f t="array" ref="AL496">_xlfn.IFS(Table1[[#This Row],[JobSatisfaction]]=1,"Low",Table1[[#This Row],[JobSatisfaction]]=2,"Medium",Table1[[#This Row],[JobSatisfaction]]=3,"High",Table1[[#This Row],[JobSatisfaction]]=4,"Very High")</f>
        <v>High</v>
      </c>
      <c r="AM496">
        <f>IF(Table1[[#This Row],[Attrition]]="Yes",1,0)</f>
        <v>0</v>
      </c>
    </row>
    <row r="497" spans="1:39" ht="13.8" x14ac:dyDescent="0.25">
      <c r="A497">
        <v>27</v>
      </c>
      <c r="B497" t="str" cm="1">
        <f t="array" ref="B497">_xlfn.IFS(Table1[[#This Row],[Age]]&lt;30,"Under 30",Table1[[#This Row],[Age]]&lt;=40,"30-40",Table1[[#This Row],[Age]]&lt;=50,"41-50",Table1[[#This Row],[Age]]&gt;50,"Over 50")</f>
        <v>Under 30</v>
      </c>
      <c r="C497" t="s">
        <v>35</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t="str" cm="1">
        <f t="array" ref="AH497">_xlfn.IFS(Table1[[#This Row],[YearsAtCompany]]&lt;=2,"0-2 years",Table1[[#This Row],[YearsAtCompany]]&lt;=5,"3-5 years",Table1[[#This Row],[YearsAtCompany]]&lt;=10,"6-10 years",Table1[[#This Row],[YearsAtCompany]]&gt;10,"10+ years")</f>
        <v>3-5 years</v>
      </c>
      <c r="AI497">
        <v>3</v>
      </c>
      <c r="AJ497">
        <v>0</v>
      </c>
      <c r="AK497">
        <v>2</v>
      </c>
      <c r="AL497" t="str" cm="1">
        <f t="array" ref="AL497">_xlfn.IFS(Table1[[#This Row],[JobSatisfaction]]=1,"Low",Table1[[#This Row],[JobSatisfaction]]=2,"Medium",Table1[[#This Row],[JobSatisfaction]]=3,"High",Table1[[#This Row],[JobSatisfaction]]=4,"Very High")</f>
        <v>Low</v>
      </c>
      <c r="AM497">
        <f>IF(Table1[[#This Row],[Attrition]]="Yes",1,0)</f>
        <v>1</v>
      </c>
    </row>
    <row r="498" spans="1:39" ht="13.8" x14ac:dyDescent="0.25">
      <c r="A498">
        <v>21</v>
      </c>
      <c r="B498" t="str" cm="1">
        <f t="array" ref="B498">_xlfn.IFS(Table1[[#This Row],[Age]]&lt;30,"Under 30",Table1[[#This Row],[Age]]&lt;=40,"30-40",Table1[[#This Row],[Age]]&lt;=50,"41-50",Table1[[#This Row],[Age]]&gt;50,"Over 50")</f>
        <v>Under 30</v>
      </c>
      <c r="C498" t="s">
        <v>43</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t="str" cm="1">
        <f t="array" ref="AH498">_xlfn.IFS(Table1[[#This Row],[YearsAtCompany]]&lt;=2,"0-2 years",Table1[[#This Row],[YearsAtCompany]]&lt;=5,"3-5 years",Table1[[#This Row],[YearsAtCompany]]&lt;=10,"6-10 years",Table1[[#This Row],[YearsAtCompany]]&gt;10,"10+ years")</f>
        <v>3-5 years</v>
      </c>
      <c r="AI498">
        <v>2</v>
      </c>
      <c r="AJ498">
        <v>1</v>
      </c>
      <c r="AK498">
        <v>2</v>
      </c>
      <c r="AL498" t="str" cm="1">
        <f t="array" ref="AL498">_xlfn.IFS(Table1[[#This Row],[JobSatisfaction]]=1,"Low",Table1[[#This Row],[JobSatisfaction]]=2,"Medium",Table1[[#This Row],[JobSatisfaction]]=3,"High",Table1[[#This Row],[JobSatisfaction]]=4,"Very High")</f>
        <v>High</v>
      </c>
      <c r="AM498">
        <f>IF(Table1[[#This Row],[Attrition]]="Yes",1,0)</f>
        <v>0</v>
      </c>
    </row>
    <row r="499" spans="1:39" ht="13.8" x14ac:dyDescent="0.25">
      <c r="A499">
        <v>44</v>
      </c>
      <c r="B499" t="str" cm="1">
        <f t="array" ref="B499">_xlfn.IFS(Table1[[#This Row],[Age]]&lt;30,"Under 30",Table1[[#This Row],[Age]]&lt;=40,"30-40",Table1[[#This Row],[Age]]&lt;=50,"41-50",Table1[[#This Row],[Age]]&gt;50,"Over 50")</f>
        <v>41-50</v>
      </c>
      <c r="C499" t="s">
        <v>43</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t="str" cm="1">
        <f t="array" ref="AH499">_xlfn.IFS(Table1[[#This Row],[YearsAtCompany]]&lt;=2,"0-2 years",Table1[[#This Row],[YearsAtCompany]]&lt;=5,"3-5 years",Table1[[#This Row],[YearsAtCompany]]&lt;=10,"6-10 years",Table1[[#This Row],[YearsAtCompany]]&gt;10,"10+ years")</f>
        <v>0-2 years</v>
      </c>
      <c r="AI499">
        <v>2</v>
      </c>
      <c r="AJ499">
        <v>0</v>
      </c>
      <c r="AK499">
        <v>1</v>
      </c>
      <c r="AL499" t="str" cm="1">
        <f t="array" ref="AL499">_xlfn.IFS(Table1[[#This Row],[JobSatisfaction]]=1,"Low",Table1[[#This Row],[JobSatisfaction]]=2,"Medium",Table1[[#This Row],[JobSatisfaction]]=3,"High",Table1[[#This Row],[JobSatisfaction]]=4,"Very High")</f>
        <v>Very High</v>
      </c>
      <c r="AM499">
        <f>IF(Table1[[#This Row],[Attrition]]="Yes",1,0)</f>
        <v>0</v>
      </c>
    </row>
    <row r="500" spans="1:39" ht="13.8" x14ac:dyDescent="0.25">
      <c r="A500">
        <v>22</v>
      </c>
      <c r="B500" t="str" cm="1">
        <f t="array" ref="B500">_xlfn.IFS(Table1[[#This Row],[Age]]&lt;30,"Under 30",Table1[[#This Row],[Age]]&lt;=40,"30-40",Table1[[#This Row],[Age]]&lt;=50,"41-50",Table1[[#This Row],[Age]]&gt;50,"Over 50")</f>
        <v>Under 30</v>
      </c>
      <c r="C500" t="s">
        <v>43</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t="str" cm="1">
        <f t="array" ref="AH500">_xlfn.IFS(Table1[[#This Row],[YearsAtCompany]]&lt;=2,"0-2 years",Table1[[#This Row],[YearsAtCompany]]&lt;=5,"3-5 years",Table1[[#This Row],[YearsAtCompany]]&lt;=10,"6-10 years",Table1[[#This Row],[YearsAtCompany]]&gt;10,"10+ years")</f>
        <v>0-2 years</v>
      </c>
      <c r="AI500">
        <v>2</v>
      </c>
      <c r="AJ500">
        <v>2</v>
      </c>
      <c r="AK500">
        <v>2</v>
      </c>
      <c r="AL500" t="str" cm="1">
        <f t="array" ref="AL500">_xlfn.IFS(Table1[[#This Row],[JobSatisfaction]]=1,"Low",Table1[[#This Row],[JobSatisfaction]]=2,"Medium",Table1[[#This Row],[JobSatisfaction]]=3,"High",Table1[[#This Row],[JobSatisfaction]]=4,"Very High")</f>
        <v>High</v>
      </c>
      <c r="AM500">
        <f>IF(Table1[[#This Row],[Attrition]]="Yes",1,0)</f>
        <v>0</v>
      </c>
    </row>
    <row r="501" spans="1:39" ht="13.8" x14ac:dyDescent="0.25">
      <c r="A501">
        <v>33</v>
      </c>
      <c r="B501" t="str" cm="1">
        <f t="array" ref="B501">_xlfn.IFS(Table1[[#This Row],[Age]]&lt;30,"Under 30",Table1[[#This Row],[Age]]&lt;=40,"30-40",Table1[[#This Row],[Age]]&lt;=50,"41-50",Table1[[#This Row],[Age]]&gt;50,"Over 50")</f>
        <v>30-40</v>
      </c>
      <c r="C501" t="s">
        <v>43</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t="str" cm="1">
        <f t="array" ref="AH501">_xlfn.IFS(Table1[[#This Row],[YearsAtCompany]]&lt;=2,"0-2 years",Table1[[#This Row],[YearsAtCompany]]&lt;=5,"3-5 years",Table1[[#This Row],[YearsAtCompany]]&lt;=10,"6-10 years",Table1[[#This Row],[YearsAtCompany]]&gt;10,"10+ years")</f>
        <v>3-5 years</v>
      </c>
      <c r="AI501">
        <v>0</v>
      </c>
      <c r="AJ501">
        <v>1</v>
      </c>
      <c r="AK501">
        <v>2</v>
      </c>
      <c r="AL501" t="str" cm="1">
        <f t="array" ref="AL501">_xlfn.IFS(Table1[[#This Row],[JobSatisfaction]]=1,"Low",Table1[[#This Row],[JobSatisfaction]]=2,"Medium",Table1[[#This Row],[JobSatisfaction]]=3,"High",Table1[[#This Row],[JobSatisfaction]]=4,"Very High")</f>
        <v>High</v>
      </c>
      <c r="AM501">
        <f>IF(Table1[[#This Row],[Attrition]]="Yes",1,0)</f>
        <v>0</v>
      </c>
    </row>
    <row r="502" spans="1:39" ht="13.8" x14ac:dyDescent="0.25">
      <c r="A502">
        <v>32</v>
      </c>
      <c r="B502" t="str" cm="1">
        <f t="array" ref="B502">_xlfn.IFS(Table1[[#This Row],[Age]]&lt;30,"Under 30",Table1[[#This Row],[Age]]&lt;=40,"30-40",Table1[[#This Row],[Age]]&lt;=50,"41-50",Table1[[#This Row],[Age]]&gt;50,"Over 50")</f>
        <v>30-40</v>
      </c>
      <c r="C502" t="s">
        <v>43</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t="str" cm="1">
        <f t="array" ref="AH502">_xlfn.IFS(Table1[[#This Row],[YearsAtCompany]]&lt;=2,"0-2 years",Table1[[#This Row],[YearsAtCompany]]&lt;=5,"3-5 years",Table1[[#This Row],[YearsAtCompany]]&lt;=10,"6-10 years",Table1[[#This Row],[YearsAtCompany]]&gt;10,"10+ years")</f>
        <v>6-10 years</v>
      </c>
      <c r="AI502">
        <v>4</v>
      </c>
      <c r="AJ502">
        <v>0</v>
      </c>
      <c r="AK502">
        <v>5</v>
      </c>
      <c r="AL502" t="str" cm="1">
        <f t="array" ref="AL502">_xlfn.IFS(Table1[[#This Row],[JobSatisfaction]]=1,"Low",Table1[[#This Row],[JobSatisfaction]]=2,"Medium",Table1[[#This Row],[JobSatisfaction]]=3,"High",Table1[[#This Row],[JobSatisfaction]]=4,"Very High")</f>
        <v>Very High</v>
      </c>
      <c r="AM502">
        <f>IF(Table1[[#This Row],[Attrition]]="Yes",1,0)</f>
        <v>0</v>
      </c>
    </row>
    <row r="503" spans="1:39" ht="13.8" x14ac:dyDescent="0.25">
      <c r="A503">
        <v>30</v>
      </c>
      <c r="B503" t="str" cm="1">
        <f t="array" ref="B503">_xlfn.IFS(Table1[[#This Row],[Age]]&lt;30,"Under 30",Table1[[#This Row],[Age]]&lt;=40,"30-40",Table1[[#This Row],[Age]]&lt;=50,"41-50",Table1[[#This Row],[Age]]&gt;50,"Over 50")</f>
        <v>30-40</v>
      </c>
      <c r="C503" t="s">
        <v>43</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t="str" cm="1">
        <f t="array" ref="AH503">_xlfn.IFS(Table1[[#This Row],[YearsAtCompany]]&lt;=2,"0-2 years",Table1[[#This Row],[YearsAtCompany]]&lt;=5,"3-5 years",Table1[[#This Row],[YearsAtCompany]]&lt;=10,"6-10 years",Table1[[#This Row],[YearsAtCompany]]&gt;10,"10+ years")</f>
        <v>0-2 years</v>
      </c>
      <c r="AI503">
        <v>0</v>
      </c>
      <c r="AJ503">
        <v>0</v>
      </c>
      <c r="AK503">
        <v>0</v>
      </c>
      <c r="AL503" t="str" cm="1">
        <f t="array" ref="AL503">_xlfn.IFS(Table1[[#This Row],[JobSatisfaction]]=1,"Low",Table1[[#This Row],[JobSatisfaction]]=2,"Medium",Table1[[#This Row],[JobSatisfaction]]=3,"High",Table1[[#This Row],[JobSatisfaction]]=4,"Very High")</f>
        <v>High</v>
      </c>
      <c r="AM503">
        <f>IF(Table1[[#This Row],[Attrition]]="Yes",1,0)</f>
        <v>0</v>
      </c>
    </row>
    <row r="504" spans="1:39" ht="13.8" x14ac:dyDescent="0.25">
      <c r="A504">
        <v>53</v>
      </c>
      <c r="B504" t="str" cm="1">
        <f t="array" ref="B504">_xlfn.IFS(Table1[[#This Row],[Age]]&lt;30,"Under 30",Table1[[#This Row],[Age]]&lt;=40,"30-40",Table1[[#This Row],[Age]]&lt;=50,"41-50",Table1[[#This Row],[Age]]&gt;50,"Over 50")</f>
        <v>Over 50</v>
      </c>
      <c r="C504" t="s">
        <v>43</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t="str" cm="1">
        <f t="array" ref="AH504">_xlfn.IFS(Table1[[#This Row],[YearsAtCompany]]&lt;=2,"0-2 years",Table1[[#This Row],[YearsAtCompany]]&lt;=5,"3-5 years",Table1[[#This Row],[YearsAtCompany]]&lt;=10,"6-10 years",Table1[[#This Row],[YearsAtCompany]]&gt;10,"10+ years")</f>
        <v>10+ years</v>
      </c>
      <c r="AI504">
        <v>7</v>
      </c>
      <c r="AJ504">
        <v>8</v>
      </c>
      <c r="AK504">
        <v>10</v>
      </c>
      <c r="AL504" t="str" cm="1">
        <f t="array" ref="AL504">_xlfn.IFS(Table1[[#This Row],[JobSatisfaction]]=1,"Low",Table1[[#This Row],[JobSatisfaction]]=2,"Medium",Table1[[#This Row],[JobSatisfaction]]=3,"High",Table1[[#This Row],[JobSatisfaction]]=4,"Very High")</f>
        <v>Low</v>
      </c>
      <c r="AM504">
        <f>IF(Table1[[#This Row],[Attrition]]="Yes",1,0)</f>
        <v>0</v>
      </c>
    </row>
    <row r="505" spans="1:39" ht="13.8" x14ac:dyDescent="0.25">
      <c r="A505">
        <v>34</v>
      </c>
      <c r="B505" t="str" cm="1">
        <f t="array" ref="B505">_xlfn.IFS(Table1[[#This Row],[Age]]&lt;30,"Under 30",Table1[[#This Row],[Age]]&lt;=40,"30-40",Table1[[#This Row],[Age]]&lt;=50,"41-50",Table1[[#This Row],[Age]]&gt;50,"Over 50")</f>
        <v>30-40</v>
      </c>
      <c r="C505" t="s">
        <v>43</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t="str" cm="1">
        <f t="array" ref="AH505">_xlfn.IFS(Table1[[#This Row],[YearsAtCompany]]&lt;=2,"0-2 years",Table1[[#This Row],[YearsAtCompany]]&lt;=5,"3-5 years",Table1[[#This Row],[YearsAtCompany]]&lt;=10,"6-10 years",Table1[[#This Row],[YearsAtCompany]]&gt;10,"10+ years")</f>
        <v>6-10 years</v>
      </c>
      <c r="AI505">
        <v>9</v>
      </c>
      <c r="AJ505">
        <v>8</v>
      </c>
      <c r="AK505">
        <v>8</v>
      </c>
      <c r="AL505" t="str" cm="1">
        <f t="array" ref="AL505">_xlfn.IFS(Table1[[#This Row],[JobSatisfaction]]=1,"Low",Table1[[#This Row],[JobSatisfaction]]=2,"Medium",Table1[[#This Row],[JobSatisfaction]]=3,"High",Table1[[#This Row],[JobSatisfaction]]=4,"Very High")</f>
        <v>Very High</v>
      </c>
      <c r="AM505">
        <f>IF(Table1[[#This Row],[Attrition]]="Yes",1,0)</f>
        <v>0</v>
      </c>
    </row>
    <row r="506" spans="1:39" ht="13.8" x14ac:dyDescent="0.25">
      <c r="A506">
        <v>45</v>
      </c>
      <c r="B506" t="str" cm="1">
        <f t="array" ref="B506">_xlfn.IFS(Table1[[#This Row],[Age]]&lt;30,"Under 30",Table1[[#This Row],[Age]]&lt;=40,"30-40",Table1[[#This Row],[Age]]&lt;=50,"41-50",Table1[[#This Row],[Age]]&gt;50,"Over 50")</f>
        <v>41-50</v>
      </c>
      <c r="C506" t="s">
        <v>35</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t="str" cm="1">
        <f t="array" ref="AH506">_xlfn.IFS(Table1[[#This Row],[YearsAtCompany]]&lt;=2,"0-2 years",Table1[[#This Row],[YearsAtCompany]]&lt;=5,"3-5 years",Table1[[#This Row],[YearsAtCompany]]&lt;=10,"6-10 years",Table1[[#This Row],[YearsAtCompany]]&gt;10,"10+ years")</f>
        <v>0-2 years</v>
      </c>
      <c r="AI506">
        <v>1</v>
      </c>
      <c r="AJ506">
        <v>0</v>
      </c>
      <c r="AK506">
        <v>0</v>
      </c>
      <c r="AL506" t="str" cm="1">
        <f t="array" ref="AL506">_xlfn.IFS(Table1[[#This Row],[JobSatisfaction]]=1,"Low",Table1[[#This Row],[JobSatisfaction]]=2,"Medium",Table1[[#This Row],[JobSatisfaction]]=3,"High",Table1[[#This Row],[JobSatisfaction]]=4,"Very High")</f>
        <v>Low</v>
      </c>
      <c r="AM506">
        <f>IF(Table1[[#This Row],[Attrition]]="Yes",1,0)</f>
        <v>1</v>
      </c>
    </row>
    <row r="507" spans="1:39" ht="13.8" x14ac:dyDescent="0.25">
      <c r="A507">
        <v>26</v>
      </c>
      <c r="B507" t="str" cm="1">
        <f t="array" ref="B507">_xlfn.IFS(Table1[[#This Row],[Age]]&lt;30,"Under 30",Table1[[#This Row],[Age]]&lt;=40,"30-40",Table1[[#This Row],[Age]]&lt;=50,"41-50",Table1[[#This Row],[Age]]&gt;50,"Over 50")</f>
        <v>Under 30</v>
      </c>
      <c r="C507" t="s">
        <v>43</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t="str" cm="1">
        <f t="array" ref="AH507">_xlfn.IFS(Table1[[#This Row],[YearsAtCompany]]&lt;=2,"0-2 years",Table1[[#This Row],[YearsAtCompany]]&lt;=5,"3-5 years",Table1[[#This Row],[YearsAtCompany]]&lt;=10,"6-10 years",Table1[[#This Row],[YearsAtCompany]]&gt;10,"10+ years")</f>
        <v>3-5 years</v>
      </c>
      <c r="AI507">
        <v>2</v>
      </c>
      <c r="AJ507">
        <v>0</v>
      </c>
      <c r="AK507">
        <v>2</v>
      </c>
      <c r="AL507" t="str" cm="1">
        <f t="array" ref="AL507">_xlfn.IFS(Table1[[#This Row],[JobSatisfaction]]=1,"Low",Table1[[#This Row],[JobSatisfaction]]=2,"Medium",Table1[[#This Row],[JobSatisfaction]]=3,"High",Table1[[#This Row],[JobSatisfaction]]=4,"Very High")</f>
        <v>Very High</v>
      </c>
      <c r="AM507">
        <f>IF(Table1[[#This Row],[Attrition]]="Yes",1,0)</f>
        <v>0</v>
      </c>
    </row>
    <row r="508" spans="1:39" ht="13.8" x14ac:dyDescent="0.25">
      <c r="A508">
        <v>37</v>
      </c>
      <c r="B508" t="str" cm="1">
        <f t="array" ref="B508">_xlfn.IFS(Table1[[#This Row],[Age]]&lt;30,"Under 30",Table1[[#This Row],[Age]]&lt;=40,"30-40",Table1[[#This Row],[Age]]&lt;=50,"41-50",Table1[[#This Row],[Age]]&gt;50,"Over 50")</f>
        <v>30-40</v>
      </c>
      <c r="C508" t="s">
        <v>43</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t="str" cm="1">
        <f t="array" ref="AH508">_xlfn.IFS(Table1[[#This Row],[YearsAtCompany]]&lt;=2,"0-2 years",Table1[[#This Row],[YearsAtCompany]]&lt;=5,"3-5 years",Table1[[#This Row],[YearsAtCompany]]&lt;=10,"6-10 years",Table1[[#This Row],[YearsAtCompany]]&gt;10,"10+ years")</f>
        <v>6-10 years</v>
      </c>
      <c r="AI508">
        <v>7</v>
      </c>
      <c r="AJ508">
        <v>7</v>
      </c>
      <c r="AK508">
        <v>8</v>
      </c>
      <c r="AL508" t="str" cm="1">
        <f t="array" ref="AL508">_xlfn.IFS(Table1[[#This Row],[JobSatisfaction]]=1,"Low",Table1[[#This Row],[JobSatisfaction]]=2,"Medium",Table1[[#This Row],[JobSatisfaction]]=3,"High",Table1[[#This Row],[JobSatisfaction]]=4,"Very High")</f>
        <v>High</v>
      </c>
      <c r="AM508">
        <f>IF(Table1[[#This Row],[Attrition]]="Yes",1,0)</f>
        <v>0</v>
      </c>
    </row>
    <row r="509" spans="1:39" ht="13.8" x14ac:dyDescent="0.25">
      <c r="A509">
        <v>29</v>
      </c>
      <c r="B509" t="str" cm="1">
        <f t="array" ref="B509">_xlfn.IFS(Table1[[#This Row],[Age]]&lt;30,"Under 30",Table1[[#This Row],[Age]]&lt;=40,"30-40",Table1[[#This Row],[Age]]&lt;=50,"41-50",Table1[[#This Row],[Age]]&gt;50,"Over 50")</f>
        <v>Under 30</v>
      </c>
      <c r="C509" t="s">
        <v>43</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t="str" cm="1">
        <f t="array" ref="AH509">_xlfn.IFS(Table1[[#This Row],[YearsAtCompany]]&lt;=2,"0-2 years",Table1[[#This Row],[YearsAtCompany]]&lt;=5,"3-5 years",Table1[[#This Row],[YearsAtCompany]]&lt;=10,"6-10 years",Table1[[#This Row],[YearsAtCompany]]&gt;10,"10+ years")</f>
        <v>6-10 years</v>
      </c>
      <c r="AI509">
        <v>0</v>
      </c>
      <c r="AJ509">
        <v>1</v>
      </c>
      <c r="AK509">
        <v>2</v>
      </c>
      <c r="AL509" t="str" cm="1">
        <f t="array" ref="AL509">_xlfn.IFS(Table1[[#This Row],[JobSatisfaction]]=1,"Low",Table1[[#This Row],[JobSatisfaction]]=2,"Medium",Table1[[#This Row],[JobSatisfaction]]=3,"High",Table1[[#This Row],[JobSatisfaction]]=4,"Very High")</f>
        <v>High</v>
      </c>
      <c r="AM509">
        <f>IF(Table1[[#This Row],[Attrition]]="Yes",1,0)</f>
        <v>0</v>
      </c>
    </row>
    <row r="510" spans="1:39" ht="13.8" x14ac:dyDescent="0.25">
      <c r="A510">
        <v>35</v>
      </c>
      <c r="B510" t="str" cm="1">
        <f t="array" ref="B510">_xlfn.IFS(Table1[[#This Row],[Age]]&lt;30,"Under 30",Table1[[#This Row],[Age]]&lt;=40,"30-40",Table1[[#This Row],[Age]]&lt;=50,"41-50",Table1[[#This Row],[Age]]&gt;50,"Over 50")</f>
        <v>30-40</v>
      </c>
      <c r="C510" t="s">
        <v>43</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t="str" cm="1">
        <f t="array" ref="AH510">_xlfn.IFS(Table1[[#This Row],[YearsAtCompany]]&lt;=2,"0-2 years",Table1[[#This Row],[YearsAtCompany]]&lt;=5,"3-5 years",Table1[[#This Row],[YearsAtCompany]]&lt;=10,"6-10 years",Table1[[#This Row],[YearsAtCompany]]&gt;10,"10+ years")</f>
        <v>10+ years</v>
      </c>
      <c r="AI510">
        <v>11</v>
      </c>
      <c r="AJ510">
        <v>11</v>
      </c>
      <c r="AK510">
        <v>8</v>
      </c>
      <c r="AL510" t="str" cm="1">
        <f t="array" ref="AL510">_xlfn.IFS(Table1[[#This Row],[JobSatisfaction]]=1,"Low",Table1[[#This Row],[JobSatisfaction]]=2,"Medium",Table1[[#This Row],[JobSatisfaction]]=3,"High",Table1[[#This Row],[JobSatisfaction]]=4,"Very High")</f>
        <v>Very High</v>
      </c>
      <c r="AM510">
        <f>IF(Table1[[#This Row],[Attrition]]="Yes",1,0)</f>
        <v>0</v>
      </c>
    </row>
    <row r="511" spans="1:39" ht="13.8" x14ac:dyDescent="0.25">
      <c r="A511">
        <v>33</v>
      </c>
      <c r="B511" t="str" cm="1">
        <f t="array" ref="B511">_xlfn.IFS(Table1[[#This Row],[Age]]&lt;30,"Under 30",Table1[[#This Row],[Age]]&lt;=40,"30-40",Table1[[#This Row],[Age]]&lt;=50,"41-50",Table1[[#This Row],[Age]]&gt;50,"Over 50")</f>
        <v>30-40</v>
      </c>
      <c r="C511" t="s">
        <v>43</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t="str" cm="1">
        <f t="array" ref="AH511">_xlfn.IFS(Table1[[#This Row],[YearsAtCompany]]&lt;=2,"0-2 years",Table1[[#This Row],[YearsAtCompany]]&lt;=5,"3-5 years",Table1[[#This Row],[YearsAtCompany]]&lt;=10,"6-10 years",Table1[[#This Row],[YearsAtCompany]]&gt;10,"10+ years")</f>
        <v>10+ years</v>
      </c>
      <c r="AI511">
        <v>11</v>
      </c>
      <c r="AJ511">
        <v>4</v>
      </c>
      <c r="AK511">
        <v>7</v>
      </c>
      <c r="AL511" t="str" cm="1">
        <f t="array" ref="AL511">_xlfn.IFS(Table1[[#This Row],[JobSatisfaction]]=1,"Low",Table1[[#This Row],[JobSatisfaction]]=2,"Medium",Table1[[#This Row],[JobSatisfaction]]=3,"High",Table1[[#This Row],[JobSatisfaction]]=4,"Very High")</f>
        <v>Very High</v>
      </c>
      <c r="AM511">
        <f>IF(Table1[[#This Row],[Attrition]]="Yes",1,0)</f>
        <v>0</v>
      </c>
    </row>
    <row r="512" spans="1:39" ht="13.8" x14ac:dyDescent="0.25">
      <c r="A512">
        <v>54</v>
      </c>
      <c r="B512" t="str" cm="1">
        <f t="array" ref="B512">_xlfn.IFS(Table1[[#This Row],[Age]]&lt;30,"Under 30",Table1[[#This Row],[Age]]&lt;=40,"30-40",Table1[[#This Row],[Age]]&lt;=50,"41-50",Table1[[#This Row],[Age]]&gt;50,"Over 50")</f>
        <v>Over 50</v>
      </c>
      <c r="C512" t="s">
        <v>43</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t="str" cm="1">
        <f t="array" ref="AH512">_xlfn.IFS(Table1[[#This Row],[YearsAtCompany]]&lt;=2,"0-2 years",Table1[[#This Row],[YearsAtCompany]]&lt;=5,"3-5 years",Table1[[#This Row],[YearsAtCompany]]&lt;=10,"6-10 years",Table1[[#This Row],[YearsAtCompany]]&gt;10,"10+ years")</f>
        <v>6-10 years</v>
      </c>
      <c r="AI512">
        <v>7</v>
      </c>
      <c r="AJ512">
        <v>7</v>
      </c>
      <c r="AK512">
        <v>1</v>
      </c>
      <c r="AL512" t="str" cm="1">
        <f t="array" ref="AL512">_xlfn.IFS(Table1[[#This Row],[JobSatisfaction]]=1,"Low",Table1[[#This Row],[JobSatisfaction]]=2,"Medium",Table1[[#This Row],[JobSatisfaction]]=3,"High",Table1[[#This Row],[JobSatisfaction]]=4,"Very High")</f>
        <v>Medium</v>
      </c>
      <c r="AM512">
        <f>IF(Table1[[#This Row],[Attrition]]="Yes",1,0)</f>
        <v>0</v>
      </c>
    </row>
    <row r="513" spans="1:39" ht="13.8" x14ac:dyDescent="0.25">
      <c r="A513">
        <v>36</v>
      </c>
      <c r="B513" t="str" cm="1">
        <f t="array" ref="B513">_xlfn.IFS(Table1[[#This Row],[Age]]&lt;30,"Under 30",Table1[[#This Row],[Age]]&lt;=40,"30-40",Table1[[#This Row],[Age]]&lt;=50,"41-50",Table1[[#This Row],[Age]]&gt;50,"Over 50")</f>
        <v>30-40</v>
      </c>
      <c r="C513" t="s">
        <v>43</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t="str" cm="1">
        <f t="array" ref="AH513">_xlfn.IFS(Table1[[#This Row],[YearsAtCompany]]&lt;=2,"0-2 years",Table1[[#This Row],[YearsAtCompany]]&lt;=5,"3-5 years",Table1[[#This Row],[YearsAtCompany]]&lt;=10,"6-10 years",Table1[[#This Row],[YearsAtCompany]]&gt;10,"10+ years")</f>
        <v>3-5 years</v>
      </c>
      <c r="AI513">
        <v>2</v>
      </c>
      <c r="AJ513">
        <v>0</v>
      </c>
      <c r="AK513">
        <v>2</v>
      </c>
      <c r="AL513" t="str" cm="1">
        <f t="array" ref="AL513">_xlfn.IFS(Table1[[#This Row],[JobSatisfaction]]=1,"Low",Table1[[#This Row],[JobSatisfaction]]=2,"Medium",Table1[[#This Row],[JobSatisfaction]]=3,"High",Table1[[#This Row],[JobSatisfaction]]=4,"Very High")</f>
        <v>Medium</v>
      </c>
      <c r="AM513">
        <f>IF(Table1[[#This Row],[Attrition]]="Yes",1,0)</f>
        <v>0</v>
      </c>
    </row>
    <row r="514" spans="1:39" ht="13.8" x14ac:dyDescent="0.25">
      <c r="A514">
        <v>27</v>
      </c>
      <c r="B514" t="str" cm="1">
        <f t="array" ref="B514">_xlfn.IFS(Table1[[#This Row],[Age]]&lt;30,"Under 30",Table1[[#This Row],[Age]]&lt;=40,"30-40",Table1[[#This Row],[Age]]&lt;=50,"41-50",Table1[[#This Row],[Age]]&gt;50,"Over 50")</f>
        <v>Under 30</v>
      </c>
      <c r="C514" t="s">
        <v>43</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t="str" cm="1">
        <f t="array" ref="AH514">_xlfn.IFS(Table1[[#This Row],[YearsAtCompany]]&lt;=2,"0-2 years",Table1[[#This Row],[YearsAtCompany]]&lt;=5,"3-5 years",Table1[[#This Row],[YearsAtCompany]]&lt;=10,"6-10 years",Table1[[#This Row],[YearsAtCompany]]&gt;10,"10+ years")</f>
        <v>3-5 years</v>
      </c>
      <c r="AI514">
        <v>2</v>
      </c>
      <c r="AJ514">
        <v>1</v>
      </c>
      <c r="AK514">
        <v>1</v>
      </c>
      <c r="AL514" t="str" cm="1">
        <f t="array" ref="AL514">_xlfn.IFS(Table1[[#This Row],[JobSatisfaction]]=1,"Low",Table1[[#This Row],[JobSatisfaction]]=2,"Medium",Table1[[#This Row],[JobSatisfaction]]=3,"High",Table1[[#This Row],[JobSatisfaction]]=4,"Very High")</f>
        <v>Very High</v>
      </c>
      <c r="AM514">
        <f>IF(Table1[[#This Row],[Attrition]]="Yes",1,0)</f>
        <v>0</v>
      </c>
    </row>
    <row r="515" spans="1:39" ht="13.8" x14ac:dyDescent="0.25">
      <c r="A515">
        <v>20</v>
      </c>
      <c r="B515" t="str" cm="1">
        <f t="array" ref="B515">_xlfn.IFS(Table1[[#This Row],[Age]]&lt;30,"Under 30",Table1[[#This Row],[Age]]&lt;=40,"30-40",Table1[[#This Row],[Age]]&lt;=50,"41-50",Table1[[#This Row],[Age]]&gt;50,"Over 50")</f>
        <v>Under 30</v>
      </c>
      <c r="C515" t="s">
        <v>35</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t="str" cm="1">
        <f t="array" ref="AH515">_xlfn.IFS(Table1[[#This Row],[YearsAtCompany]]&lt;=2,"0-2 years",Table1[[#This Row],[YearsAtCompany]]&lt;=5,"3-5 years",Table1[[#This Row],[YearsAtCompany]]&lt;=10,"6-10 years",Table1[[#This Row],[YearsAtCompany]]&gt;10,"10+ years")</f>
        <v>0-2 years</v>
      </c>
      <c r="AI515">
        <v>0</v>
      </c>
      <c r="AJ515">
        <v>1</v>
      </c>
      <c r="AK515">
        <v>1</v>
      </c>
      <c r="AL515" t="str" cm="1">
        <f t="array" ref="AL515">_xlfn.IFS(Table1[[#This Row],[JobSatisfaction]]=1,"Low",Table1[[#This Row],[JobSatisfaction]]=2,"Medium",Table1[[#This Row],[JobSatisfaction]]=3,"High",Table1[[#This Row],[JobSatisfaction]]=4,"Very High")</f>
        <v>High</v>
      </c>
      <c r="AM515">
        <f>IF(Table1[[#This Row],[Attrition]]="Yes",1,0)</f>
        <v>1</v>
      </c>
    </row>
    <row r="516" spans="1:39" ht="13.8" x14ac:dyDescent="0.25">
      <c r="A516">
        <v>33</v>
      </c>
      <c r="B516" t="str" cm="1">
        <f t="array" ref="B516">_xlfn.IFS(Table1[[#This Row],[Age]]&lt;30,"Under 30",Table1[[#This Row],[Age]]&lt;=40,"30-40",Table1[[#This Row],[Age]]&lt;=50,"41-50",Table1[[#This Row],[Age]]&gt;50,"Over 50")</f>
        <v>30-40</v>
      </c>
      <c r="C516" t="s">
        <v>35</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t="str" cm="1">
        <f t="array" ref="AH516">_xlfn.IFS(Table1[[#This Row],[YearsAtCompany]]&lt;=2,"0-2 years",Table1[[#This Row],[YearsAtCompany]]&lt;=5,"3-5 years",Table1[[#This Row],[YearsAtCompany]]&lt;=10,"6-10 years",Table1[[#This Row],[YearsAtCompany]]&gt;10,"10+ years")</f>
        <v>6-10 years</v>
      </c>
      <c r="AI516">
        <v>8</v>
      </c>
      <c r="AJ516">
        <v>9</v>
      </c>
      <c r="AK516">
        <v>7</v>
      </c>
      <c r="AL516" t="str" cm="1">
        <f t="array" ref="AL516">_xlfn.IFS(Table1[[#This Row],[JobSatisfaction]]=1,"Low",Table1[[#This Row],[JobSatisfaction]]=2,"Medium",Table1[[#This Row],[JobSatisfaction]]=3,"High",Table1[[#This Row],[JobSatisfaction]]=4,"Very High")</f>
        <v>Low</v>
      </c>
      <c r="AM516">
        <f>IF(Table1[[#This Row],[Attrition]]="Yes",1,0)</f>
        <v>1</v>
      </c>
    </row>
    <row r="517" spans="1:39" ht="13.8" x14ac:dyDescent="0.25">
      <c r="A517">
        <v>35</v>
      </c>
      <c r="B517" t="str" cm="1">
        <f t="array" ref="B517">_xlfn.IFS(Table1[[#This Row],[Age]]&lt;30,"Under 30",Table1[[#This Row],[Age]]&lt;=40,"30-40",Table1[[#This Row],[Age]]&lt;=50,"41-50",Table1[[#This Row],[Age]]&gt;50,"Over 50")</f>
        <v>30-40</v>
      </c>
      <c r="C517" t="s">
        <v>43</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t="str" cm="1">
        <f t="array" ref="AH517">_xlfn.IFS(Table1[[#This Row],[YearsAtCompany]]&lt;=2,"0-2 years",Table1[[#This Row],[YearsAtCompany]]&lt;=5,"3-5 years",Table1[[#This Row],[YearsAtCompany]]&lt;=10,"6-10 years",Table1[[#This Row],[YearsAtCompany]]&gt;10,"10+ years")</f>
        <v>0-2 years</v>
      </c>
      <c r="AI517">
        <v>0</v>
      </c>
      <c r="AJ517">
        <v>0</v>
      </c>
      <c r="AK517">
        <v>0</v>
      </c>
      <c r="AL517" t="str" cm="1">
        <f t="array" ref="AL517">_xlfn.IFS(Table1[[#This Row],[JobSatisfaction]]=1,"Low",Table1[[#This Row],[JobSatisfaction]]=2,"Medium",Table1[[#This Row],[JobSatisfaction]]=3,"High",Table1[[#This Row],[JobSatisfaction]]=4,"Very High")</f>
        <v>High</v>
      </c>
      <c r="AM517">
        <f>IF(Table1[[#This Row],[Attrition]]="Yes",1,0)</f>
        <v>0</v>
      </c>
    </row>
    <row r="518" spans="1:39" ht="13.8" x14ac:dyDescent="0.25">
      <c r="A518">
        <v>23</v>
      </c>
      <c r="B518" t="str" cm="1">
        <f t="array" ref="B518">_xlfn.IFS(Table1[[#This Row],[Age]]&lt;30,"Under 30",Table1[[#This Row],[Age]]&lt;=40,"30-40",Table1[[#This Row],[Age]]&lt;=50,"41-50",Table1[[#This Row],[Age]]&gt;50,"Over 50")</f>
        <v>Under 30</v>
      </c>
      <c r="C518" t="s">
        <v>43</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t="str" cm="1">
        <f t="array" ref="AH518">_xlfn.IFS(Table1[[#This Row],[YearsAtCompany]]&lt;=2,"0-2 years",Table1[[#This Row],[YearsAtCompany]]&lt;=5,"3-5 years",Table1[[#This Row],[YearsAtCompany]]&lt;=10,"6-10 years",Table1[[#This Row],[YearsAtCompany]]&gt;10,"10+ years")</f>
        <v>3-5 years</v>
      </c>
      <c r="AI518">
        <v>2</v>
      </c>
      <c r="AJ518">
        <v>0</v>
      </c>
      <c r="AK518">
        <v>2</v>
      </c>
      <c r="AL518" t="str" cm="1">
        <f t="array" ref="AL518">_xlfn.IFS(Table1[[#This Row],[JobSatisfaction]]=1,"Low",Table1[[#This Row],[JobSatisfaction]]=2,"Medium",Table1[[#This Row],[JobSatisfaction]]=3,"High",Table1[[#This Row],[JobSatisfaction]]=4,"Very High")</f>
        <v>Low</v>
      </c>
      <c r="AM518">
        <f>IF(Table1[[#This Row],[Attrition]]="Yes",1,0)</f>
        <v>0</v>
      </c>
    </row>
    <row r="519" spans="1:39" ht="13.8" x14ac:dyDescent="0.25">
      <c r="A519">
        <v>25</v>
      </c>
      <c r="B519" t="str" cm="1">
        <f t="array" ref="B519">_xlfn.IFS(Table1[[#This Row],[Age]]&lt;30,"Under 30",Table1[[#This Row],[Age]]&lt;=40,"30-40",Table1[[#This Row],[Age]]&lt;=50,"41-50",Table1[[#This Row],[Age]]&gt;50,"Over 50")</f>
        <v>Under 30</v>
      </c>
      <c r="C519" t="s">
        <v>43</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t="str" cm="1">
        <f t="array" ref="AH519">_xlfn.IFS(Table1[[#This Row],[YearsAtCompany]]&lt;=2,"0-2 years",Table1[[#This Row],[YearsAtCompany]]&lt;=5,"3-5 years",Table1[[#This Row],[YearsAtCompany]]&lt;=10,"6-10 years",Table1[[#This Row],[YearsAtCompany]]&gt;10,"10+ years")</f>
        <v>3-5 years</v>
      </c>
      <c r="AI519">
        <v>2</v>
      </c>
      <c r="AJ519">
        <v>1</v>
      </c>
      <c r="AK519">
        <v>2</v>
      </c>
      <c r="AL519" t="str" cm="1">
        <f t="array" ref="AL519">_xlfn.IFS(Table1[[#This Row],[JobSatisfaction]]=1,"Low",Table1[[#This Row],[JobSatisfaction]]=2,"Medium",Table1[[#This Row],[JobSatisfaction]]=3,"High",Table1[[#This Row],[JobSatisfaction]]=4,"Very High")</f>
        <v>Medium</v>
      </c>
      <c r="AM519">
        <f>IF(Table1[[#This Row],[Attrition]]="Yes",1,0)</f>
        <v>0</v>
      </c>
    </row>
    <row r="520" spans="1:39" ht="13.8" x14ac:dyDescent="0.25">
      <c r="A520">
        <v>38</v>
      </c>
      <c r="B520" t="str" cm="1">
        <f t="array" ref="B520">_xlfn.IFS(Table1[[#This Row],[Age]]&lt;30,"Under 30",Table1[[#This Row],[Age]]&lt;=40,"30-40",Table1[[#This Row],[Age]]&lt;=50,"41-50",Table1[[#This Row],[Age]]&gt;50,"Over 50")</f>
        <v>30-40</v>
      </c>
      <c r="C520" t="s">
        <v>43</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t="str" cm="1">
        <f t="array" ref="AH520">_xlfn.IFS(Table1[[#This Row],[YearsAtCompany]]&lt;=2,"0-2 years",Table1[[#This Row],[YearsAtCompany]]&lt;=5,"3-5 years",Table1[[#This Row],[YearsAtCompany]]&lt;=10,"6-10 years",Table1[[#This Row],[YearsAtCompany]]&gt;10,"10+ years")</f>
        <v>6-10 years</v>
      </c>
      <c r="AI520">
        <v>7</v>
      </c>
      <c r="AJ520">
        <v>0</v>
      </c>
      <c r="AK520">
        <v>5</v>
      </c>
      <c r="AL520" t="str" cm="1">
        <f t="array" ref="AL520">_xlfn.IFS(Table1[[#This Row],[JobSatisfaction]]=1,"Low",Table1[[#This Row],[JobSatisfaction]]=2,"Medium",Table1[[#This Row],[JobSatisfaction]]=3,"High",Table1[[#This Row],[JobSatisfaction]]=4,"Very High")</f>
        <v>Very High</v>
      </c>
      <c r="AM520">
        <f>IF(Table1[[#This Row],[Attrition]]="Yes",1,0)</f>
        <v>0</v>
      </c>
    </row>
    <row r="521" spans="1:39" ht="13.8" x14ac:dyDescent="0.25">
      <c r="A521">
        <v>29</v>
      </c>
      <c r="B521" t="str" cm="1">
        <f t="array" ref="B521">_xlfn.IFS(Table1[[#This Row],[Age]]&lt;30,"Under 30",Table1[[#This Row],[Age]]&lt;=40,"30-40",Table1[[#This Row],[Age]]&lt;=50,"41-50",Table1[[#This Row],[Age]]&gt;50,"Over 50")</f>
        <v>Under 30</v>
      </c>
      <c r="C521" t="s">
        <v>43</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t="str" cm="1">
        <f t="array" ref="AH521">_xlfn.IFS(Table1[[#This Row],[YearsAtCompany]]&lt;=2,"0-2 years",Table1[[#This Row],[YearsAtCompany]]&lt;=5,"3-5 years",Table1[[#This Row],[YearsAtCompany]]&lt;=10,"6-10 years",Table1[[#This Row],[YearsAtCompany]]&gt;10,"10+ years")</f>
        <v>6-10 years</v>
      </c>
      <c r="AI521">
        <v>7</v>
      </c>
      <c r="AJ521">
        <v>2</v>
      </c>
      <c r="AK521">
        <v>8</v>
      </c>
      <c r="AL521" t="str" cm="1">
        <f t="array" ref="AL521">_xlfn.IFS(Table1[[#This Row],[JobSatisfaction]]=1,"Low",Table1[[#This Row],[JobSatisfaction]]=2,"Medium",Table1[[#This Row],[JobSatisfaction]]=3,"High",Table1[[#This Row],[JobSatisfaction]]=4,"Very High")</f>
        <v>Very High</v>
      </c>
      <c r="AM521">
        <f>IF(Table1[[#This Row],[Attrition]]="Yes",1,0)</f>
        <v>0</v>
      </c>
    </row>
    <row r="522" spans="1:39" ht="13.8" x14ac:dyDescent="0.25">
      <c r="A522">
        <v>48</v>
      </c>
      <c r="B522" t="str" cm="1">
        <f t="array" ref="B522">_xlfn.IFS(Table1[[#This Row],[Age]]&lt;30,"Under 30",Table1[[#This Row],[Age]]&lt;=40,"30-40",Table1[[#This Row],[Age]]&lt;=50,"41-50",Table1[[#This Row],[Age]]&gt;50,"Over 50")</f>
        <v>41-50</v>
      </c>
      <c r="C522" t="s">
        <v>43</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t="str" cm="1">
        <f t="array" ref="AH522">_xlfn.IFS(Table1[[#This Row],[YearsAtCompany]]&lt;=2,"0-2 years",Table1[[#This Row],[YearsAtCompany]]&lt;=5,"3-5 years",Table1[[#This Row],[YearsAtCompany]]&lt;=10,"6-10 years",Table1[[#This Row],[YearsAtCompany]]&gt;10,"10+ years")</f>
        <v>0-2 years</v>
      </c>
      <c r="AI522">
        <v>2</v>
      </c>
      <c r="AJ522">
        <v>2</v>
      </c>
      <c r="AK522">
        <v>2</v>
      </c>
      <c r="AL522" t="str" cm="1">
        <f t="array" ref="AL522">_xlfn.IFS(Table1[[#This Row],[JobSatisfaction]]=1,"Low",Table1[[#This Row],[JobSatisfaction]]=2,"Medium",Table1[[#This Row],[JobSatisfaction]]=3,"High",Table1[[#This Row],[JobSatisfaction]]=4,"Very High")</f>
        <v>Medium</v>
      </c>
      <c r="AM522">
        <f>IF(Table1[[#This Row],[Attrition]]="Yes",1,0)</f>
        <v>0</v>
      </c>
    </row>
    <row r="523" spans="1:39" ht="13.8" x14ac:dyDescent="0.25">
      <c r="A523">
        <v>27</v>
      </c>
      <c r="B523" t="str" cm="1">
        <f t="array" ref="B523">_xlfn.IFS(Table1[[#This Row],[Age]]&lt;30,"Under 30",Table1[[#This Row],[Age]]&lt;=40,"30-40",Table1[[#This Row],[Age]]&lt;=50,"41-50",Table1[[#This Row],[Age]]&gt;50,"Over 50")</f>
        <v>Under 30</v>
      </c>
      <c r="C523" t="s">
        <v>43</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t="str" cm="1">
        <f t="array" ref="AH523">_xlfn.IFS(Table1[[#This Row],[YearsAtCompany]]&lt;=2,"0-2 years",Table1[[#This Row],[YearsAtCompany]]&lt;=5,"3-5 years",Table1[[#This Row],[YearsAtCompany]]&lt;=10,"6-10 years",Table1[[#This Row],[YearsAtCompany]]&gt;10,"10+ years")</f>
        <v>6-10 years</v>
      </c>
      <c r="AI523">
        <v>5</v>
      </c>
      <c r="AJ523">
        <v>0</v>
      </c>
      <c r="AK523">
        <v>4</v>
      </c>
      <c r="AL523" t="str" cm="1">
        <f t="array" ref="AL523">_xlfn.IFS(Table1[[#This Row],[JobSatisfaction]]=1,"Low",Table1[[#This Row],[JobSatisfaction]]=2,"Medium",Table1[[#This Row],[JobSatisfaction]]=3,"High",Table1[[#This Row],[JobSatisfaction]]=4,"Very High")</f>
        <v>Very High</v>
      </c>
      <c r="AM523">
        <f>IF(Table1[[#This Row],[Attrition]]="Yes",1,0)</f>
        <v>0</v>
      </c>
    </row>
    <row r="524" spans="1:39" ht="13.8" x14ac:dyDescent="0.25">
      <c r="A524">
        <v>37</v>
      </c>
      <c r="B524" t="str" cm="1">
        <f t="array" ref="B524">_xlfn.IFS(Table1[[#This Row],[Age]]&lt;30,"Under 30",Table1[[#This Row],[Age]]&lt;=40,"30-40",Table1[[#This Row],[Age]]&lt;=50,"41-50",Table1[[#This Row],[Age]]&gt;50,"Over 50")</f>
        <v>30-40</v>
      </c>
      <c r="C524" t="s">
        <v>43</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t="str" cm="1">
        <f t="array" ref="AH524">_xlfn.IFS(Table1[[#This Row],[YearsAtCompany]]&lt;=2,"0-2 years",Table1[[#This Row],[YearsAtCompany]]&lt;=5,"3-5 years",Table1[[#This Row],[YearsAtCompany]]&lt;=10,"6-10 years",Table1[[#This Row],[YearsAtCompany]]&gt;10,"10+ years")</f>
        <v>0-2 years</v>
      </c>
      <c r="AI524">
        <v>0</v>
      </c>
      <c r="AJ524">
        <v>0</v>
      </c>
      <c r="AK524">
        <v>0</v>
      </c>
      <c r="AL524" t="str" cm="1">
        <f t="array" ref="AL524">_xlfn.IFS(Table1[[#This Row],[JobSatisfaction]]=1,"Low",Table1[[#This Row],[JobSatisfaction]]=2,"Medium",Table1[[#This Row],[JobSatisfaction]]=3,"High",Table1[[#This Row],[JobSatisfaction]]=4,"Very High")</f>
        <v>Very High</v>
      </c>
      <c r="AM524">
        <f>IF(Table1[[#This Row],[Attrition]]="Yes",1,0)</f>
        <v>0</v>
      </c>
    </row>
    <row r="525" spans="1:39" ht="13.8" x14ac:dyDescent="0.25">
      <c r="A525">
        <v>50</v>
      </c>
      <c r="B525" t="str" cm="1">
        <f t="array" ref="B525">_xlfn.IFS(Table1[[#This Row],[Age]]&lt;30,"Under 30",Table1[[#This Row],[Age]]&lt;=40,"30-40",Table1[[#This Row],[Age]]&lt;=50,"41-50",Table1[[#This Row],[Age]]&gt;50,"Over 50")</f>
        <v>41-50</v>
      </c>
      <c r="C525" t="s">
        <v>43</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t="str" cm="1">
        <f t="array" ref="AH525">_xlfn.IFS(Table1[[#This Row],[YearsAtCompany]]&lt;=2,"0-2 years",Table1[[#This Row],[YearsAtCompany]]&lt;=5,"3-5 years",Table1[[#This Row],[YearsAtCompany]]&lt;=10,"6-10 years",Table1[[#This Row],[YearsAtCompany]]&gt;10,"10+ years")</f>
        <v>10+ years</v>
      </c>
      <c r="AI525">
        <v>8</v>
      </c>
      <c r="AJ525">
        <v>3</v>
      </c>
      <c r="AK525">
        <v>8</v>
      </c>
      <c r="AL525" t="str" cm="1">
        <f t="array" ref="AL525">_xlfn.IFS(Table1[[#This Row],[JobSatisfaction]]=1,"Low",Table1[[#This Row],[JobSatisfaction]]=2,"Medium",Table1[[#This Row],[JobSatisfaction]]=3,"High",Table1[[#This Row],[JobSatisfaction]]=4,"Very High")</f>
        <v>High</v>
      </c>
      <c r="AM525">
        <f>IF(Table1[[#This Row],[Attrition]]="Yes",1,0)</f>
        <v>0</v>
      </c>
    </row>
    <row r="526" spans="1:39" ht="13.8" x14ac:dyDescent="0.25">
      <c r="A526">
        <v>34</v>
      </c>
      <c r="B526" t="str" cm="1">
        <f t="array" ref="B526">_xlfn.IFS(Table1[[#This Row],[Age]]&lt;30,"Under 30",Table1[[#This Row],[Age]]&lt;=40,"30-40",Table1[[#This Row],[Age]]&lt;=50,"41-50",Table1[[#This Row],[Age]]&gt;50,"Over 50")</f>
        <v>30-40</v>
      </c>
      <c r="C526" t="s">
        <v>43</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t="str" cm="1">
        <f t="array" ref="AH526">_xlfn.IFS(Table1[[#This Row],[YearsAtCompany]]&lt;=2,"0-2 years",Table1[[#This Row],[YearsAtCompany]]&lt;=5,"3-5 years",Table1[[#This Row],[YearsAtCompany]]&lt;=10,"6-10 years",Table1[[#This Row],[YearsAtCompany]]&gt;10,"10+ years")</f>
        <v>6-10 years</v>
      </c>
      <c r="AI526">
        <v>7</v>
      </c>
      <c r="AJ526">
        <v>7</v>
      </c>
      <c r="AK526">
        <v>7</v>
      </c>
      <c r="AL526" t="str" cm="1">
        <f t="array" ref="AL526">_xlfn.IFS(Table1[[#This Row],[JobSatisfaction]]=1,"Low",Table1[[#This Row],[JobSatisfaction]]=2,"Medium",Table1[[#This Row],[JobSatisfaction]]=3,"High",Table1[[#This Row],[JobSatisfaction]]=4,"Very High")</f>
        <v>Medium</v>
      </c>
      <c r="AM526">
        <f>IF(Table1[[#This Row],[Attrition]]="Yes",1,0)</f>
        <v>0</v>
      </c>
    </row>
    <row r="527" spans="1:39" ht="13.8" x14ac:dyDescent="0.25">
      <c r="A527">
        <v>24</v>
      </c>
      <c r="B527" t="str" cm="1">
        <f t="array" ref="B527">_xlfn.IFS(Table1[[#This Row],[Age]]&lt;30,"Under 30",Table1[[#This Row],[Age]]&lt;=40,"30-40",Table1[[#This Row],[Age]]&lt;=50,"41-50",Table1[[#This Row],[Age]]&gt;50,"Over 50")</f>
        <v>Under 30</v>
      </c>
      <c r="C527" t="s">
        <v>35</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t="str" cm="1">
        <f t="array" ref="AH527">_xlfn.IFS(Table1[[#This Row],[YearsAtCompany]]&lt;=2,"0-2 years",Table1[[#This Row],[YearsAtCompany]]&lt;=5,"3-5 years",Table1[[#This Row],[YearsAtCompany]]&lt;=10,"6-10 years",Table1[[#This Row],[YearsAtCompany]]&gt;10,"10+ years")</f>
        <v>0-2 years</v>
      </c>
      <c r="AI527">
        <v>2</v>
      </c>
      <c r="AJ527">
        <v>2</v>
      </c>
      <c r="AK527">
        <v>0</v>
      </c>
      <c r="AL527" t="str" cm="1">
        <f t="array" ref="AL527">_xlfn.IFS(Table1[[#This Row],[JobSatisfaction]]=1,"Low",Table1[[#This Row],[JobSatisfaction]]=2,"Medium",Table1[[#This Row],[JobSatisfaction]]=3,"High",Table1[[#This Row],[JobSatisfaction]]=4,"Very High")</f>
        <v>High</v>
      </c>
      <c r="AM527">
        <f>IF(Table1[[#This Row],[Attrition]]="Yes",1,0)</f>
        <v>1</v>
      </c>
    </row>
    <row r="528" spans="1:39" ht="13.8" x14ac:dyDescent="0.25">
      <c r="A528">
        <v>39</v>
      </c>
      <c r="B528" t="str" cm="1">
        <f t="array" ref="B528">_xlfn.IFS(Table1[[#This Row],[Age]]&lt;30,"Under 30",Table1[[#This Row],[Age]]&lt;=40,"30-40",Table1[[#This Row],[Age]]&lt;=50,"41-50",Table1[[#This Row],[Age]]&gt;50,"Over 50")</f>
        <v>30-40</v>
      </c>
      <c r="C528" t="s">
        <v>43</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t="str" cm="1">
        <f t="array" ref="AH528">_xlfn.IFS(Table1[[#This Row],[YearsAtCompany]]&lt;=2,"0-2 years",Table1[[#This Row],[YearsAtCompany]]&lt;=5,"3-5 years",Table1[[#This Row],[YearsAtCompany]]&lt;=10,"6-10 years",Table1[[#This Row],[YearsAtCompany]]&gt;10,"10+ years")</f>
        <v>10+ years</v>
      </c>
      <c r="AI528">
        <v>7</v>
      </c>
      <c r="AJ528">
        <v>11</v>
      </c>
      <c r="AK528">
        <v>10</v>
      </c>
      <c r="AL528" t="str" cm="1">
        <f t="array" ref="AL528">_xlfn.IFS(Table1[[#This Row],[JobSatisfaction]]=1,"Low",Table1[[#This Row],[JobSatisfaction]]=2,"Medium",Table1[[#This Row],[JobSatisfaction]]=3,"High",Table1[[#This Row],[JobSatisfaction]]=4,"Very High")</f>
        <v>High</v>
      </c>
      <c r="AM528">
        <f>IF(Table1[[#This Row],[Attrition]]="Yes",1,0)</f>
        <v>0</v>
      </c>
    </row>
    <row r="529" spans="1:39" ht="13.8" x14ac:dyDescent="0.25">
      <c r="A529">
        <v>32</v>
      </c>
      <c r="B529" t="str" cm="1">
        <f t="array" ref="B529">_xlfn.IFS(Table1[[#This Row],[Age]]&lt;30,"Under 30",Table1[[#This Row],[Age]]&lt;=40,"30-40",Table1[[#This Row],[Age]]&lt;=50,"41-50",Table1[[#This Row],[Age]]&gt;50,"Over 50")</f>
        <v>30-40</v>
      </c>
      <c r="C529" t="s">
        <v>43</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t="str" cm="1">
        <f t="array" ref="AH529">_xlfn.IFS(Table1[[#This Row],[YearsAtCompany]]&lt;=2,"0-2 years",Table1[[#This Row],[YearsAtCompany]]&lt;=5,"3-5 years",Table1[[#This Row],[YearsAtCompany]]&lt;=10,"6-10 years",Table1[[#This Row],[YearsAtCompany]]&gt;10,"10+ years")</f>
        <v>6-10 years</v>
      </c>
      <c r="AI529">
        <v>7</v>
      </c>
      <c r="AJ529">
        <v>0</v>
      </c>
      <c r="AK529">
        <v>8</v>
      </c>
      <c r="AL529" t="str" cm="1">
        <f t="array" ref="AL529">_xlfn.IFS(Table1[[#This Row],[JobSatisfaction]]=1,"Low",Table1[[#This Row],[JobSatisfaction]]=2,"Medium",Table1[[#This Row],[JobSatisfaction]]=3,"High",Table1[[#This Row],[JobSatisfaction]]=4,"Very High")</f>
        <v>Very High</v>
      </c>
      <c r="AM529">
        <f>IF(Table1[[#This Row],[Attrition]]="Yes",1,0)</f>
        <v>0</v>
      </c>
    </row>
    <row r="530" spans="1:39" ht="13.8" x14ac:dyDescent="0.25">
      <c r="A530">
        <v>50</v>
      </c>
      <c r="B530" t="str" cm="1">
        <f t="array" ref="B530">_xlfn.IFS(Table1[[#This Row],[Age]]&lt;30,"Under 30",Table1[[#This Row],[Age]]&lt;=40,"30-40",Table1[[#This Row],[Age]]&lt;=50,"41-50",Table1[[#This Row],[Age]]&gt;50,"Over 50")</f>
        <v>41-50</v>
      </c>
      <c r="C530" t="s">
        <v>35</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t="str" cm="1">
        <f t="array" ref="AH530">_xlfn.IFS(Table1[[#This Row],[YearsAtCompany]]&lt;=2,"0-2 years",Table1[[#This Row],[YearsAtCompany]]&lt;=5,"3-5 years",Table1[[#This Row],[YearsAtCompany]]&lt;=10,"6-10 years",Table1[[#This Row],[YearsAtCompany]]&gt;10,"10+ years")</f>
        <v>3-5 years</v>
      </c>
      <c r="AI530">
        <v>3</v>
      </c>
      <c r="AJ530">
        <v>1</v>
      </c>
      <c r="AK530">
        <v>3</v>
      </c>
      <c r="AL530" t="str" cm="1">
        <f t="array" ref="AL530">_xlfn.IFS(Table1[[#This Row],[JobSatisfaction]]=1,"Low",Table1[[#This Row],[JobSatisfaction]]=2,"Medium",Table1[[#This Row],[JobSatisfaction]]=3,"High",Table1[[#This Row],[JobSatisfaction]]=4,"Very High")</f>
        <v>High</v>
      </c>
      <c r="AM530">
        <f>IF(Table1[[#This Row],[Attrition]]="Yes",1,0)</f>
        <v>1</v>
      </c>
    </row>
    <row r="531" spans="1:39" ht="13.8" x14ac:dyDescent="0.25">
      <c r="A531">
        <v>38</v>
      </c>
      <c r="B531" t="str" cm="1">
        <f t="array" ref="B531">_xlfn.IFS(Table1[[#This Row],[Age]]&lt;30,"Under 30",Table1[[#This Row],[Age]]&lt;=40,"30-40",Table1[[#This Row],[Age]]&lt;=50,"41-50",Table1[[#This Row],[Age]]&gt;50,"Over 50")</f>
        <v>30-40</v>
      </c>
      <c r="C531" t="s">
        <v>43</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t="str" cm="1">
        <f t="array" ref="AH531">_xlfn.IFS(Table1[[#This Row],[YearsAtCompany]]&lt;=2,"0-2 years",Table1[[#This Row],[YearsAtCompany]]&lt;=5,"3-5 years",Table1[[#This Row],[YearsAtCompany]]&lt;=10,"6-10 years",Table1[[#This Row],[YearsAtCompany]]&gt;10,"10+ years")</f>
        <v>6-10 years</v>
      </c>
      <c r="AI531">
        <v>7</v>
      </c>
      <c r="AJ531">
        <v>1</v>
      </c>
      <c r="AK531">
        <v>8</v>
      </c>
      <c r="AL531" t="str" cm="1">
        <f t="array" ref="AL531">_xlfn.IFS(Table1[[#This Row],[JobSatisfaction]]=1,"Low",Table1[[#This Row],[JobSatisfaction]]=2,"Medium",Table1[[#This Row],[JobSatisfaction]]=3,"High",Table1[[#This Row],[JobSatisfaction]]=4,"Very High")</f>
        <v>Very High</v>
      </c>
      <c r="AM531">
        <f>IF(Table1[[#This Row],[Attrition]]="Yes",1,0)</f>
        <v>0</v>
      </c>
    </row>
    <row r="532" spans="1:39" ht="13.8" x14ac:dyDescent="0.25">
      <c r="A532">
        <v>27</v>
      </c>
      <c r="B532" t="str" cm="1">
        <f t="array" ref="B532">_xlfn.IFS(Table1[[#This Row],[Age]]&lt;30,"Under 30",Table1[[#This Row],[Age]]&lt;=40,"30-40",Table1[[#This Row],[Age]]&lt;=50,"41-50",Table1[[#This Row],[Age]]&gt;50,"Over 50")</f>
        <v>Under 30</v>
      </c>
      <c r="C532" t="s">
        <v>43</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t="str" cm="1">
        <f t="array" ref="AH532">_xlfn.IFS(Table1[[#This Row],[YearsAtCompany]]&lt;=2,"0-2 years",Table1[[#This Row],[YearsAtCompany]]&lt;=5,"3-5 years",Table1[[#This Row],[YearsAtCompany]]&lt;=10,"6-10 years",Table1[[#This Row],[YearsAtCompany]]&gt;10,"10+ years")</f>
        <v>6-10 years</v>
      </c>
      <c r="AI532">
        <v>7</v>
      </c>
      <c r="AJ532">
        <v>0</v>
      </c>
      <c r="AK532">
        <v>7</v>
      </c>
      <c r="AL532" t="str" cm="1">
        <f t="array" ref="AL532">_xlfn.IFS(Table1[[#This Row],[JobSatisfaction]]=1,"Low",Table1[[#This Row],[JobSatisfaction]]=2,"Medium",Table1[[#This Row],[JobSatisfaction]]=3,"High",Table1[[#This Row],[JobSatisfaction]]=4,"Very High")</f>
        <v>Low</v>
      </c>
      <c r="AM532">
        <f>IF(Table1[[#This Row],[Attrition]]="Yes",1,0)</f>
        <v>0</v>
      </c>
    </row>
    <row r="533" spans="1:39" ht="13.8" x14ac:dyDescent="0.25">
      <c r="A533">
        <v>32</v>
      </c>
      <c r="B533" t="str" cm="1">
        <f t="array" ref="B533">_xlfn.IFS(Table1[[#This Row],[Age]]&lt;30,"Under 30",Table1[[#This Row],[Age]]&lt;=40,"30-40",Table1[[#This Row],[Age]]&lt;=50,"41-50",Table1[[#This Row],[Age]]&gt;50,"Over 50")</f>
        <v>30-40</v>
      </c>
      <c r="C533" t="s">
        <v>43</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t="str" cm="1">
        <f t="array" ref="AH533">_xlfn.IFS(Table1[[#This Row],[YearsAtCompany]]&lt;=2,"0-2 years",Table1[[#This Row],[YearsAtCompany]]&lt;=5,"3-5 years",Table1[[#This Row],[YearsAtCompany]]&lt;=10,"6-10 years",Table1[[#This Row],[YearsAtCompany]]&gt;10,"10+ years")</f>
        <v>6-10 years</v>
      </c>
      <c r="AI533">
        <v>7</v>
      </c>
      <c r="AJ533">
        <v>7</v>
      </c>
      <c r="AK533">
        <v>7</v>
      </c>
      <c r="AL533" t="str" cm="1">
        <f t="array" ref="AL533">_xlfn.IFS(Table1[[#This Row],[JobSatisfaction]]=1,"Low",Table1[[#This Row],[JobSatisfaction]]=2,"Medium",Table1[[#This Row],[JobSatisfaction]]=3,"High",Table1[[#This Row],[JobSatisfaction]]=4,"Very High")</f>
        <v>Very High</v>
      </c>
      <c r="AM533">
        <f>IF(Table1[[#This Row],[Attrition]]="Yes",1,0)</f>
        <v>0</v>
      </c>
    </row>
    <row r="534" spans="1:39" ht="13.8" x14ac:dyDescent="0.25">
      <c r="A534">
        <v>47</v>
      </c>
      <c r="B534" t="str" cm="1">
        <f t="array" ref="B534">_xlfn.IFS(Table1[[#This Row],[Age]]&lt;30,"Under 30",Table1[[#This Row],[Age]]&lt;=40,"30-40",Table1[[#This Row],[Age]]&lt;=50,"41-50",Table1[[#This Row],[Age]]&gt;50,"Over 50")</f>
        <v>41-50</v>
      </c>
      <c r="C534" t="s">
        <v>43</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t="str" cm="1">
        <f t="array" ref="AH534">_xlfn.IFS(Table1[[#This Row],[YearsAtCompany]]&lt;=2,"0-2 years",Table1[[#This Row],[YearsAtCompany]]&lt;=5,"3-5 years",Table1[[#This Row],[YearsAtCompany]]&lt;=10,"6-10 years",Table1[[#This Row],[YearsAtCompany]]&gt;10,"10+ years")</f>
        <v>6-10 years</v>
      </c>
      <c r="AI534">
        <v>7</v>
      </c>
      <c r="AJ534">
        <v>1</v>
      </c>
      <c r="AK534">
        <v>7</v>
      </c>
      <c r="AL534" t="str" cm="1">
        <f t="array" ref="AL534">_xlfn.IFS(Table1[[#This Row],[JobSatisfaction]]=1,"Low",Table1[[#This Row],[JobSatisfaction]]=2,"Medium",Table1[[#This Row],[JobSatisfaction]]=3,"High",Table1[[#This Row],[JobSatisfaction]]=4,"Very High")</f>
        <v>Low</v>
      </c>
      <c r="AM534">
        <f>IF(Table1[[#This Row],[Attrition]]="Yes",1,0)</f>
        <v>0</v>
      </c>
    </row>
    <row r="535" spans="1:39" ht="13.8" x14ac:dyDescent="0.25">
      <c r="A535">
        <v>40</v>
      </c>
      <c r="B535" t="str" cm="1">
        <f t="array" ref="B535">_xlfn.IFS(Table1[[#This Row],[Age]]&lt;30,"Under 30",Table1[[#This Row],[Age]]&lt;=40,"30-40",Table1[[#This Row],[Age]]&lt;=50,"41-50",Table1[[#This Row],[Age]]&gt;50,"Over 50")</f>
        <v>30-40</v>
      </c>
      <c r="C535" t="s">
        <v>43</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t="str" cm="1">
        <f t="array" ref="AH535">_xlfn.IFS(Table1[[#This Row],[YearsAtCompany]]&lt;=2,"0-2 years",Table1[[#This Row],[YearsAtCompany]]&lt;=5,"3-5 years",Table1[[#This Row],[YearsAtCompany]]&lt;=10,"6-10 years",Table1[[#This Row],[YearsAtCompany]]&gt;10,"10+ years")</f>
        <v>10+ years</v>
      </c>
      <c r="AI535">
        <v>13</v>
      </c>
      <c r="AJ535">
        <v>1</v>
      </c>
      <c r="AK535">
        <v>12</v>
      </c>
      <c r="AL535" t="str" cm="1">
        <f t="array" ref="AL535">_xlfn.IFS(Table1[[#This Row],[JobSatisfaction]]=1,"Low",Table1[[#This Row],[JobSatisfaction]]=2,"Medium",Table1[[#This Row],[JobSatisfaction]]=3,"High",Table1[[#This Row],[JobSatisfaction]]=4,"Very High")</f>
        <v>Low</v>
      </c>
      <c r="AM535">
        <f>IF(Table1[[#This Row],[Attrition]]="Yes",1,0)</f>
        <v>0</v>
      </c>
    </row>
    <row r="536" spans="1:39" ht="13.8" x14ac:dyDescent="0.25">
      <c r="A536">
        <v>53</v>
      </c>
      <c r="B536" t="str" cm="1">
        <f t="array" ref="B536">_xlfn.IFS(Table1[[#This Row],[Age]]&lt;30,"Under 30",Table1[[#This Row],[Age]]&lt;=40,"30-40",Table1[[#This Row],[Age]]&lt;=50,"41-50",Table1[[#This Row],[Age]]&gt;50,"Over 50")</f>
        <v>Over 50</v>
      </c>
      <c r="C536" t="s">
        <v>43</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t="str" cm="1">
        <f t="array" ref="AH536">_xlfn.IFS(Table1[[#This Row],[YearsAtCompany]]&lt;=2,"0-2 years",Table1[[#This Row],[YearsAtCompany]]&lt;=5,"3-5 years",Table1[[#This Row],[YearsAtCompany]]&lt;=10,"6-10 years",Table1[[#This Row],[YearsAtCompany]]&gt;10,"10+ years")</f>
        <v>3-5 years</v>
      </c>
      <c r="AI536">
        <v>1</v>
      </c>
      <c r="AJ536">
        <v>1</v>
      </c>
      <c r="AK536">
        <v>3</v>
      </c>
      <c r="AL536" t="str" cm="1">
        <f t="array" ref="AL536">_xlfn.IFS(Table1[[#This Row],[JobSatisfaction]]=1,"Low",Table1[[#This Row],[JobSatisfaction]]=2,"Medium",Table1[[#This Row],[JobSatisfaction]]=3,"High",Table1[[#This Row],[JobSatisfaction]]=4,"Very High")</f>
        <v>High</v>
      </c>
      <c r="AM536">
        <f>IF(Table1[[#This Row],[Attrition]]="Yes",1,0)</f>
        <v>0</v>
      </c>
    </row>
    <row r="537" spans="1:39" ht="13.8" x14ac:dyDescent="0.25">
      <c r="A537">
        <v>41</v>
      </c>
      <c r="B537" t="str" cm="1">
        <f t="array" ref="B537">_xlfn.IFS(Table1[[#This Row],[Age]]&lt;30,"Under 30",Table1[[#This Row],[Age]]&lt;=40,"30-40",Table1[[#This Row],[Age]]&lt;=50,"41-50",Table1[[#This Row],[Age]]&gt;50,"Over 50")</f>
        <v>41-50</v>
      </c>
      <c r="C537" t="s">
        <v>43</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t="str" cm="1">
        <f t="array" ref="AH537">_xlfn.IFS(Table1[[#This Row],[YearsAtCompany]]&lt;=2,"0-2 years",Table1[[#This Row],[YearsAtCompany]]&lt;=5,"3-5 years",Table1[[#This Row],[YearsAtCompany]]&lt;=10,"6-10 years",Table1[[#This Row],[YearsAtCompany]]&gt;10,"10+ years")</f>
        <v>10+ years</v>
      </c>
      <c r="AI537">
        <v>6</v>
      </c>
      <c r="AJ537">
        <v>12</v>
      </c>
      <c r="AK537">
        <v>6</v>
      </c>
      <c r="AL537" t="str" cm="1">
        <f t="array" ref="AL537">_xlfn.IFS(Table1[[#This Row],[JobSatisfaction]]=1,"Low",Table1[[#This Row],[JobSatisfaction]]=2,"Medium",Table1[[#This Row],[JobSatisfaction]]=3,"High",Table1[[#This Row],[JobSatisfaction]]=4,"Very High")</f>
        <v>Very High</v>
      </c>
      <c r="AM537">
        <f>IF(Table1[[#This Row],[Attrition]]="Yes",1,0)</f>
        <v>0</v>
      </c>
    </row>
    <row r="538" spans="1:39" ht="13.8" x14ac:dyDescent="0.25">
      <c r="A538">
        <v>60</v>
      </c>
      <c r="B538" t="str" cm="1">
        <f t="array" ref="B538">_xlfn.IFS(Table1[[#This Row],[Age]]&lt;30,"Under 30",Table1[[#This Row],[Age]]&lt;=40,"30-40",Table1[[#This Row],[Age]]&lt;=50,"41-50",Table1[[#This Row],[Age]]&gt;50,"Over 50")</f>
        <v>Over 50</v>
      </c>
      <c r="C538" t="s">
        <v>43</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t="str" cm="1">
        <f t="array" ref="AH538">_xlfn.IFS(Table1[[#This Row],[YearsAtCompany]]&lt;=2,"0-2 years",Table1[[#This Row],[YearsAtCompany]]&lt;=5,"3-5 years",Table1[[#This Row],[YearsAtCompany]]&lt;=10,"6-10 years",Table1[[#This Row],[YearsAtCompany]]&gt;10,"10+ years")</f>
        <v>0-2 years</v>
      </c>
      <c r="AI538">
        <v>2</v>
      </c>
      <c r="AJ538">
        <v>2</v>
      </c>
      <c r="AK538">
        <v>2</v>
      </c>
      <c r="AL538" t="str" cm="1">
        <f t="array" ref="AL538">_xlfn.IFS(Table1[[#This Row],[JobSatisfaction]]=1,"Low",Table1[[#This Row],[JobSatisfaction]]=2,"Medium",Table1[[#This Row],[JobSatisfaction]]=3,"High",Table1[[#This Row],[JobSatisfaction]]=4,"Very High")</f>
        <v>Low</v>
      </c>
      <c r="AM538">
        <f>IF(Table1[[#This Row],[Attrition]]="Yes",1,0)</f>
        <v>0</v>
      </c>
    </row>
    <row r="539" spans="1:39" ht="13.8" x14ac:dyDescent="0.25">
      <c r="A539">
        <v>27</v>
      </c>
      <c r="B539" t="str" cm="1">
        <f t="array" ref="B539">_xlfn.IFS(Table1[[#This Row],[Age]]&lt;30,"Under 30",Table1[[#This Row],[Age]]&lt;=40,"30-40",Table1[[#This Row],[Age]]&lt;=50,"41-50",Table1[[#This Row],[Age]]&gt;50,"Over 50")</f>
        <v>Under 30</v>
      </c>
      <c r="C539" t="s">
        <v>43</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t="str" cm="1">
        <f t="array" ref="AH539">_xlfn.IFS(Table1[[#This Row],[YearsAtCompany]]&lt;=2,"0-2 years",Table1[[#This Row],[YearsAtCompany]]&lt;=5,"3-5 years",Table1[[#This Row],[YearsAtCompany]]&lt;=10,"6-10 years",Table1[[#This Row],[YearsAtCompany]]&gt;10,"10+ years")</f>
        <v>6-10 years</v>
      </c>
      <c r="AI539">
        <v>7</v>
      </c>
      <c r="AJ539">
        <v>1</v>
      </c>
      <c r="AK539">
        <v>7</v>
      </c>
      <c r="AL539" t="str" cm="1">
        <f t="array" ref="AL539">_xlfn.IFS(Table1[[#This Row],[JobSatisfaction]]=1,"Low",Table1[[#This Row],[JobSatisfaction]]=2,"Medium",Table1[[#This Row],[JobSatisfaction]]=3,"High",Table1[[#This Row],[JobSatisfaction]]=4,"Very High")</f>
        <v>Low</v>
      </c>
      <c r="AM539">
        <f>IF(Table1[[#This Row],[Attrition]]="Yes",1,0)</f>
        <v>0</v>
      </c>
    </row>
    <row r="540" spans="1:39" ht="13.8" x14ac:dyDescent="0.25">
      <c r="A540">
        <v>41</v>
      </c>
      <c r="B540" t="str" cm="1">
        <f t="array" ref="B540">_xlfn.IFS(Table1[[#This Row],[Age]]&lt;30,"Under 30",Table1[[#This Row],[Age]]&lt;=40,"30-40",Table1[[#This Row],[Age]]&lt;=50,"41-50",Table1[[#This Row],[Age]]&gt;50,"Over 50")</f>
        <v>41-50</v>
      </c>
      <c r="C540" t="s">
        <v>43</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t="str" cm="1">
        <f t="array" ref="AH540">_xlfn.IFS(Table1[[#This Row],[YearsAtCompany]]&lt;=2,"0-2 years",Table1[[#This Row],[YearsAtCompany]]&lt;=5,"3-5 years",Table1[[#This Row],[YearsAtCompany]]&lt;=10,"6-10 years",Table1[[#This Row],[YearsAtCompany]]&gt;10,"10+ years")</f>
        <v>10+ years</v>
      </c>
      <c r="AI540">
        <v>7</v>
      </c>
      <c r="AJ540">
        <v>2</v>
      </c>
      <c r="AK540">
        <v>10</v>
      </c>
      <c r="AL540" t="str" cm="1">
        <f t="array" ref="AL540">_xlfn.IFS(Table1[[#This Row],[JobSatisfaction]]=1,"Low",Table1[[#This Row],[JobSatisfaction]]=2,"Medium",Table1[[#This Row],[JobSatisfaction]]=3,"High",Table1[[#This Row],[JobSatisfaction]]=4,"Very High")</f>
        <v>High</v>
      </c>
      <c r="AM540">
        <f>IF(Table1[[#This Row],[Attrition]]="Yes",1,0)</f>
        <v>0</v>
      </c>
    </row>
    <row r="541" spans="1:39" ht="13.8" x14ac:dyDescent="0.25">
      <c r="A541">
        <v>50</v>
      </c>
      <c r="B541" t="str" cm="1">
        <f t="array" ref="B541">_xlfn.IFS(Table1[[#This Row],[Age]]&lt;30,"Under 30",Table1[[#This Row],[Age]]&lt;=40,"30-40",Table1[[#This Row],[Age]]&lt;=50,"41-50",Table1[[#This Row],[Age]]&gt;50,"Over 50")</f>
        <v>41-50</v>
      </c>
      <c r="C541" t="s">
        <v>43</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t="str" cm="1">
        <f t="array" ref="AH541">_xlfn.IFS(Table1[[#This Row],[YearsAtCompany]]&lt;=2,"0-2 years",Table1[[#This Row],[YearsAtCompany]]&lt;=5,"3-5 years",Table1[[#This Row],[YearsAtCompany]]&lt;=10,"6-10 years",Table1[[#This Row],[YearsAtCompany]]&gt;10,"10+ years")</f>
        <v>0-2 years</v>
      </c>
      <c r="AI541">
        <v>2</v>
      </c>
      <c r="AJ541">
        <v>2</v>
      </c>
      <c r="AK541">
        <v>2</v>
      </c>
      <c r="AL541" t="str" cm="1">
        <f t="array" ref="AL541">_xlfn.IFS(Table1[[#This Row],[JobSatisfaction]]=1,"Low",Table1[[#This Row],[JobSatisfaction]]=2,"Medium",Table1[[#This Row],[JobSatisfaction]]=3,"High",Table1[[#This Row],[JobSatisfaction]]=4,"Very High")</f>
        <v>Medium</v>
      </c>
      <c r="AM541">
        <f>IF(Table1[[#This Row],[Attrition]]="Yes",1,0)</f>
        <v>0</v>
      </c>
    </row>
    <row r="542" spans="1:39" ht="13.8" x14ac:dyDescent="0.25">
      <c r="A542">
        <v>28</v>
      </c>
      <c r="B542" t="str" cm="1">
        <f t="array" ref="B542">_xlfn.IFS(Table1[[#This Row],[Age]]&lt;30,"Under 30",Table1[[#This Row],[Age]]&lt;=40,"30-40",Table1[[#This Row],[Age]]&lt;=50,"41-50",Table1[[#This Row],[Age]]&gt;50,"Over 50")</f>
        <v>Under 30</v>
      </c>
      <c r="C542" t="s">
        <v>35</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t="str" cm="1">
        <f t="array" ref="AH542">_xlfn.IFS(Table1[[#This Row],[YearsAtCompany]]&lt;=2,"0-2 years",Table1[[#This Row],[YearsAtCompany]]&lt;=5,"3-5 years",Table1[[#This Row],[YearsAtCompany]]&lt;=10,"6-10 years",Table1[[#This Row],[YearsAtCompany]]&gt;10,"10+ years")</f>
        <v>6-10 years</v>
      </c>
      <c r="AI542">
        <v>7</v>
      </c>
      <c r="AJ542">
        <v>3</v>
      </c>
      <c r="AK542">
        <v>7</v>
      </c>
      <c r="AL542" t="str" cm="1">
        <f t="array" ref="AL542">_xlfn.IFS(Table1[[#This Row],[JobSatisfaction]]=1,"Low",Table1[[#This Row],[JobSatisfaction]]=2,"Medium",Table1[[#This Row],[JobSatisfaction]]=3,"High",Table1[[#This Row],[JobSatisfaction]]=4,"Very High")</f>
        <v>Medium</v>
      </c>
      <c r="AM542">
        <f>IF(Table1[[#This Row],[Attrition]]="Yes",1,0)</f>
        <v>1</v>
      </c>
    </row>
    <row r="543" spans="1:39" ht="13.8" x14ac:dyDescent="0.25">
      <c r="A543">
        <v>36</v>
      </c>
      <c r="B543" t="str" cm="1">
        <f t="array" ref="B543">_xlfn.IFS(Table1[[#This Row],[Age]]&lt;30,"Under 30",Table1[[#This Row],[Age]]&lt;=40,"30-40",Table1[[#This Row],[Age]]&lt;=50,"41-50",Table1[[#This Row],[Age]]&gt;50,"Over 50")</f>
        <v>30-40</v>
      </c>
      <c r="C543" t="s">
        <v>43</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t="str" cm="1">
        <f t="array" ref="AH543">_xlfn.IFS(Table1[[#This Row],[YearsAtCompany]]&lt;=2,"0-2 years",Table1[[#This Row],[YearsAtCompany]]&lt;=5,"3-5 years",Table1[[#This Row],[YearsAtCompany]]&lt;=10,"6-10 years",Table1[[#This Row],[YearsAtCompany]]&gt;10,"10+ years")</f>
        <v>6-10 years</v>
      </c>
      <c r="AI543">
        <v>7</v>
      </c>
      <c r="AJ543">
        <v>0</v>
      </c>
      <c r="AK543">
        <v>5</v>
      </c>
      <c r="AL543" t="str" cm="1">
        <f t="array" ref="AL543">_xlfn.IFS(Table1[[#This Row],[JobSatisfaction]]=1,"Low",Table1[[#This Row],[JobSatisfaction]]=2,"Medium",Table1[[#This Row],[JobSatisfaction]]=3,"High",Table1[[#This Row],[JobSatisfaction]]=4,"Very High")</f>
        <v>Low</v>
      </c>
      <c r="AM543">
        <f>IF(Table1[[#This Row],[Attrition]]="Yes",1,0)</f>
        <v>0</v>
      </c>
    </row>
    <row r="544" spans="1:39" ht="13.8" x14ac:dyDescent="0.25">
      <c r="A544">
        <v>38</v>
      </c>
      <c r="B544" t="str" cm="1">
        <f t="array" ref="B544">_xlfn.IFS(Table1[[#This Row],[Age]]&lt;30,"Under 30",Table1[[#This Row],[Age]]&lt;=40,"30-40",Table1[[#This Row],[Age]]&lt;=50,"41-50",Table1[[#This Row],[Age]]&gt;50,"Over 50")</f>
        <v>30-40</v>
      </c>
      <c r="C544" t="s">
        <v>43</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t="str" cm="1">
        <f t="array" ref="AH544">_xlfn.IFS(Table1[[#This Row],[YearsAtCompany]]&lt;=2,"0-2 years",Table1[[#This Row],[YearsAtCompany]]&lt;=5,"3-5 years",Table1[[#This Row],[YearsAtCompany]]&lt;=10,"6-10 years",Table1[[#This Row],[YearsAtCompany]]&gt;10,"10+ years")</f>
        <v>0-2 years</v>
      </c>
      <c r="AI544">
        <v>0</v>
      </c>
      <c r="AJ544">
        <v>0</v>
      </c>
      <c r="AK544">
        <v>0</v>
      </c>
      <c r="AL544" t="str" cm="1">
        <f t="array" ref="AL544">_xlfn.IFS(Table1[[#This Row],[JobSatisfaction]]=1,"Low",Table1[[#This Row],[JobSatisfaction]]=2,"Medium",Table1[[#This Row],[JobSatisfaction]]=3,"High",Table1[[#This Row],[JobSatisfaction]]=4,"Very High")</f>
        <v>High</v>
      </c>
      <c r="AM544">
        <f>IF(Table1[[#This Row],[Attrition]]="Yes",1,0)</f>
        <v>0</v>
      </c>
    </row>
    <row r="545" spans="1:39" ht="13.8" x14ac:dyDescent="0.25">
      <c r="A545">
        <v>44</v>
      </c>
      <c r="B545" t="str" cm="1">
        <f t="array" ref="B545">_xlfn.IFS(Table1[[#This Row],[Age]]&lt;30,"Under 30",Table1[[#This Row],[Age]]&lt;=40,"30-40",Table1[[#This Row],[Age]]&lt;=50,"41-50",Table1[[#This Row],[Age]]&gt;50,"Over 50")</f>
        <v>41-50</v>
      </c>
      <c r="C545" t="s">
        <v>43</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t="str" cm="1">
        <f t="array" ref="AH545">_xlfn.IFS(Table1[[#This Row],[YearsAtCompany]]&lt;=2,"0-2 years",Table1[[#This Row],[YearsAtCompany]]&lt;=5,"3-5 years",Table1[[#This Row],[YearsAtCompany]]&lt;=10,"6-10 years",Table1[[#This Row],[YearsAtCompany]]&gt;10,"10+ years")</f>
        <v>3-5 years</v>
      </c>
      <c r="AI545">
        <v>2</v>
      </c>
      <c r="AJ545">
        <v>1</v>
      </c>
      <c r="AK545">
        <v>4</v>
      </c>
      <c r="AL545" t="str" cm="1">
        <f t="array" ref="AL545">_xlfn.IFS(Table1[[#This Row],[JobSatisfaction]]=1,"Low",Table1[[#This Row],[JobSatisfaction]]=2,"Medium",Table1[[#This Row],[JobSatisfaction]]=3,"High",Table1[[#This Row],[JobSatisfaction]]=4,"Very High")</f>
        <v>High</v>
      </c>
      <c r="AM545">
        <f>IF(Table1[[#This Row],[Attrition]]="Yes",1,0)</f>
        <v>0</v>
      </c>
    </row>
    <row r="546" spans="1:39" ht="13.8" x14ac:dyDescent="0.25">
      <c r="A546">
        <v>47</v>
      </c>
      <c r="B546" t="str" cm="1">
        <f t="array" ref="B546">_xlfn.IFS(Table1[[#This Row],[Age]]&lt;30,"Under 30",Table1[[#This Row],[Age]]&lt;=40,"30-40",Table1[[#This Row],[Age]]&lt;=50,"41-50",Table1[[#This Row],[Age]]&gt;50,"Over 50")</f>
        <v>41-50</v>
      </c>
      <c r="C546" t="s">
        <v>43</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t="str" cm="1">
        <f t="array" ref="AH546">_xlfn.IFS(Table1[[#This Row],[YearsAtCompany]]&lt;=2,"0-2 years",Table1[[#This Row],[YearsAtCompany]]&lt;=5,"3-5 years",Table1[[#This Row],[YearsAtCompany]]&lt;=10,"6-10 years",Table1[[#This Row],[YearsAtCompany]]&gt;10,"10+ years")</f>
        <v>10+ years</v>
      </c>
      <c r="AI546">
        <v>2</v>
      </c>
      <c r="AJ546">
        <v>11</v>
      </c>
      <c r="AK546">
        <v>13</v>
      </c>
      <c r="AL546" t="str" cm="1">
        <f t="array" ref="AL546">_xlfn.IFS(Table1[[#This Row],[JobSatisfaction]]=1,"Low",Table1[[#This Row],[JobSatisfaction]]=2,"Medium",Table1[[#This Row],[JobSatisfaction]]=3,"High",Table1[[#This Row],[JobSatisfaction]]=4,"Very High")</f>
        <v>High</v>
      </c>
      <c r="AM546">
        <f>IF(Table1[[#This Row],[Attrition]]="Yes",1,0)</f>
        <v>0</v>
      </c>
    </row>
    <row r="547" spans="1:39" ht="13.8" x14ac:dyDescent="0.25">
      <c r="A547">
        <v>30</v>
      </c>
      <c r="B547" t="str" cm="1">
        <f t="array" ref="B547">_xlfn.IFS(Table1[[#This Row],[Age]]&lt;30,"Under 30",Table1[[#This Row],[Age]]&lt;=40,"30-40",Table1[[#This Row],[Age]]&lt;=50,"41-50",Table1[[#This Row],[Age]]&gt;50,"Over 50")</f>
        <v>30-40</v>
      </c>
      <c r="C547" t="s">
        <v>43</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t="str" cm="1">
        <f t="array" ref="AH547">_xlfn.IFS(Table1[[#This Row],[YearsAtCompany]]&lt;=2,"0-2 years",Table1[[#This Row],[YearsAtCompany]]&lt;=5,"3-5 years",Table1[[#This Row],[YearsAtCompany]]&lt;=10,"6-10 years",Table1[[#This Row],[YearsAtCompany]]&gt;10,"10+ years")</f>
        <v>6-10 years</v>
      </c>
      <c r="AI547">
        <v>7</v>
      </c>
      <c r="AJ547">
        <v>7</v>
      </c>
      <c r="AK547">
        <v>7</v>
      </c>
      <c r="AL547" t="str" cm="1">
        <f t="array" ref="AL547">_xlfn.IFS(Table1[[#This Row],[JobSatisfaction]]=1,"Low",Table1[[#This Row],[JobSatisfaction]]=2,"Medium",Table1[[#This Row],[JobSatisfaction]]=3,"High",Table1[[#This Row],[JobSatisfaction]]=4,"Very High")</f>
        <v>Very High</v>
      </c>
      <c r="AM547">
        <f>IF(Table1[[#This Row],[Attrition]]="Yes",1,0)</f>
        <v>0</v>
      </c>
    </row>
    <row r="548" spans="1:39" ht="13.8" x14ac:dyDescent="0.25">
      <c r="A548">
        <v>29</v>
      </c>
      <c r="B548" t="str" cm="1">
        <f t="array" ref="B548">_xlfn.IFS(Table1[[#This Row],[Age]]&lt;30,"Under 30",Table1[[#This Row],[Age]]&lt;=40,"30-40",Table1[[#This Row],[Age]]&lt;=50,"41-50",Table1[[#This Row],[Age]]&gt;50,"Over 50")</f>
        <v>Under 30</v>
      </c>
      <c r="C548" t="s">
        <v>43</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t="str" cm="1">
        <f t="array" ref="AH548">_xlfn.IFS(Table1[[#This Row],[YearsAtCompany]]&lt;=2,"0-2 years",Table1[[#This Row],[YearsAtCompany]]&lt;=5,"3-5 years",Table1[[#This Row],[YearsAtCompany]]&lt;=10,"6-10 years",Table1[[#This Row],[YearsAtCompany]]&gt;10,"10+ years")</f>
        <v>0-2 years</v>
      </c>
      <c r="AI548">
        <v>0</v>
      </c>
      <c r="AJ548">
        <v>0</v>
      </c>
      <c r="AK548">
        <v>0</v>
      </c>
      <c r="AL548" t="str" cm="1">
        <f t="array" ref="AL548">_xlfn.IFS(Table1[[#This Row],[JobSatisfaction]]=1,"Low",Table1[[#This Row],[JobSatisfaction]]=2,"Medium",Table1[[#This Row],[JobSatisfaction]]=3,"High",Table1[[#This Row],[JobSatisfaction]]=4,"Very High")</f>
        <v>High</v>
      </c>
      <c r="AM548">
        <f>IF(Table1[[#This Row],[Attrition]]="Yes",1,0)</f>
        <v>0</v>
      </c>
    </row>
    <row r="549" spans="1:39" ht="13.8" x14ac:dyDescent="0.25">
      <c r="A549">
        <v>42</v>
      </c>
      <c r="B549" t="str" cm="1">
        <f t="array" ref="B549">_xlfn.IFS(Table1[[#This Row],[Age]]&lt;30,"Under 30",Table1[[#This Row],[Age]]&lt;=40,"30-40",Table1[[#This Row],[Age]]&lt;=50,"41-50",Table1[[#This Row],[Age]]&gt;50,"Over 50")</f>
        <v>41-50</v>
      </c>
      <c r="C549" t="s">
        <v>35</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t="str" cm="1">
        <f t="array" ref="AH549">_xlfn.IFS(Table1[[#This Row],[YearsAtCompany]]&lt;=2,"0-2 years",Table1[[#This Row],[YearsAtCompany]]&lt;=5,"3-5 years",Table1[[#This Row],[YearsAtCompany]]&lt;=10,"6-10 years",Table1[[#This Row],[YearsAtCompany]]&gt;10,"10+ years")</f>
        <v>0-2 years</v>
      </c>
      <c r="AI549">
        <v>2</v>
      </c>
      <c r="AJ549">
        <v>2</v>
      </c>
      <c r="AK549">
        <v>2</v>
      </c>
      <c r="AL549" t="str" cm="1">
        <f t="array" ref="AL549">_xlfn.IFS(Table1[[#This Row],[JobSatisfaction]]=1,"Low",Table1[[#This Row],[JobSatisfaction]]=2,"Medium",Table1[[#This Row],[JobSatisfaction]]=3,"High",Table1[[#This Row],[JobSatisfaction]]=4,"Very High")</f>
        <v>High</v>
      </c>
      <c r="AM549">
        <f>IF(Table1[[#This Row],[Attrition]]="Yes",1,0)</f>
        <v>1</v>
      </c>
    </row>
    <row r="550" spans="1:39" ht="13.8" x14ac:dyDescent="0.25">
      <c r="A550">
        <v>43</v>
      </c>
      <c r="B550" t="str" cm="1">
        <f t="array" ref="B550">_xlfn.IFS(Table1[[#This Row],[Age]]&lt;30,"Under 30",Table1[[#This Row],[Age]]&lt;=40,"30-40",Table1[[#This Row],[Age]]&lt;=50,"41-50",Table1[[#This Row],[Age]]&gt;50,"Over 50")</f>
        <v>41-50</v>
      </c>
      <c r="C550" t="s">
        <v>43</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t="str" cm="1">
        <f t="array" ref="AH550">_xlfn.IFS(Table1[[#This Row],[YearsAtCompany]]&lt;=2,"0-2 years",Table1[[#This Row],[YearsAtCompany]]&lt;=5,"3-5 years",Table1[[#This Row],[YearsAtCompany]]&lt;=10,"6-10 years",Table1[[#This Row],[YearsAtCompany]]&gt;10,"10+ years")</f>
        <v>0-2 years</v>
      </c>
      <c r="AI550">
        <v>2</v>
      </c>
      <c r="AJ550">
        <v>2</v>
      </c>
      <c r="AK550">
        <v>2</v>
      </c>
      <c r="AL550" t="str" cm="1">
        <f t="array" ref="AL550">_xlfn.IFS(Table1[[#This Row],[JobSatisfaction]]=1,"Low",Table1[[#This Row],[JobSatisfaction]]=2,"Medium",Table1[[#This Row],[JobSatisfaction]]=3,"High",Table1[[#This Row],[JobSatisfaction]]=4,"Very High")</f>
        <v>Very High</v>
      </c>
      <c r="AM550">
        <f>IF(Table1[[#This Row],[Attrition]]="Yes",1,0)</f>
        <v>0</v>
      </c>
    </row>
    <row r="551" spans="1:39" ht="13.8" x14ac:dyDescent="0.25">
      <c r="A551">
        <v>34</v>
      </c>
      <c r="B551" t="str" cm="1">
        <f t="array" ref="B551">_xlfn.IFS(Table1[[#This Row],[Age]]&lt;30,"Under 30",Table1[[#This Row],[Age]]&lt;=40,"30-40",Table1[[#This Row],[Age]]&lt;=50,"41-50",Table1[[#This Row],[Age]]&gt;50,"Over 50")</f>
        <v>30-40</v>
      </c>
      <c r="C551" t="s">
        <v>43</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t="str" cm="1">
        <f t="array" ref="AH551">_xlfn.IFS(Table1[[#This Row],[YearsAtCompany]]&lt;=2,"0-2 years",Table1[[#This Row],[YearsAtCompany]]&lt;=5,"3-5 years",Table1[[#This Row],[YearsAtCompany]]&lt;=10,"6-10 years",Table1[[#This Row],[YearsAtCompany]]&gt;10,"10+ years")</f>
        <v>3-5 years</v>
      </c>
      <c r="AI551">
        <v>1</v>
      </c>
      <c r="AJ551">
        <v>4</v>
      </c>
      <c r="AK551">
        <v>3</v>
      </c>
      <c r="AL551" t="str" cm="1">
        <f t="array" ref="AL551">_xlfn.IFS(Table1[[#This Row],[JobSatisfaction]]=1,"Low",Table1[[#This Row],[JobSatisfaction]]=2,"Medium",Table1[[#This Row],[JobSatisfaction]]=3,"High",Table1[[#This Row],[JobSatisfaction]]=4,"Very High")</f>
        <v>High</v>
      </c>
      <c r="AM551">
        <f>IF(Table1[[#This Row],[Attrition]]="Yes",1,0)</f>
        <v>0</v>
      </c>
    </row>
    <row r="552" spans="1:39" ht="13.8" x14ac:dyDescent="0.25">
      <c r="A552">
        <v>23</v>
      </c>
      <c r="B552" t="str" cm="1">
        <f t="array" ref="B552">_xlfn.IFS(Table1[[#This Row],[Age]]&lt;30,"Under 30",Table1[[#This Row],[Age]]&lt;=40,"30-40",Table1[[#This Row],[Age]]&lt;=50,"41-50",Table1[[#This Row],[Age]]&gt;50,"Over 50")</f>
        <v>Under 30</v>
      </c>
      <c r="C552" t="s">
        <v>43</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t="str" cm="1">
        <f t="array" ref="AH552">_xlfn.IFS(Table1[[#This Row],[YearsAtCompany]]&lt;=2,"0-2 years",Table1[[#This Row],[YearsAtCompany]]&lt;=5,"3-5 years",Table1[[#This Row],[YearsAtCompany]]&lt;=10,"6-10 years",Table1[[#This Row],[YearsAtCompany]]&gt;10,"10+ years")</f>
        <v>3-5 years</v>
      </c>
      <c r="AI552">
        <v>3</v>
      </c>
      <c r="AJ552">
        <v>0</v>
      </c>
      <c r="AK552">
        <v>2</v>
      </c>
      <c r="AL552" t="str" cm="1">
        <f t="array" ref="AL552">_xlfn.IFS(Table1[[#This Row],[JobSatisfaction]]=1,"Low",Table1[[#This Row],[JobSatisfaction]]=2,"Medium",Table1[[#This Row],[JobSatisfaction]]=3,"High",Table1[[#This Row],[JobSatisfaction]]=4,"Very High")</f>
        <v>Low</v>
      </c>
      <c r="AM552">
        <f>IF(Table1[[#This Row],[Attrition]]="Yes",1,0)</f>
        <v>0</v>
      </c>
    </row>
    <row r="553" spans="1:39" ht="13.8" x14ac:dyDescent="0.25">
      <c r="A553">
        <v>39</v>
      </c>
      <c r="B553" t="str" cm="1">
        <f t="array" ref="B553">_xlfn.IFS(Table1[[#This Row],[Age]]&lt;30,"Under 30",Table1[[#This Row],[Age]]&lt;=40,"30-40",Table1[[#This Row],[Age]]&lt;=50,"41-50",Table1[[#This Row],[Age]]&gt;50,"Over 50")</f>
        <v>30-40</v>
      </c>
      <c r="C553" t="s">
        <v>43</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t="str" cm="1">
        <f t="array" ref="AH553">_xlfn.IFS(Table1[[#This Row],[YearsAtCompany]]&lt;=2,"0-2 years",Table1[[#This Row],[YearsAtCompany]]&lt;=5,"3-5 years",Table1[[#This Row],[YearsAtCompany]]&lt;=10,"6-10 years",Table1[[#This Row],[YearsAtCompany]]&gt;10,"10+ years")</f>
        <v>6-10 years</v>
      </c>
      <c r="AI553">
        <v>3</v>
      </c>
      <c r="AJ553">
        <v>3</v>
      </c>
      <c r="AK553">
        <v>6</v>
      </c>
      <c r="AL553" t="str" cm="1">
        <f t="array" ref="AL553">_xlfn.IFS(Table1[[#This Row],[JobSatisfaction]]=1,"Low",Table1[[#This Row],[JobSatisfaction]]=2,"Medium",Table1[[#This Row],[JobSatisfaction]]=3,"High",Table1[[#This Row],[JobSatisfaction]]=4,"Very High")</f>
        <v>Medium</v>
      </c>
      <c r="AM553">
        <f>IF(Table1[[#This Row],[Attrition]]="Yes",1,0)</f>
        <v>0</v>
      </c>
    </row>
    <row r="554" spans="1:39" ht="13.8" x14ac:dyDescent="0.25">
      <c r="A554">
        <v>56</v>
      </c>
      <c r="B554" t="str" cm="1">
        <f t="array" ref="B554">_xlfn.IFS(Table1[[#This Row],[Age]]&lt;30,"Under 30",Table1[[#This Row],[Age]]&lt;=40,"30-40",Table1[[#This Row],[Age]]&lt;=50,"41-50",Table1[[#This Row],[Age]]&gt;50,"Over 50")</f>
        <v>Over 50</v>
      </c>
      <c r="C554" t="s">
        <v>43</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t="str" cm="1">
        <f t="array" ref="AH554">_xlfn.IFS(Table1[[#This Row],[YearsAtCompany]]&lt;=2,"0-2 years",Table1[[#This Row],[YearsAtCompany]]&lt;=5,"3-5 years",Table1[[#This Row],[YearsAtCompany]]&lt;=10,"6-10 years",Table1[[#This Row],[YearsAtCompany]]&gt;10,"10+ years")</f>
        <v>6-10 years</v>
      </c>
      <c r="AI554">
        <v>7</v>
      </c>
      <c r="AJ554">
        <v>1</v>
      </c>
      <c r="AK554">
        <v>1</v>
      </c>
      <c r="AL554" t="str" cm="1">
        <f t="array" ref="AL554">_xlfn.IFS(Table1[[#This Row],[JobSatisfaction]]=1,"Low",Table1[[#This Row],[JobSatisfaction]]=2,"Medium",Table1[[#This Row],[JobSatisfaction]]=3,"High",Table1[[#This Row],[JobSatisfaction]]=4,"Very High")</f>
        <v>Very High</v>
      </c>
      <c r="AM554">
        <f>IF(Table1[[#This Row],[Attrition]]="Yes",1,0)</f>
        <v>0</v>
      </c>
    </row>
    <row r="555" spans="1:39" ht="13.8" x14ac:dyDescent="0.25">
      <c r="A555">
        <v>40</v>
      </c>
      <c r="B555" t="str" cm="1">
        <f t="array" ref="B555">_xlfn.IFS(Table1[[#This Row],[Age]]&lt;30,"Under 30",Table1[[#This Row],[Age]]&lt;=40,"30-40",Table1[[#This Row],[Age]]&lt;=50,"41-50",Table1[[#This Row],[Age]]&gt;50,"Over 50")</f>
        <v>30-40</v>
      </c>
      <c r="C555" t="s">
        <v>43</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t="str" cm="1">
        <f t="array" ref="AH555">_xlfn.IFS(Table1[[#This Row],[YearsAtCompany]]&lt;=2,"0-2 years",Table1[[#This Row],[YearsAtCompany]]&lt;=5,"3-5 years",Table1[[#This Row],[YearsAtCompany]]&lt;=10,"6-10 years",Table1[[#This Row],[YearsAtCompany]]&gt;10,"10+ years")</f>
        <v>3-5 years</v>
      </c>
      <c r="AI555">
        <v>2</v>
      </c>
      <c r="AJ555">
        <v>2</v>
      </c>
      <c r="AK555">
        <v>3</v>
      </c>
      <c r="AL555" t="str" cm="1">
        <f t="array" ref="AL555">_xlfn.IFS(Table1[[#This Row],[JobSatisfaction]]=1,"Low",Table1[[#This Row],[JobSatisfaction]]=2,"Medium",Table1[[#This Row],[JobSatisfaction]]=3,"High",Table1[[#This Row],[JobSatisfaction]]=4,"Very High")</f>
        <v>Very High</v>
      </c>
      <c r="AM555">
        <f>IF(Table1[[#This Row],[Attrition]]="Yes",1,0)</f>
        <v>0</v>
      </c>
    </row>
    <row r="556" spans="1:39" ht="13.8" x14ac:dyDescent="0.25">
      <c r="A556">
        <v>27</v>
      </c>
      <c r="B556" t="str" cm="1">
        <f t="array" ref="B556">_xlfn.IFS(Table1[[#This Row],[Age]]&lt;30,"Under 30",Table1[[#This Row],[Age]]&lt;=40,"30-40",Table1[[#This Row],[Age]]&lt;=50,"41-50",Table1[[#This Row],[Age]]&gt;50,"Over 50")</f>
        <v>Under 30</v>
      </c>
      <c r="C556" t="s">
        <v>43</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t="str" cm="1">
        <f t="array" ref="AH556">_xlfn.IFS(Table1[[#This Row],[YearsAtCompany]]&lt;=2,"0-2 years",Table1[[#This Row],[YearsAtCompany]]&lt;=5,"3-5 years",Table1[[#This Row],[YearsAtCompany]]&lt;=10,"6-10 years",Table1[[#This Row],[YearsAtCompany]]&gt;10,"10+ years")</f>
        <v>6-10 years</v>
      </c>
      <c r="AI556">
        <v>6</v>
      </c>
      <c r="AJ556">
        <v>0</v>
      </c>
      <c r="AK556">
        <v>7</v>
      </c>
      <c r="AL556" t="str" cm="1">
        <f t="array" ref="AL556">_xlfn.IFS(Table1[[#This Row],[JobSatisfaction]]=1,"Low",Table1[[#This Row],[JobSatisfaction]]=2,"Medium",Table1[[#This Row],[JobSatisfaction]]=3,"High",Table1[[#This Row],[JobSatisfaction]]=4,"Very High")</f>
        <v>Low</v>
      </c>
      <c r="AM556">
        <f>IF(Table1[[#This Row],[Attrition]]="Yes",1,0)</f>
        <v>0</v>
      </c>
    </row>
    <row r="557" spans="1:39" ht="13.8" x14ac:dyDescent="0.25">
      <c r="A557">
        <v>29</v>
      </c>
      <c r="B557" t="str" cm="1">
        <f t="array" ref="B557">_xlfn.IFS(Table1[[#This Row],[Age]]&lt;30,"Under 30",Table1[[#This Row],[Age]]&lt;=40,"30-40",Table1[[#This Row],[Age]]&lt;=50,"41-50",Table1[[#This Row],[Age]]&gt;50,"Over 50")</f>
        <v>Under 30</v>
      </c>
      <c r="C557" t="s">
        <v>43</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t="str" cm="1">
        <f t="array" ref="AH557">_xlfn.IFS(Table1[[#This Row],[YearsAtCompany]]&lt;=2,"0-2 years",Table1[[#This Row],[YearsAtCompany]]&lt;=5,"3-5 years",Table1[[#This Row],[YearsAtCompany]]&lt;=10,"6-10 years",Table1[[#This Row],[YearsAtCompany]]&gt;10,"10+ years")</f>
        <v>0-2 years</v>
      </c>
      <c r="AI557">
        <v>2</v>
      </c>
      <c r="AJ557">
        <v>2</v>
      </c>
      <c r="AK557">
        <v>2</v>
      </c>
      <c r="AL557" t="str" cm="1">
        <f t="array" ref="AL557">_xlfn.IFS(Table1[[#This Row],[JobSatisfaction]]=1,"Low",Table1[[#This Row],[JobSatisfaction]]=2,"Medium",Table1[[#This Row],[JobSatisfaction]]=3,"High",Table1[[#This Row],[JobSatisfaction]]=4,"Very High")</f>
        <v>Medium</v>
      </c>
      <c r="AM557">
        <f>IF(Table1[[#This Row],[Attrition]]="Yes",1,0)</f>
        <v>0</v>
      </c>
    </row>
    <row r="558" spans="1:39" ht="13.8" x14ac:dyDescent="0.25">
      <c r="A558">
        <v>53</v>
      </c>
      <c r="B558" t="str" cm="1">
        <f t="array" ref="B558">_xlfn.IFS(Table1[[#This Row],[Age]]&lt;30,"Under 30",Table1[[#This Row],[Age]]&lt;=40,"30-40",Table1[[#This Row],[Age]]&lt;=50,"41-50",Table1[[#This Row],[Age]]&gt;50,"Over 50")</f>
        <v>Over 50</v>
      </c>
      <c r="C558" t="s">
        <v>43</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t="str" cm="1">
        <f t="array" ref="AH558">_xlfn.IFS(Table1[[#This Row],[YearsAtCompany]]&lt;=2,"0-2 years",Table1[[#This Row],[YearsAtCompany]]&lt;=5,"3-5 years",Table1[[#This Row],[YearsAtCompany]]&lt;=10,"6-10 years",Table1[[#This Row],[YearsAtCompany]]&gt;10,"10+ years")</f>
        <v>0-2 years</v>
      </c>
      <c r="AI558">
        <v>2</v>
      </c>
      <c r="AJ558">
        <v>2</v>
      </c>
      <c r="AK558">
        <v>2</v>
      </c>
      <c r="AL558" t="str" cm="1">
        <f t="array" ref="AL558">_xlfn.IFS(Table1[[#This Row],[JobSatisfaction]]=1,"Low",Table1[[#This Row],[JobSatisfaction]]=2,"Medium",Table1[[#This Row],[JobSatisfaction]]=3,"High",Table1[[#This Row],[JobSatisfaction]]=4,"Very High")</f>
        <v>Very High</v>
      </c>
      <c r="AM558">
        <f>IF(Table1[[#This Row],[Attrition]]="Yes",1,0)</f>
        <v>0</v>
      </c>
    </row>
    <row r="559" spans="1:39" ht="13.8" x14ac:dyDescent="0.25">
      <c r="A559">
        <v>35</v>
      </c>
      <c r="B559" t="str" cm="1">
        <f t="array" ref="B559">_xlfn.IFS(Table1[[#This Row],[Age]]&lt;30,"Under 30",Table1[[#This Row],[Age]]&lt;=40,"30-40",Table1[[#This Row],[Age]]&lt;=50,"41-50",Table1[[#This Row],[Age]]&gt;50,"Over 50")</f>
        <v>30-40</v>
      </c>
      <c r="C559" t="s">
        <v>43</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t="str" cm="1">
        <f t="array" ref="AH559">_xlfn.IFS(Table1[[#This Row],[YearsAtCompany]]&lt;=2,"0-2 years",Table1[[#This Row],[YearsAtCompany]]&lt;=5,"3-5 years",Table1[[#This Row],[YearsAtCompany]]&lt;=10,"6-10 years",Table1[[#This Row],[YearsAtCompany]]&gt;10,"10+ years")</f>
        <v>0-2 years</v>
      </c>
      <c r="AI559">
        <v>0</v>
      </c>
      <c r="AJ559">
        <v>0</v>
      </c>
      <c r="AK559">
        <v>0</v>
      </c>
      <c r="AL559" t="str" cm="1">
        <f t="array" ref="AL559">_xlfn.IFS(Table1[[#This Row],[JobSatisfaction]]=1,"Low",Table1[[#This Row],[JobSatisfaction]]=2,"Medium",Table1[[#This Row],[JobSatisfaction]]=3,"High",Table1[[#This Row],[JobSatisfaction]]=4,"Very High")</f>
        <v>Low</v>
      </c>
      <c r="AM559">
        <f>IF(Table1[[#This Row],[Attrition]]="Yes",1,0)</f>
        <v>0</v>
      </c>
    </row>
    <row r="560" spans="1:39" ht="13.8" x14ac:dyDescent="0.25">
      <c r="A560">
        <v>32</v>
      </c>
      <c r="B560" t="str" cm="1">
        <f t="array" ref="B560">_xlfn.IFS(Table1[[#This Row],[Age]]&lt;30,"Under 30",Table1[[#This Row],[Age]]&lt;=40,"30-40",Table1[[#This Row],[Age]]&lt;=50,"41-50",Table1[[#This Row],[Age]]&gt;50,"Over 50")</f>
        <v>30-40</v>
      </c>
      <c r="C560" t="s">
        <v>43</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t="str" cm="1">
        <f t="array" ref="AH560">_xlfn.IFS(Table1[[#This Row],[YearsAtCompany]]&lt;=2,"0-2 years",Table1[[#This Row],[YearsAtCompany]]&lt;=5,"3-5 years",Table1[[#This Row],[YearsAtCompany]]&lt;=10,"6-10 years",Table1[[#This Row],[YearsAtCompany]]&gt;10,"10+ years")</f>
        <v>6-10 years</v>
      </c>
      <c r="AI560">
        <v>8</v>
      </c>
      <c r="AJ560">
        <v>4</v>
      </c>
      <c r="AK560">
        <v>7</v>
      </c>
      <c r="AL560" t="str" cm="1">
        <f t="array" ref="AL560">_xlfn.IFS(Table1[[#This Row],[JobSatisfaction]]=1,"Low",Table1[[#This Row],[JobSatisfaction]]=2,"Medium",Table1[[#This Row],[JobSatisfaction]]=3,"High",Table1[[#This Row],[JobSatisfaction]]=4,"Very High")</f>
        <v>Very High</v>
      </c>
      <c r="AM560">
        <f>IF(Table1[[#This Row],[Attrition]]="Yes",1,0)</f>
        <v>0</v>
      </c>
    </row>
    <row r="561" spans="1:39" ht="13.8" x14ac:dyDescent="0.25">
      <c r="A561">
        <v>38</v>
      </c>
      <c r="B561" t="str" cm="1">
        <f t="array" ref="B561">_xlfn.IFS(Table1[[#This Row],[Age]]&lt;30,"Under 30",Table1[[#This Row],[Age]]&lt;=40,"30-40",Table1[[#This Row],[Age]]&lt;=50,"41-50",Table1[[#This Row],[Age]]&gt;50,"Over 50")</f>
        <v>30-40</v>
      </c>
      <c r="C561" t="s">
        <v>43</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t="str" cm="1">
        <f t="array" ref="AH561">_xlfn.IFS(Table1[[#This Row],[YearsAtCompany]]&lt;=2,"0-2 years",Table1[[#This Row],[YearsAtCompany]]&lt;=5,"3-5 years",Table1[[#This Row],[YearsAtCompany]]&lt;=10,"6-10 years",Table1[[#This Row],[YearsAtCompany]]&gt;10,"10+ years")</f>
        <v>0-2 years</v>
      </c>
      <c r="AI561">
        <v>0</v>
      </c>
      <c r="AJ561">
        <v>0</v>
      </c>
      <c r="AK561">
        <v>1</v>
      </c>
      <c r="AL561" t="str" cm="1">
        <f t="array" ref="AL561">_xlfn.IFS(Table1[[#This Row],[JobSatisfaction]]=1,"Low",Table1[[#This Row],[JobSatisfaction]]=2,"Medium",Table1[[#This Row],[JobSatisfaction]]=3,"High",Table1[[#This Row],[JobSatisfaction]]=4,"Very High")</f>
        <v>High</v>
      </c>
      <c r="AM561">
        <f>IF(Table1[[#This Row],[Attrition]]="Yes",1,0)</f>
        <v>0</v>
      </c>
    </row>
    <row r="562" spans="1:39" ht="13.8" x14ac:dyDescent="0.25">
      <c r="A562">
        <v>34</v>
      </c>
      <c r="B562" t="str" cm="1">
        <f t="array" ref="B562">_xlfn.IFS(Table1[[#This Row],[Age]]&lt;30,"Under 30",Table1[[#This Row],[Age]]&lt;=40,"30-40",Table1[[#This Row],[Age]]&lt;=50,"41-50",Table1[[#This Row],[Age]]&gt;50,"Over 50")</f>
        <v>30-40</v>
      </c>
      <c r="C562" t="s">
        <v>43</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t="str" cm="1">
        <f t="array" ref="AH562">_xlfn.IFS(Table1[[#This Row],[YearsAtCompany]]&lt;=2,"0-2 years",Table1[[#This Row],[YearsAtCompany]]&lt;=5,"3-5 years",Table1[[#This Row],[YearsAtCompany]]&lt;=10,"6-10 years",Table1[[#This Row],[YearsAtCompany]]&gt;10,"10+ years")</f>
        <v>0-2 years</v>
      </c>
      <c r="AI562">
        <v>0</v>
      </c>
      <c r="AJ562">
        <v>0</v>
      </c>
      <c r="AK562">
        <v>0</v>
      </c>
      <c r="AL562" t="str" cm="1">
        <f t="array" ref="AL562">_xlfn.IFS(Table1[[#This Row],[JobSatisfaction]]=1,"Low",Table1[[#This Row],[JobSatisfaction]]=2,"Medium",Table1[[#This Row],[JobSatisfaction]]=3,"High",Table1[[#This Row],[JobSatisfaction]]=4,"Very High")</f>
        <v>Low</v>
      </c>
      <c r="AM562">
        <f>IF(Table1[[#This Row],[Attrition]]="Yes",1,0)</f>
        <v>0</v>
      </c>
    </row>
    <row r="563" spans="1:39" ht="13.8" x14ac:dyDescent="0.25">
      <c r="A563">
        <v>52</v>
      </c>
      <c r="B563" t="str" cm="1">
        <f t="array" ref="B563">_xlfn.IFS(Table1[[#This Row],[Age]]&lt;30,"Under 30",Table1[[#This Row],[Age]]&lt;=40,"30-40",Table1[[#This Row],[Age]]&lt;=50,"41-50",Table1[[#This Row],[Age]]&gt;50,"Over 50")</f>
        <v>Over 50</v>
      </c>
      <c r="C563" t="s">
        <v>43</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t="str" cm="1">
        <f t="array" ref="AH563">_xlfn.IFS(Table1[[#This Row],[YearsAtCompany]]&lt;=2,"0-2 years",Table1[[#This Row],[YearsAtCompany]]&lt;=5,"3-5 years",Table1[[#This Row],[YearsAtCompany]]&lt;=10,"6-10 years",Table1[[#This Row],[YearsAtCompany]]&gt;10,"10+ years")</f>
        <v>10+ years</v>
      </c>
      <c r="AI563">
        <v>6</v>
      </c>
      <c r="AJ563">
        <v>1</v>
      </c>
      <c r="AK563">
        <v>16</v>
      </c>
      <c r="AL563" t="str" cm="1">
        <f t="array" ref="AL563">_xlfn.IFS(Table1[[#This Row],[JobSatisfaction]]=1,"Low",Table1[[#This Row],[JobSatisfaction]]=2,"Medium",Table1[[#This Row],[JobSatisfaction]]=3,"High",Table1[[#This Row],[JobSatisfaction]]=4,"Very High")</f>
        <v>Low</v>
      </c>
      <c r="AM563">
        <f>IF(Table1[[#This Row],[Attrition]]="Yes",1,0)</f>
        <v>0</v>
      </c>
    </row>
    <row r="564" spans="1:39" ht="13.8" x14ac:dyDescent="0.25">
      <c r="A564">
        <v>33</v>
      </c>
      <c r="B564" t="str" cm="1">
        <f t="array" ref="B564">_xlfn.IFS(Table1[[#This Row],[Age]]&lt;30,"Under 30",Table1[[#This Row],[Age]]&lt;=40,"30-40",Table1[[#This Row],[Age]]&lt;=50,"41-50",Table1[[#This Row],[Age]]&gt;50,"Over 50")</f>
        <v>30-40</v>
      </c>
      <c r="C564" t="s">
        <v>35</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t="str" cm="1">
        <f t="array" ref="AH564">_xlfn.IFS(Table1[[#This Row],[YearsAtCompany]]&lt;=2,"0-2 years",Table1[[#This Row],[YearsAtCompany]]&lt;=5,"3-5 years",Table1[[#This Row],[YearsAtCompany]]&lt;=10,"6-10 years",Table1[[#This Row],[YearsAtCompany]]&gt;10,"10+ years")</f>
        <v>6-10 years</v>
      </c>
      <c r="AI564">
        <v>9</v>
      </c>
      <c r="AJ564">
        <v>7</v>
      </c>
      <c r="AK564">
        <v>8</v>
      </c>
      <c r="AL564" t="str" cm="1">
        <f t="array" ref="AL564">_xlfn.IFS(Table1[[#This Row],[JobSatisfaction]]=1,"Low",Table1[[#This Row],[JobSatisfaction]]=2,"Medium",Table1[[#This Row],[JobSatisfaction]]=3,"High",Table1[[#This Row],[JobSatisfaction]]=4,"Very High")</f>
        <v>Very High</v>
      </c>
      <c r="AM564">
        <f>IF(Table1[[#This Row],[Attrition]]="Yes",1,0)</f>
        <v>1</v>
      </c>
    </row>
    <row r="565" spans="1:39" ht="13.8" x14ac:dyDescent="0.25">
      <c r="A565">
        <v>25</v>
      </c>
      <c r="B565" t="str" cm="1">
        <f t="array" ref="B565">_xlfn.IFS(Table1[[#This Row],[Age]]&lt;30,"Under 30",Table1[[#This Row],[Age]]&lt;=40,"30-40",Table1[[#This Row],[Age]]&lt;=50,"41-50",Table1[[#This Row],[Age]]&gt;50,"Over 50")</f>
        <v>Under 30</v>
      </c>
      <c r="C565" t="s">
        <v>43</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t="str" cm="1">
        <f t="array" ref="AH565">_xlfn.IFS(Table1[[#This Row],[YearsAtCompany]]&lt;=2,"0-2 years",Table1[[#This Row],[YearsAtCompany]]&lt;=5,"3-5 years",Table1[[#This Row],[YearsAtCompany]]&lt;=10,"6-10 years",Table1[[#This Row],[YearsAtCompany]]&gt;10,"10+ years")</f>
        <v>6-10 years</v>
      </c>
      <c r="AI565">
        <v>5</v>
      </c>
      <c r="AJ565">
        <v>1</v>
      </c>
      <c r="AK565">
        <v>4</v>
      </c>
      <c r="AL565" t="str" cm="1">
        <f t="array" ref="AL565">_xlfn.IFS(Table1[[#This Row],[JobSatisfaction]]=1,"Low",Table1[[#This Row],[JobSatisfaction]]=2,"Medium",Table1[[#This Row],[JobSatisfaction]]=3,"High",Table1[[#This Row],[JobSatisfaction]]=4,"Very High")</f>
        <v>Very High</v>
      </c>
      <c r="AM565">
        <f>IF(Table1[[#This Row],[Attrition]]="Yes",1,0)</f>
        <v>0</v>
      </c>
    </row>
    <row r="566" spans="1:39" ht="13.8" x14ac:dyDescent="0.25">
      <c r="A566">
        <v>45</v>
      </c>
      <c r="B566" t="str" cm="1">
        <f t="array" ref="B566">_xlfn.IFS(Table1[[#This Row],[Age]]&lt;30,"Under 30",Table1[[#This Row],[Age]]&lt;=40,"30-40",Table1[[#This Row],[Age]]&lt;=50,"41-50",Table1[[#This Row],[Age]]&gt;50,"Over 50")</f>
        <v>41-50</v>
      </c>
      <c r="C566" t="s">
        <v>43</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t="str" cm="1">
        <f t="array" ref="AH566">_xlfn.IFS(Table1[[#This Row],[YearsAtCompany]]&lt;=2,"0-2 years",Table1[[#This Row],[YearsAtCompany]]&lt;=5,"3-5 years",Table1[[#This Row],[YearsAtCompany]]&lt;=10,"6-10 years",Table1[[#This Row],[YearsAtCompany]]&gt;10,"10+ years")</f>
        <v>6-10 years</v>
      </c>
      <c r="AI566">
        <v>7</v>
      </c>
      <c r="AJ566">
        <v>3</v>
      </c>
      <c r="AK566">
        <v>1</v>
      </c>
      <c r="AL566" t="str" cm="1">
        <f t="array" ref="AL566">_xlfn.IFS(Table1[[#This Row],[JobSatisfaction]]=1,"Low",Table1[[#This Row],[JobSatisfaction]]=2,"Medium",Table1[[#This Row],[JobSatisfaction]]=3,"High",Table1[[#This Row],[JobSatisfaction]]=4,"Very High")</f>
        <v>High</v>
      </c>
      <c r="AM566">
        <f>IF(Table1[[#This Row],[Attrition]]="Yes",1,0)</f>
        <v>0</v>
      </c>
    </row>
    <row r="567" spans="1:39" ht="13.8" x14ac:dyDescent="0.25">
      <c r="A567">
        <v>23</v>
      </c>
      <c r="B567" t="str" cm="1">
        <f t="array" ref="B567">_xlfn.IFS(Table1[[#This Row],[Age]]&lt;30,"Under 30",Table1[[#This Row],[Age]]&lt;=40,"30-40",Table1[[#This Row],[Age]]&lt;=50,"41-50",Table1[[#This Row],[Age]]&gt;50,"Over 50")</f>
        <v>Under 30</v>
      </c>
      <c r="C567" t="s">
        <v>43</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t="str" cm="1">
        <f t="array" ref="AH567">_xlfn.IFS(Table1[[#This Row],[YearsAtCompany]]&lt;=2,"0-2 years",Table1[[#This Row],[YearsAtCompany]]&lt;=5,"3-5 years",Table1[[#This Row],[YearsAtCompany]]&lt;=10,"6-10 years",Table1[[#This Row],[YearsAtCompany]]&gt;10,"10+ years")</f>
        <v>0-2 years</v>
      </c>
      <c r="AI567">
        <v>2</v>
      </c>
      <c r="AJ567">
        <v>0</v>
      </c>
      <c r="AK567">
        <v>2</v>
      </c>
      <c r="AL567" t="str" cm="1">
        <f t="array" ref="AL567">_xlfn.IFS(Table1[[#This Row],[JobSatisfaction]]=1,"Low",Table1[[#This Row],[JobSatisfaction]]=2,"Medium",Table1[[#This Row],[JobSatisfaction]]=3,"High",Table1[[#This Row],[JobSatisfaction]]=4,"Very High")</f>
        <v>High</v>
      </c>
      <c r="AM567">
        <f>IF(Table1[[#This Row],[Attrition]]="Yes",1,0)</f>
        <v>0</v>
      </c>
    </row>
    <row r="568" spans="1:39" ht="13.8" x14ac:dyDescent="0.25">
      <c r="A568">
        <v>47</v>
      </c>
      <c r="B568" t="str" cm="1">
        <f t="array" ref="B568">_xlfn.IFS(Table1[[#This Row],[Age]]&lt;30,"Under 30",Table1[[#This Row],[Age]]&lt;=40,"30-40",Table1[[#This Row],[Age]]&lt;=50,"41-50",Table1[[#This Row],[Age]]&gt;50,"Over 50")</f>
        <v>41-50</v>
      </c>
      <c r="C568" t="s">
        <v>35</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t="str" cm="1">
        <f t="array" ref="AH568">_xlfn.IFS(Table1[[#This Row],[YearsAtCompany]]&lt;=2,"0-2 years",Table1[[#This Row],[YearsAtCompany]]&lt;=5,"3-5 years",Table1[[#This Row],[YearsAtCompany]]&lt;=10,"6-10 years",Table1[[#This Row],[YearsAtCompany]]&gt;10,"10+ years")</f>
        <v>3-5 years</v>
      </c>
      <c r="AI568">
        <v>4</v>
      </c>
      <c r="AJ568">
        <v>1</v>
      </c>
      <c r="AK568">
        <v>3</v>
      </c>
      <c r="AL568" t="str" cm="1">
        <f t="array" ref="AL568">_xlfn.IFS(Table1[[#This Row],[JobSatisfaction]]=1,"Low",Table1[[#This Row],[JobSatisfaction]]=2,"Medium",Table1[[#This Row],[JobSatisfaction]]=3,"High",Table1[[#This Row],[JobSatisfaction]]=4,"Very High")</f>
        <v>High</v>
      </c>
      <c r="AM568">
        <f>IF(Table1[[#This Row],[Attrition]]="Yes",1,0)</f>
        <v>1</v>
      </c>
    </row>
    <row r="569" spans="1:39" ht="13.8" x14ac:dyDescent="0.25">
      <c r="A569">
        <v>34</v>
      </c>
      <c r="B569" t="str" cm="1">
        <f t="array" ref="B569">_xlfn.IFS(Table1[[#This Row],[Age]]&lt;30,"Under 30",Table1[[#This Row],[Age]]&lt;=40,"30-40",Table1[[#This Row],[Age]]&lt;=50,"41-50",Table1[[#This Row],[Age]]&gt;50,"Over 50")</f>
        <v>30-40</v>
      </c>
      <c r="C569" t="s">
        <v>43</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t="str" cm="1">
        <f t="array" ref="AH569">_xlfn.IFS(Table1[[#This Row],[YearsAtCompany]]&lt;=2,"0-2 years",Table1[[#This Row],[YearsAtCompany]]&lt;=5,"3-5 years",Table1[[#This Row],[YearsAtCompany]]&lt;=10,"6-10 years",Table1[[#This Row],[YearsAtCompany]]&gt;10,"10+ years")</f>
        <v>6-10 years</v>
      </c>
      <c r="AI569">
        <v>5</v>
      </c>
      <c r="AJ569">
        <v>1</v>
      </c>
      <c r="AK569">
        <v>4</v>
      </c>
      <c r="AL569" t="str" cm="1">
        <f t="array" ref="AL569">_xlfn.IFS(Table1[[#This Row],[JobSatisfaction]]=1,"Low",Table1[[#This Row],[JobSatisfaction]]=2,"Medium",Table1[[#This Row],[JobSatisfaction]]=3,"High",Table1[[#This Row],[JobSatisfaction]]=4,"Very High")</f>
        <v>Very High</v>
      </c>
      <c r="AM569">
        <f>IF(Table1[[#This Row],[Attrition]]="Yes",1,0)</f>
        <v>0</v>
      </c>
    </row>
    <row r="570" spans="1:39" ht="13.8" x14ac:dyDescent="0.25">
      <c r="A570">
        <v>55</v>
      </c>
      <c r="B570" t="str" cm="1">
        <f t="array" ref="B570">_xlfn.IFS(Table1[[#This Row],[Age]]&lt;30,"Under 30",Table1[[#This Row],[Age]]&lt;=40,"30-40",Table1[[#This Row],[Age]]&lt;=50,"41-50",Table1[[#This Row],[Age]]&gt;50,"Over 50")</f>
        <v>Over 50</v>
      </c>
      <c r="C570" t="s">
        <v>35</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t="str" cm="1">
        <f t="array" ref="AH570">_xlfn.IFS(Table1[[#This Row],[YearsAtCompany]]&lt;=2,"0-2 years",Table1[[#This Row],[YearsAtCompany]]&lt;=5,"3-5 years",Table1[[#This Row],[YearsAtCompany]]&lt;=10,"6-10 years",Table1[[#This Row],[YearsAtCompany]]&gt;10,"10+ years")</f>
        <v>3-5 years</v>
      </c>
      <c r="AI570">
        <v>2</v>
      </c>
      <c r="AJ570">
        <v>1</v>
      </c>
      <c r="AK570">
        <v>4</v>
      </c>
      <c r="AL570" t="str" cm="1">
        <f t="array" ref="AL570">_xlfn.IFS(Table1[[#This Row],[JobSatisfaction]]=1,"Low",Table1[[#This Row],[JobSatisfaction]]=2,"Medium",Table1[[#This Row],[JobSatisfaction]]=3,"High",Table1[[#This Row],[JobSatisfaction]]=4,"Very High")</f>
        <v>Low</v>
      </c>
      <c r="AM570">
        <f>IF(Table1[[#This Row],[Attrition]]="Yes",1,0)</f>
        <v>1</v>
      </c>
    </row>
    <row r="571" spans="1:39" ht="13.8" x14ac:dyDescent="0.25">
      <c r="A571">
        <v>36</v>
      </c>
      <c r="B571" t="str" cm="1">
        <f t="array" ref="B571">_xlfn.IFS(Table1[[#This Row],[Age]]&lt;30,"Under 30",Table1[[#This Row],[Age]]&lt;=40,"30-40",Table1[[#This Row],[Age]]&lt;=50,"41-50",Table1[[#This Row],[Age]]&gt;50,"Over 50")</f>
        <v>30-40</v>
      </c>
      <c r="C571" t="s">
        <v>43</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t="str" cm="1">
        <f t="array" ref="AH571">_xlfn.IFS(Table1[[#This Row],[YearsAtCompany]]&lt;=2,"0-2 years",Table1[[#This Row],[YearsAtCompany]]&lt;=5,"3-5 years",Table1[[#This Row],[YearsAtCompany]]&lt;=10,"6-10 years",Table1[[#This Row],[YearsAtCompany]]&gt;10,"10+ years")</f>
        <v>6-10 years</v>
      </c>
      <c r="AI571">
        <v>7</v>
      </c>
      <c r="AJ571">
        <v>0</v>
      </c>
      <c r="AK571">
        <v>9</v>
      </c>
      <c r="AL571" t="str" cm="1">
        <f t="array" ref="AL571">_xlfn.IFS(Table1[[#This Row],[JobSatisfaction]]=1,"Low",Table1[[#This Row],[JobSatisfaction]]=2,"Medium",Table1[[#This Row],[JobSatisfaction]]=3,"High",Table1[[#This Row],[JobSatisfaction]]=4,"Very High")</f>
        <v>Low</v>
      </c>
      <c r="AM571">
        <f>IF(Table1[[#This Row],[Attrition]]="Yes",1,0)</f>
        <v>0</v>
      </c>
    </row>
    <row r="572" spans="1:39" ht="13.8" x14ac:dyDescent="0.25">
      <c r="A572">
        <v>52</v>
      </c>
      <c r="B572" t="str" cm="1">
        <f t="array" ref="B572">_xlfn.IFS(Table1[[#This Row],[Age]]&lt;30,"Under 30",Table1[[#This Row],[Age]]&lt;=40,"30-40",Table1[[#This Row],[Age]]&lt;=50,"41-50",Table1[[#This Row],[Age]]&gt;50,"Over 50")</f>
        <v>Over 50</v>
      </c>
      <c r="C572" t="s">
        <v>43</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t="str" cm="1">
        <f t="array" ref="AH572">_xlfn.IFS(Table1[[#This Row],[YearsAtCompany]]&lt;=2,"0-2 years",Table1[[#This Row],[YearsAtCompany]]&lt;=5,"3-5 years",Table1[[#This Row],[YearsAtCompany]]&lt;=10,"6-10 years",Table1[[#This Row],[YearsAtCompany]]&gt;10,"10+ years")</f>
        <v>3-5 years</v>
      </c>
      <c r="AI572">
        <v>3</v>
      </c>
      <c r="AJ572">
        <v>1</v>
      </c>
      <c r="AK572">
        <v>2</v>
      </c>
      <c r="AL572" t="str" cm="1">
        <f t="array" ref="AL572">_xlfn.IFS(Table1[[#This Row],[JobSatisfaction]]=1,"Low",Table1[[#This Row],[JobSatisfaction]]=2,"Medium",Table1[[#This Row],[JobSatisfaction]]=3,"High",Table1[[#This Row],[JobSatisfaction]]=4,"Very High")</f>
        <v>Very High</v>
      </c>
      <c r="AM572">
        <f>IF(Table1[[#This Row],[Attrition]]="Yes",1,0)</f>
        <v>0</v>
      </c>
    </row>
    <row r="573" spans="1:39" ht="13.8" x14ac:dyDescent="0.25">
      <c r="A573">
        <v>26</v>
      </c>
      <c r="B573" t="str" cm="1">
        <f t="array" ref="B573">_xlfn.IFS(Table1[[#This Row],[Age]]&lt;30,"Under 30",Table1[[#This Row],[Age]]&lt;=40,"30-40",Table1[[#This Row],[Age]]&lt;=50,"41-50",Table1[[#This Row],[Age]]&gt;50,"Over 50")</f>
        <v>Under 30</v>
      </c>
      <c r="C573" t="s">
        <v>43</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t="str" cm="1">
        <f t="array" ref="AH573">_xlfn.IFS(Table1[[#This Row],[YearsAtCompany]]&lt;=2,"0-2 years",Table1[[#This Row],[YearsAtCompany]]&lt;=5,"3-5 years",Table1[[#This Row],[YearsAtCompany]]&lt;=10,"6-10 years",Table1[[#This Row],[YearsAtCompany]]&gt;10,"10+ years")</f>
        <v>0-2 years</v>
      </c>
      <c r="AI573">
        <v>2</v>
      </c>
      <c r="AJ573">
        <v>2</v>
      </c>
      <c r="AK573">
        <v>0</v>
      </c>
      <c r="AL573" t="str" cm="1">
        <f t="array" ref="AL573">_xlfn.IFS(Table1[[#This Row],[JobSatisfaction]]=1,"Low",Table1[[#This Row],[JobSatisfaction]]=2,"Medium",Table1[[#This Row],[JobSatisfaction]]=3,"High",Table1[[#This Row],[JobSatisfaction]]=4,"Very High")</f>
        <v>Very High</v>
      </c>
      <c r="AM573">
        <f>IF(Table1[[#This Row],[Attrition]]="Yes",1,0)</f>
        <v>0</v>
      </c>
    </row>
    <row r="574" spans="1:39" ht="13.8" x14ac:dyDescent="0.25">
      <c r="A574">
        <v>29</v>
      </c>
      <c r="B574" t="str" cm="1">
        <f t="array" ref="B574">_xlfn.IFS(Table1[[#This Row],[Age]]&lt;30,"Under 30",Table1[[#This Row],[Age]]&lt;=40,"30-40",Table1[[#This Row],[Age]]&lt;=50,"41-50",Table1[[#This Row],[Age]]&gt;50,"Over 50")</f>
        <v>Under 30</v>
      </c>
      <c r="C574" t="s">
        <v>43</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t="str" cm="1">
        <f t="array" ref="AH574">_xlfn.IFS(Table1[[#This Row],[YearsAtCompany]]&lt;=2,"0-2 years",Table1[[#This Row],[YearsAtCompany]]&lt;=5,"3-5 years",Table1[[#This Row],[YearsAtCompany]]&lt;=10,"6-10 years",Table1[[#This Row],[YearsAtCompany]]&gt;10,"10+ years")</f>
        <v>6-10 years</v>
      </c>
      <c r="AI574">
        <v>7</v>
      </c>
      <c r="AJ574">
        <v>1</v>
      </c>
      <c r="AK574">
        <v>1</v>
      </c>
      <c r="AL574" t="str" cm="1">
        <f t="array" ref="AL574">_xlfn.IFS(Table1[[#This Row],[JobSatisfaction]]=1,"Low",Table1[[#This Row],[JobSatisfaction]]=2,"Medium",Table1[[#This Row],[JobSatisfaction]]=3,"High",Table1[[#This Row],[JobSatisfaction]]=4,"Very High")</f>
        <v>High</v>
      </c>
      <c r="AM574">
        <f>IF(Table1[[#This Row],[Attrition]]="Yes",1,0)</f>
        <v>0</v>
      </c>
    </row>
    <row r="575" spans="1:39" ht="13.8" x14ac:dyDescent="0.25">
      <c r="A575">
        <v>26</v>
      </c>
      <c r="B575" t="str" cm="1">
        <f t="array" ref="B575">_xlfn.IFS(Table1[[#This Row],[Age]]&lt;30,"Under 30",Table1[[#This Row],[Age]]&lt;=40,"30-40",Table1[[#This Row],[Age]]&lt;=50,"41-50",Table1[[#This Row],[Age]]&gt;50,"Over 50")</f>
        <v>Under 30</v>
      </c>
      <c r="C575" t="s">
        <v>35</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t="str" cm="1">
        <f t="array" ref="AH575">_xlfn.IFS(Table1[[#This Row],[YearsAtCompany]]&lt;=2,"0-2 years",Table1[[#This Row],[YearsAtCompany]]&lt;=5,"3-5 years",Table1[[#This Row],[YearsAtCompany]]&lt;=10,"6-10 years",Table1[[#This Row],[YearsAtCompany]]&gt;10,"10+ years")</f>
        <v>3-5 years</v>
      </c>
      <c r="AI575">
        <v>3</v>
      </c>
      <c r="AJ575">
        <v>1</v>
      </c>
      <c r="AK575">
        <v>2</v>
      </c>
      <c r="AL575" t="str" cm="1">
        <f t="array" ref="AL575">_xlfn.IFS(Table1[[#This Row],[JobSatisfaction]]=1,"Low",Table1[[#This Row],[JobSatisfaction]]=2,"Medium",Table1[[#This Row],[JobSatisfaction]]=3,"High",Table1[[#This Row],[JobSatisfaction]]=4,"Very High")</f>
        <v>Low</v>
      </c>
      <c r="AM575">
        <f>IF(Table1[[#This Row],[Attrition]]="Yes",1,0)</f>
        <v>1</v>
      </c>
    </row>
    <row r="576" spans="1:39" ht="13.8" x14ac:dyDescent="0.25">
      <c r="A576">
        <v>34</v>
      </c>
      <c r="B576" t="str" cm="1">
        <f t="array" ref="B576">_xlfn.IFS(Table1[[#This Row],[Age]]&lt;30,"Under 30",Table1[[#This Row],[Age]]&lt;=40,"30-40",Table1[[#This Row],[Age]]&lt;=50,"41-50",Table1[[#This Row],[Age]]&gt;50,"Over 50")</f>
        <v>30-40</v>
      </c>
      <c r="C576" t="s">
        <v>43</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t="str" cm="1">
        <f t="array" ref="AH576">_xlfn.IFS(Table1[[#This Row],[YearsAtCompany]]&lt;=2,"0-2 years",Table1[[#This Row],[YearsAtCompany]]&lt;=5,"3-5 years",Table1[[#This Row],[YearsAtCompany]]&lt;=10,"6-10 years",Table1[[#This Row],[YearsAtCompany]]&gt;10,"10+ years")</f>
        <v>3-5 years</v>
      </c>
      <c r="AI576">
        <v>2</v>
      </c>
      <c r="AJ576">
        <v>1</v>
      </c>
      <c r="AK576">
        <v>3</v>
      </c>
      <c r="AL576" t="str" cm="1">
        <f t="array" ref="AL576">_xlfn.IFS(Table1[[#This Row],[JobSatisfaction]]=1,"Low",Table1[[#This Row],[JobSatisfaction]]=2,"Medium",Table1[[#This Row],[JobSatisfaction]]=3,"High",Table1[[#This Row],[JobSatisfaction]]=4,"Very High")</f>
        <v>Very High</v>
      </c>
      <c r="AM576">
        <f>IF(Table1[[#This Row],[Attrition]]="Yes",1,0)</f>
        <v>0</v>
      </c>
    </row>
    <row r="577" spans="1:39" ht="13.8" x14ac:dyDescent="0.25">
      <c r="A577">
        <v>54</v>
      </c>
      <c r="B577" t="str" cm="1">
        <f t="array" ref="B577">_xlfn.IFS(Table1[[#This Row],[Age]]&lt;30,"Under 30",Table1[[#This Row],[Age]]&lt;=40,"30-40",Table1[[#This Row],[Age]]&lt;=50,"41-50",Table1[[#This Row],[Age]]&gt;50,"Over 50")</f>
        <v>Over 50</v>
      </c>
      <c r="C577" t="s">
        <v>43</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t="str" cm="1">
        <f t="array" ref="AH577">_xlfn.IFS(Table1[[#This Row],[YearsAtCompany]]&lt;=2,"0-2 years",Table1[[#This Row],[YearsAtCompany]]&lt;=5,"3-5 years",Table1[[#This Row],[YearsAtCompany]]&lt;=10,"6-10 years",Table1[[#This Row],[YearsAtCompany]]&gt;10,"10+ years")</f>
        <v>3-5 years</v>
      </c>
      <c r="AI577">
        <v>3</v>
      </c>
      <c r="AJ577">
        <v>1</v>
      </c>
      <c r="AK577">
        <v>4</v>
      </c>
      <c r="AL577" t="str" cm="1">
        <f t="array" ref="AL577">_xlfn.IFS(Table1[[#This Row],[JobSatisfaction]]=1,"Low",Table1[[#This Row],[JobSatisfaction]]=2,"Medium",Table1[[#This Row],[JobSatisfaction]]=3,"High",Table1[[#This Row],[JobSatisfaction]]=4,"Very High")</f>
        <v>Low</v>
      </c>
      <c r="AM577">
        <f>IF(Table1[[#This Row],[Attrition]]="Yes",1,0)</f>
        <v>0</v>
      </c>
    </row>
    <row r="578" spans="1:39" ht="13.8" x14ac:dyDescent="0.25">
      <c r="A578">
        <v>27</v>
      </c>
      <c r="B578" t="str" cm="1">
        <f t="array" ref="B578">_xlfn.IFS(Table1[[#This Row],[Age]]&lt;30,"Under 30",Table1[[#This Row],[Age]]&lt;=40,"30-40",Table1[[#This Row],[Age]]&lt;=50,"41-50",Table1[[#This Row],[Age]]&gt;50,"Over 50")</f>
        <v>Under 30</v>
      </c>
      <c r="C578" t="s">
        <v>43</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t="str" cm="1">
        <f t="array" ref="AH578">_xlfn.IFS(Table1[[#This Row],[YearsAtCompany]]&lt;=2,"0-2 years",Table1[[#This Row],[YearsAtCompany]]&lt;=5,"3-5 years",Table1[[#This Row],[YearsAtCompany]]&lt;=10,"6-10 years",Table1[[#This Row],[YearsAtCompany]]&gt;10,"10+ years")</f>
        <v>3-5 years</v>
      </c>
      <c r="AI578">
        <v>2</v>
      </c>
      <c r="AJ578">
        <v>1</v>
      </c>
      <c r="AK578">
        <v>1</v>
      </c>
      <c r="AL578" t="str" cm="1">
        <f t="array" ref="AL578">_xlfn.IFS(Table1[[#This Row],[JobSatisfaction]]=1,"Low",Table1[[#This Row],[JobSatisfaction]]=2,"Medium",Table1[[#This Row],[JobSatisfaction]]=3,"High",Table1[[#This Row],[JobSatisfaction]]=4,"Very High")</f>
        <v>Very High</v>
      </c>
      <c r="AM578">
        <f>IF(Table1[[#This Row],[Attrition]]="Yes",1,0)</f>
        <v>0</v>
      </c>
    </row>
    <row r="579" spans="1:39" ht="13.8" x14ac:dyDescent="0.25">
      <c r="A579">
        <v>37</v>
      </c>
      <c r="B579" t="str" cm="1">
        <f t="array" ref="B579">_xlfn.IFS(Table1[[#This Row],[Age]]&lt;30,"Under 30",Table1[[#This Row],[Age]]&lt;=40,"30-40",Table1[[#This Row],[Age]]&lt;=50,"41-50",Table1[[#This Row],[Age]]&gt;50,"Over 50")</f>
        <v>30-40</v>
      </c>
      <c r="C579" t="s">
        <v>43</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t="str" cm="1">
        <f t="array" ref="AH579">_xlfn.IFS(Table1[[#This Row],[YearsAtCompany]]&lt;=2,"0-2 years",Table1[[#This Row],[YearsAtCompany]]&lt;=5,"3-5 years",Table1[[#This Row],[YearsAtCompany]]&lt;=10,"6-10 years",Table1[[#This Row],[YearsAtCompany]]&gt;10,"10+ years")</f>
        <v>3-5 years</v>
      </c>
      <c r="AI579">
        <v>3</v>
      </c>
      <c r="AJ579">
        <v>4</v>
      </c>
      <c r="AK579">
        <v>3</v>
      </c>
      <c r="AL579" t="str" cm="1">
        <f t="array" ref="AL579">_xlfn.IFS(Table1[[#This Row],[JobSatisfaction]]=1,"Low",Table1[[#This Row],[JobSatisfaction]]=2,"Medium",Table1[[#This Row],[JobSatisfaction]]=3,"High",Table1[[#This Row],[JobSatisfaction]]=4,"Very High")</f>
        <v>Low</v>
      </c>
      <c r="AM579">
        <f>IF(Table1[[#This Row],[Attrition]]="Yes",1,0)</f>
        <v>0</v>
      </c>
    </row>
    <row r="580" spans="1:39" ht="13.8" x14ac:dyDescent="0.25">
      <c r="A580">
        <v>38</v>
      </c>
      <c r="B580" t="str" cm="1">
        <f t="array" ref="B580">_xlfn.IFS(Table1[[#This Row],[Age]]&lt;30,"Under 30",Table1[[#This Row],[Age]]&lt;=40,"30-40",Table1[[#This Row],[Age]]&lt;=50,"41-50",Table1[[#This Row],[Age]]&gt;50,"Over 50")</f>
        <v>30-40</v>
      </c>
      <c r="C580" t="s">
        <v>43</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t="str" cm="1">
        <f t="array" ref="AH580">_xlfn.IFS(Table1[[#This Row],[YearsAtCompany]]&lt;=2,"0-2 years",Table1[[#This Row],[YearsAtCompany]]&lt;=5,"3-5 years",Table1[[#This Row],[YearsAtCompany]]&lt;=10,"6-10 years",Table1[[#This Row],[YearsAtCompany]]&gt;10,"10+ years")</f>
        <v>10+ years</v>
      </c>
      <c r="AI580">
        <v>7</v>
      </c>
      <c r="AJ580">
        <v>4</v>
      </c>
      <c r="AK580">
        <v>12</v>
      </c>
      <c r="AL580" t="str" cm="1">
        <f t="array" ref="AL580">_xlfn.IFS(Table1[[#This Row],[JobSatisfaction]]=1,"Low",Table1[[#This Row],[JobSatisfaction]]=2,"Medium",Table1[[#This Row],[JobSatisfaction]]=3,"High",Table1[[#This Row],[JobSatisfaction]]=4,"Very High")</f>
        <v>Low</v>
      </c>
      <c r="AM580">
        <f>IF(Table1[[#This Row],[Attrition]]="Yes",1,0)</f>
        <v>0</v>
      </c>
    </row>
    <row r="581" spans="1:39" ht="13.8" x14ac:dyDescent="0.25">
      <c r="A581">
        <v>34</v>
      </c>
      <c r="B581" t="str" cm="1">
        <f t="array" ref="B581">_xlfn.IFS(Table1[[#This Row],[Age]]&lt;30,"Under 30",Table1[[#This Row],[Age]]&lt;=40,"30-40",Table1[[#This Row],[Age]]&lt;=50,"41-50",Table1[[#This Row],[Age]]&gt;50,"Over 50")</f>
        <v>30-40</v>
      </c>
      <c r="C581" t="s">
        <v>43</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t="str" cm="1">
        <f t="array" ref="AH581">_xlfn.IFS(Table1[[#This Row],[YearsAtCompany]]&lt;=2,"0-2 years",Table1[[#This Row],[YearsAtCompany]]&lt;=5,"3-5 years",Table1[[#This Row],[YearsAtCompany]]&lt;=10,"6-10 years",Table1[[#This Row],[YearsAtCompany]]&gt;10,"10+ years")</f>
        <v>6-10 years</v>
      </c>
      <c r="AI581">
        <v>5</v>
      </c>
      <c r="AJ581">
        <v>1</v>
      </c>
      <c r="AK581">
        <v>3</v>
      </c>
      <c r="AL581" t="str" cm="1">
        <f t="array" ref="AL581">_xlfn.IFS(Table1[[#This Row],[JobSatisfaction]]=1,"Low",Table1[[#This Row],[JobSatisfaction]]=2,"Medium",Table1[[#This Row],[JobSatisfaction]]=3,"High",Table1[[#This Row],[JobSatisfaction]]=4,"Very High")</f>
        <v>Low</v>
      </c>
      <c r="AM581">
        <f>IF(Table1[[#This Row],[Attrition]]="Yes",1,0)</f>
        <v>0</v>
      </c>
    </row>
    <row r="582" spans="1:39" ht="13.8" x14ac:dyDescent="0.25">
      <c r="A582">
        <v>35</v>
      </c>
      <c r="B582" t="str" cm="1">
        <f t="array" ref="B582">_xlfn.IFS(Table1[[#This Row],[Age]]&lt;30,"Under 30",Table1[[#This Row],[Age]]&lt;=40,"30-40",Table1[[#This Row],[Age]]&lt;=50,"41-50",Table1[[#This Row],[Age]]&gt;50,"Over 50")</f>
        <v>30-40</v>
      </c>
      <c r="C582" t="s">
        <v>43</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t="str" cm="1">
        <f t="array" ref="AH582">_xlfn.IFS(Table1[[#This Row],[YearsAtCompany]]&lt;=2,"0-2 years",Table1[[#This Row],[YearsAtCompany]]&lt;=5,"3-5 years",Table1[[#This Row],[YearsAtCompany]]&lt;=10,"6-10 years",Table1[[#This Row],[YearsAtCompany]]&gt;10,"10+ years")</f>
        <v>3-5 years</v>
      </c>
      <c r="AI582">
        <v>2</v>
      </c>
      <c r="AJ582">
        <v>0</v>
      </c>
      <c r="AK582">
        <v>2</v>
      </c>
      <c r="AL582" t="str" cm="1">
        <f t="array" ref="AL582">_xlfn.IFS(Table1[[#This Row],[JobSatisfaction]]=1,"Low",Table1[[#This Row],[JobSatisfaction]]=2,"Medium",Table1[[#This Row],[JobSatisfaction]]=3,"High",Table1[[#This Row],[JobSatisfaction]]=4,"Very High")</f>
        <v>Very High</v>
      </c>
      <c r="AM582">
        <f>IF(Table1[[#This Row],[Attrition]]="Yes",1,0)</f>
        <v>0</v>
      </c>
    </row>
    <row r="583" spans="1:39" ht="13.8" x14ac:dyDescent="0.25">
      <c r="A583">
        <v>30</v>
      </c>
      <c r="B583" t="str" cm="1">
        <f t="array" ref="B583">_xlfn.IFS(Table1[[#This Row],[Age]]&lt;30,"Under 30",Table1[[#This Row],[Age]]&lt;=40,"30-40",Table1[[#This Row],[Age]]&lt;=50,"41-50",Table1[[#This Row],[Age]]&gt;50,"Over 50")</f>
        <v>30-40</v>
      </c>
      <c r="C583" t="s">
        <v>43</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t="str" cm="1">
        <f t="array" ref="AH583">_xlfn.IFS(Table1[[#This Row],[YearsAtCompany]]&lt;=2,"0-2 years",Table1[[#This Row],[YearsAtCompany]]&lt;=5,"3-5 years",Table1[[#This Row],[YearsAtCompany]]&lt;=10,"6-10 years",Table1[[#This Row],[YearsAtCompany]]&gt;10,"10+ years")</f>
        <v>0-2 years</v>
      </c>
      <c r="AI583">
        <v>2</v>
      </c>
      <c r="AJ583">
        <v>0</v>
      </c>
      <c r="AK583">
        <v>2</v>
      </c>
      <c r="AL583" t="str" cm="1">
        <f t="array" ref="AL583">_xlfn.IFS(Table1[[#This Row],[JobSatisfaction]]=1,"Low",Table1[[#This Row],[JobSatisfaction]]=2,"Medium",Table1[[#This Row],[JobSatisfaction]]=3,"High",Table1[[#This Row],[JobSatisfaction]]=4,"Very High")</f>
        <v>High</v>
      </c>
      <c r="AM583">
        <f>IF(Table1[[#This Row],[Attrition]]="Yes",1,0)</f>
        <v>0</v>
      </c>
    </row>
    <row r="584" spans="1:39" ht="13.8" x14ac:dyDescent="0.25">
      <c r="A584">
        <v>40</v>
      </c>
      <c r="B584" t="str" cm="1">
        <f t="array" ref="B584">_xlfn.IFS(Table1[[#This Row],[Age]]&lt;30,"Under 30",Table1[[#This Row],[Age]]&lt;=40,"30-40",Table1[[#This Row],[Age]]&lt;=50,"41-50",Table1[[#This Row],[Age]]&gt;50,"Over 50")</f>
        <v>30-40</v>
      </c>
      <c r="C584" t="s">
        <v>43</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t="str" cm="1">
        <f t="array" ref="AH584">_xlfn.IFS(Table1[[#This Row],[YearsAtCompany]]&lt;=2,"0-2 years",Table1[[#This Row],[YearsAtCompany]]&lt;=5,"3-5 years",Table1[[#This Row],[YearsAtCompany]]&lt;=10,"6-10 years",Table1[[#This Row],[YearsAtCompany]]&gt;10,"10+ years")</f>
        <v>6-10 years</v>
      </c>
      <c r="AI584">
        <v>7</v>
      </c>
      <c r="AJ584">
        <v>3</v>
      </c>
      <c r="AK584">
        <v>7</v>
      </c>
      <c r="AL584" t="str" cm="1">
        <f t="array" ref="AL584">_xlfn.IFS(Table1[[#This Row],[JobSatisfaction]]=1,"Low",Table1[[#This Row],[JobSatisfaction]]=2,"Medium",Table1[[#This Row],[JobSatisfaction]]=3,"High",Table1[[#This Row],[JobSatisfaction]]=4,"Very High")</f>
        <v>Medium</v>
      </c>
      <c r="AM584">
        <f>IF(Table1[[#This Row],[Attrition]]="Yes",1,0)</f>
        <v>0</v>
      </c>
    </row>
    <row r="585" spans="1:39" ht="13.8" x14ac:dyDescent="0.25">
      <c r="A585">
        <v>34</v>
      </c>
      <c r="B585" t="str" cm="1">
        <f t="array" ref="B585">_xlfn.IFS(Table1[[#This Row],[Age]]&lt;30,"Under 30",Table1[[#This Row],[Age]]&lt;=40,"30-40",Table1[[#This Row],[Age]]&lt;=50,"41-50",Table1[[#This Row],[Age]]&gt;50,"Over 50")</f>
        <v>30-40</v>
      </c>
      <c r="C585" t="s">
        <v>43</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t="str" cm="1">
        <f t="array" ref="AH585">_xlfn.IFS(Table1[[#This Row],[YearsAtCompany]]&lt;=2,"0-2 years",Table1[[#This Row],[YearsAtCompany]]&lt;=5,"3-5 years",Table1[[#This Row],[YearsAtCompany]]&lt;=10,"6-10 years",Table1[[#This Row],[YearsAtCompany]]&gt;10,"10+ years")</f>
        <v>3-5 years</v>
      </c>
      <c r="AI585">
        <v>2</v>
      </c>
      <c r="AJ585">
        <v>1</v>
      </c>
      <c r="AK585">
        <v>2</v>
      </c>
      <c r="AL585" t="str" cm="1">
        <f t="array" ref="AL585">_xlfn.IFS(Table1[[#This Row],[JobSatisfaction]]=1,"Low",Table1[[#This Row],[JobSatisfaction]]=2,"Medium",Table1[[#This Row],[JobSatisfaction]]=3,"High",Table1[[#This Row],[JobSatisfaction]]=4,"Very High")</f>
        <v>Low</v>
      </c>
      <c r="AM585">
        <f>IF(Table1[[#This Row],[Attrition]]="Yes",1,0)</f>
        <v>0</v>
      </c>
    </row>
    <row r="586" spans="1:39" ht="13.8" x14ac:dyDescent="0.25">
      <c r="A586">
        <v>42</v>
      </c>
      <c r="B586" t="str" cm="1">
        <f t="array" ref="B586">_xlfn.IFS(Table1[[#This Row],[Age]]&lt;30,"Under 30",Table1[[#This Row],[Age]]&lt;=40,"30-40",Table1[[#This Row],[Age]]&lt;=50,"41-50",Table1[[#This Row],[Age]]&gt;50,"Over 50")</f>
        <v>41-50</v>
      </c>
      <c r="C586" t="s">
        <v>43</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t="str" cm="1">
        <f t="array" ref="AH586">_xlfn.IFS(Table1[[#This Row],[YearsAtCompany]]&lt;=2,"0-2 years",Table1[[#This Row],[YearsAtCompany]]&lt;=5,"3-5 years",Table1[[#This Row],[YearsAtCompany]]&lt;=10,"6-10 years",Table1[[#This Row],[YearsAtCompany]]&gt;10,"10+ years")</f>
        <v>10+ years</v>
      </c>
      <c r="AI586">
        <v>7</v>
      </c>
      <c r="AJ586">
        <v>14</v>
      </c>
      <c r="AK586">
        <v>9</v>
      </c>
      <c r="AL586" t="str" cm="1">
        <f t="array" ref="AL586">_xlfn.IFS(Table1[[#This Row],[JobSatisfaction]]=1,"Low",Table1[[#This Row],[JobSatisfaction]]=2,"Medium",Table1[[#This Row],[JobSatisfaction]]=3,"High",Table1[[#This Row],[JobSatisfaction]]=4,"Very High")</f>
        <v>Very High</v>
      </c>
      <c r="AM586">
        <f>IF(Table1[[#This Row],[Attrition]]="Yes",1,0)</f>
        <v>0</v>
      </c>
    </row>
    <row r="587" spans="1:39" ht="13.8" x14ac:dyDescent="0.25">
      <c r="A587">
        <v>23</v>
      </c>
      <c r="B587" t="str" cm="1">
        <f t="array" ref="B587">_xlfn.IFS(Table1[[#This Row],[Age]]&lt;30,"Under 30",Table1[[#This Row],[Age]]&lt;=40,"30-40",Table1[[#This Row],[Age]]&lt;=50,"41-50",Table1[[#This Row],[Age]]&gt;50,"Over 50")</f>
        <v>Under 30</v>
      </c>
      <c r="C587" t="s">
        <v>35</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t="str" cm="1">
        <f t="array" ref="AH587">_xlfn.IFS(Table1[[#This Row],[YearsAtCompany]]&lt;=2,"0-2 years",Table1[[#This Row],[YearsAtCompany]]&lt;=5,"3-5 years",Table1[[#This Row],[YearsAtCompany]]&lt;=10,"6-10 years",Table1[[#This Row],[YearsAtCompany]]&gt;10,"10+ years")</f>
        <v>0-2 years</v>
      </c>
      <c r="AI587">
        <v>0</v>
      </c>
      <c r="AJ587">
        <v>0</v>
      </c>
      <c r="AK587">
        <v>0</v>
      </c>
      <c r="AL587" t="str" cm="1">
        <f t="array" ref="AL587">_xlfn.IFS(Table1[[#This Row],[JobSatisfaction]]=1,"Low",Table1[[#This Row],[JobSatisfaction]]=2,"Medium",Table1[[#This Row],[JobSatisfaction]]=3,"High",Table1[[#This Row],[JobSatisfaction]]=4,"Very High")</f>
        <v>Low</v>
      </c>
      <c r="AM587">
        <f>IF(Table1[[#This Row],[Attrition]]="Yes",1,0)</f>
        <v>1</v>
      </c>
    </row>
    <row r="588" spans="1:39" ht="13.8" x14ac:dyDescent="0.25">
      <c r="A588">
        <v>24</v>
      </c>
      <c r="B588" t="str" cm="1">
        <f t="array" ref="B588">_xlfn.IFS(Table1[[#This Row],[Age]]&lt;30,"Under 30",Table1[[#This Row],[Age]]&lt;=40,"30-40",Table1[[#This Row],[Age]]&lt;=50,"41-50",Table1[[#This Row],[Age]]&gt;50,"Over 50")</f>
        <v>Under 30</v>
      </c>
      <c r="C588" t="s">
        <v>43</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t="str" cm="1">
        <f t="array" ref="AH588">_xlfn.IFS(Table1[[#This Row],[YearsAtCompany]]&lt;=2,"0-2 years",Table1[[#This Row],[YearsAtCompany]]&lt;=5,"3-5 years",Table1[[#This Row],[YearsAtCompany]]&lt;=10,"6-10 years",Table1[[#This Row],[YearsAtCompany]]&gt;10,"10+ years")</f>
        <v>0-2 years</v>
      </c>
      <c r="AI588">
        <v>0</v>
      </c>
      <c r="AJ588">
        <v>0</v>
      </c>
      <c r="AK588">
        <v>0</v>
      </c>
      <c r="AL588" t="str" cm="1">
        <f t="array" ref="AL588">_xlfn.IFS(Table1[[#This Row],[JobSatisfaction]]=1,"Low",Table1[[#This Row],[JobSatisfaction]]=2,"Medium",Table1[[#This Row],[JobSatisfaction]]=3,"High",Table1[[#This Row],[JobSatisfaction]]=4,"Very High")</f>
        <v>Medium</v>
      </c>
      <c r="AM588">
        <f>IF(Table1[[#This Row],[Attrition]]="Yes",1,0)</f>
        <v>0</v>
      </c>
    </row>
    <row r="589" spans="1:39" ht="13.8" x14ac:dyDescent="0.25">
      <c r="A589">
        <v>52</v>
      </c>
      <c r="B589" t="str" cm="1">
        <f t="array" ref="B589">_xlfn.IFS(Table1[[#This Row],[Age]]&lt;30,"Under 30",Table1[[#This Row],[Age]]&lt;=40,"30-40",Table1[[#This Row],[Age]]&lt;=50,"41-50",Table1[[#This Row],[Age]]&gt;50,"Over 50")</f>
        <v>Over 50</v>
      </c>
      <c r="C589" t="s">
        <v>43</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t="str" cm="1">
        <f t="array" ref="AH589">_xlfn.IFS(Table1[[#This Row],[YearsAtCompany]]&lt;=2,"0-2 years",Table1[[#This Row],[YearsAtCompany]]&lt;=5,"3-5 years",Table1[[#This Row],[YearsAtCompany]]&lt;=10,"6-10 years",Table1[[#This Row],[YearsAtCompany]]&gt;10,"10+ years")</f>
        <v>3-5 years</v>
      </c>
      <c r="AI589">
        <v>2</v>
      </c>
      <c r="AJ589">
        <v>1</v>
      </c>
      <c r="AK589">
        <v>4</v>
      </c>
      <c r="AL589" t="str" cm="1">
        <f t="array" ref="AL589">_xlfn.IFS(Table1[[#This Row],[JobSatisfaction]]=1,"Low",Table1[[#This Row],[JobSatisfaction]]=2,"Medium",Table1[[#This Row],[JobSatisfaction]]=3,"High",Table1[[#This Row],[JobSatisfaction]]=4,"Very High")</f>
        <v>High</v>
      </c>
      <c r="AM589">
        <f>IF(Table1[[#This Row],[Attrition]]="Yes",1,0)</f>
        <v>0</v>
      </c>
    </row>
    <row r="590" spans="1:39" ht="13.8" x14ac:dyDescent="0.25">
      <c r="A590">
        <v>50</v>
      </c>
      <c r="B590" t="str" cm="1">
        <f t="array" ref="B590">_xlfn.IFS(Table1[[#This Row],[Age]]&lt;30,"Under 30",Table1[[#This Row],[Age]]&lt;=40,"30-40",Table1[[#This Row],[Age]]&lt;=50,"41-50",Table1[[#This Row],[Age]]&gt;50,"Over 50")</f>
        <v>41-50</v>
      </c>
      <c r="C590" t="s">
        <v>43</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t="str" cm="1">
        <f t="array" ref="AH590">_xlfn.IFS(Table1[[#This Row],[YearsAtCompany]]&lt;=2,"0-2 years",Table1[[#This Row],[YearsAtCompany]]&lt;=5,"3-5 years",Table1[[#This Row],[YearsAtCompany]]&lt;=10,"6-10 years",Table1[[#This Row],[YearsAtCompany]]&gt;10,"10+ years")</f>
        <v>3-5 years</v>
      </c>
      <c r="AI590">
        <v>3</v>
      </c>
      <c r="AJ590">
        <v>0</v>
      </c>
      <c r="AK590">
        <v>3</v>
      </c>
      <c r="AL590" t="str" cm="1">
        <f t="array" ref="AL590">_xlfn.IFS(Table1[[#This Row],[JobSatisfaction]]=1,"Low",Table1[[#This Row],[JobSatisfaction]]=2,"Medium",Table1[[#This Row],[JobSatisfaction]]=3,"High",Table1[[#This Row],[JobSatisfaction]]=4,"Very High")</f>
        <v>High</v>
      </c>
      <c r="AM590">
        <f>IF(Table1[[#This Row],[Attrition]]="Yes",1,0)</f>
        <v>0</v>
      </c>
    </row>
    <row r="591" spans="1:39" ht="13.8" x14ac:dyDescent="0.25">
      <c r="A591">
        <v>29</v>
      </c>
      <c r="B591" t="str" cm="1">
        <f t="array" ref="B591">_xlfn.IFS(Table1[[#This Row],[Age]]&lt;30,"Under 30",Table1[[#This Row],[Age]]&lt;=40,"30-40",Table1[[#This Row],[Age]]&lt;=50,"41-50",Table1[[#This Row],[Age]]&gt;50,"Over 50")</f>
        <v>Under 30</v>
      </c>
      <c r="C591" t="s">
        <v>35</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t="str" cm="1">
        <f t="array" ref="AH591">_xlfn.IFS(Table1[[#This Row],[YearsAtCompany]]&lt;=2,"0-2 years",Table1[[#This Row],[YearsAtCompany]]&lt;=5,"3-5 years",Table1[[#This Row],[YearsAtCompany]]&lt;=10,"6-10 years",Table1[[#This Row],[YearsAtCompany]]&gt;10,"10+ years")</f>
        <v>0-2 years</v>
      </c>
      <c r="AI591">
        <v>0</v>
      </c>
      <c r="AJ591">
        <v>0</v>
      </c>
      <c r="AK591">
        <v>0</v>
      </c>
      <c r="AL591" t="str" cm="1">
        <f t="array" ref="AL591">_xlfn.IFS(Table1[[#This Row],[JobSatisfaction]]=1,"Low",Table1[[#This Row],[JobSatisfaction]]=2,"Medium",Table1[[#This Row],[JobSatisfaction]]=3,"High",Table1[[#This Row],[JobSatisfaction]]=4,"Very High")</f>
        <v>Low</v>
      </c>
      <c r="AM591">
        <f>IF(Table1[[#This Row],[Attrition]]="Yes",1,0)</f>
        <v>1</v>
      </c>
    </row>
    <row r="592" spans="1:39" ht="13.8" x14ac:dyDescent="0.25">
      <c r="A592">
        <v>33</v>
      </c>
      <c r="B592" t="str" cm="1">
        <f t="array" ref="B592">_xlfn.IFS(Table1[[#This Row],[Age]]&lt;30,"Under 30",Table1[[#This Row],[Age]]&lt;=40,"30-40",Table1[[#This Row],[Age]]&lt;=50,"41-50",Table1[[#This Row],[Age]]&gt;50,"Over 50")</f>
        <v>30-40</v>
      </c>
      <c r="C592" t="s">
        <v>43</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t="str" cm="1">
        <f t="array" ref="AH592">_xlfn.IFS(Table1[[#This Row],[YearsAtCompany]]&lt;=2,"0-2 years",Table1[[#This Row],[YearsAtCompany]]&lt;=5,"3-5 years",Table1[[#This Row],[YearsAtCompany]]&lt;=10,"6-10 years",Table1[[#This Row],[YearsAtCompany]]&gt;10,"10+ years")</f>
        <v>10+ years</v>
      </c>
      <c r="AI592">
        <v>9</v>
      </c>
      <c r="AJ592">
        <v>3</v>
      </c>
      <c r="AK592">
        <v>7</v>
      </c>
      <c r="AL592" t="str" cm="1">
        <f t="array" ref="AL592">_xlfn.IFS(Table1[[#This Row],[JobSatisfaction]]=1,"Low",Table1[[#This Row],[JobSatisfaction]]=2,"Medium",Table1[[#This Row],[JobSatisfaction]]=3,"High",Table1[[#This Row],[JobSatisfaction]]=4,"Very High")</f>
        <v>High</v>
      </c>
      <c r="AM592">
        <f>IF(Table1[[#This Row],[Attrition]]="Yes",1,0)</f>
        <v>0</v>
      </c>
    </row>
    <row r="593" spans="1:39" ht="13.8" x14ac:dyDescent="0.25">
      <c r="A593">
        <v>33</v>
      </c>
      <c r="B593" t="str" cm="1">
        <f t="array" ref="B593">_xlfn.IFS(Table1[[#This Row],[Age]]&lt;30,"Under 30",Table1[[#This Row],[Age]]&lt;=40,"30-40",Table1[[#This Row],[Age]]&lt;=50,"41-50",Table1[[#This Row],[Age]]&gt;50,"Over 50")</f>
        <v>30-40</v>
      </c>
      <c r="C593" t="s">
        <v>35</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t="str" cm="1">
        <f t="array" ref="AH593">_xlfn.IFS(Table1[[#This Row],[YearsAtCompany]]&lt;=2,"0-2 years",Table1[[#This Row],[YearsAtCompany]]&lt;=5,"3-5 years",Table1[[#This Row],[YearsAtCompany]]&lt;=10,"6-10 years",Table1[[#This Row],[YearsAtCompany]]&gt;10,"10+ years")</f>
        <v>3-5 years</v>
      </c>
      <c r="AI593">
        <v>2</v>
      </c>
      <c r="AJ593">
        <v>0</v>
      </c>
      <c r="AK593">
        <v>2</v>
      </c>
      <c r="AL593" t="str" cm="1">
        <f t="array" ref="AL593">_xlfn.IFS(Table1[[#This Row],[JobSatisfaction]]=1,"Low",Table1[[#This Row],[JobSatisfaction]]=2,"Medium",Table1[[#This Row],[JobSatisfaction]]=3,"High",Table1[[#This Row],[JobSatisfaction]]=4,"Very High")</f>
        <v>Low</v>
      </c>
      <c r="AM593">
        <f>IF(Table1[[#This Row],[Attrition]]="Yes",1,0)</f>
        <v>1</v>
      </c>
    </row>
    <row r="594" spans="1:39" ht="13.8" x14ac:dyDescent="0.25">
      <c r="A594">
        <v>47</v>
      </c>
      <c r="B594" t="str" cm="1">
        <f t="array" ref="B594">_xlfn.IFS(Table1[[#This Row],[Age]]&lt;30,"Under 30",Table1[[#This Row],[Age]]&lt;=40,"30-40",Table1[[#This Row],[Age]]&lt;=50,"41-50",Table1[[#This Row],[Age]]&gt;50,"Over 50")</f>
        <v>41-50</v>
      </c>
      <c r="C594" t="s">
        <v>43</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t="str" cm="1">
        <f t="array" ref="AH594">_xlfn.IFS(Table1[[#This Row],[YearsAtCompany]]&lt;=2,"0-2 years",Table1[[#This Row],[YearsAtCompany]]&lt;=5,"3-5 years",Table1[[#This Row],[YearsAtCompany]]&lt;=10,"6-10 years",Table1[[#This Row],[YearsAtCompany]]&gt;10,"10+ years")</f>
        <v>10+ years</v>
      </c>
      <c r="AI594">
        <v>14</v>
      </c>
      <c r="AJ594">
        <v>3</v>
      </c>
      <c r="AK594">
        <v>0</v>
      </c>
      <c r="AL594" t="str" cm="1">
        <f t="array" ref="AL594">_xlfn.IFS(Table1[[#This Row],[JobSatisfaction]]=1,"Low",Table1[[#This Row],[JobSatisfaction]]=2,"Medium",Table1[[#This Row],[JobSatisfaction]]=3,"High",Table1[[#This Row],[JobSatisfaction]]=4,"Very High")</f>
        <v>Very High</v>
      </c>
      <c r="AM594">
        <f>IF(Table1[[#This Row],[Attrition]]="Yes",1,0)</f>
        <v>0</v>
      </c>
    </row>
    <row r="595" spans="1:39" ht="13.8" x14ac:dyDescent="0.25">
      <c r="A595">
        <v>36</v>
      </c>
      <c r="B595" t="str" cm="1">
        <f t="array" ref="B595">_xlfn.IFS(Table1[[#This Row],[Age]]&lt;30,"Under 30",Table1[[#This Row],[Age]]&lt;=40,"30-40",Table1[[#This Row],[Age]]&lt;=50,"41-50",Table1[[#This Row],[Age]]&gt;50,"Over 50")</f>
        <v>30-40</v>
      </c>
      <c r="C595" t="s">
        <v>43</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t="str" cm="1">
        <f t="array" ref="AH595">_xlfn.IFS(Table1[[#This Row],[YearsAtCompany]]&lt;=2,"0-2 years",Table1[[#This Row],[YearsAtCompany]]&lt;=5,"3-5 years",Table1[[#This Row],[YearsAtCompany]]&lt;=10,"6-10 years",Table1[[#This Row],[YearsAtCompany]]&gt;10,"10+ years")</f>
        <v>6-10 years</v>
      </c>
      <c r="AI595">
        <v>7</v>
      </c>
      <c r="AJ595">
        <v>0</v>
      </c>
      <c r="AK595">
        <v>5</v>
      </c>
      <c r="AL595" t="str" cm="1">
        <f t="array" ref="AL595">_xlfn.IFS(Table1[[#This Row],[JobSatisfaction]]=1,"Low",Table1[[#This Row],[JobSatisfaction]]=2,"Medium",Table1[[#This Row],[JobSatisfaction]]=3,"High",Table1[[#This Row],[JobSatisfaction]]=4,"Very High")</f>
        <v>Medium</v>
      </c>
      <c r="AM595">
        <f>IF(Table1[[#This Row],[Attrition]]="Yes",1,0)</f>
        <v>0</v>
      </c>
    </row>
    <row r="596" spans="1:39" ht="13.8" x14ac:dyDescent="0.25">
      <c r="A596">
        <v>29</v>
      </c>
      <c r="B596" t="str" cm="1">
        <f t="array" ref="B596">_xlfn.IFS(Table1[[#This Row],[Age]]&lt;30,"Under 30",Table1[[#This Row],[Age]]&lt;=40,"30-40",Table1[[#This Row],[Age]]&lt;=50,"41-50",Table1[[#This Row],[Age]]&gt;50,"Over 50")</f>
        <v>Under 30</v>
      </c>
      <c r="C596" t="s">
        <v>43</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t="str" cm="1">
        <f t="array" ref="AH596">_xlfn.IFS(Table1[[#This Row],[YearsAtCompany]]&lt;=2,"0-2 years",Table1[[#This Row],[YearsAtCompany]]&lt;=5,"3-5 years",Table1[[#This Row],[YearsAtCompany]]&lt;=10,"6-10 years",Table1[[#This Row],[YearsAtCompany]]&gt;10,"10+ years")</f>
        <v>6-10 years</v>
      </c>
      <c r="AI596">
        <v>7</v>
      </c>
      <c r="AJ596">
        <v>0</v>
      </c>
      <c r="AK596">
        <v>7</v>
      </c>
      <c r="AL596" t="str" cm="1">
        <f t="array" ref="AL596">_xlfn.IFS(Table1[[#This Row],[JobSatisfaction]]=1,"Low",Table1[[#This Row],[JobSatisfaction]]=2,"Medium",Table1[[#This Row],[JobSatisfaction]]=3,"High",Table1[[#This Row],[JobSatisfaction]]=4,"Very High")</f>
        <v>High</v>
      </c>
      <c r="AM596">
        <f>IF(Table1[[#This Row],[Attrition]]="Yes",1,0)</f>
        <v>0</v>
      </c>
    </row>
    <row r="597" spans="1:39" ht="13.8" x14ac:dyDescent="0.25">
      <c r="A597">
        <v>58</v>
      </c>
      <c r="B597" t="str" cm="1">
        <f t="array" ref="B597">_xlfn.IFS(Table1[[#This Row],[Age]]&lt;30,"Under 30",Table1[[#This Row],[Age]]&lt;=40,"30-40",Table1[[#This Row],[Age]]&lt;=50,"41-50",Table1[[#This Row],[Age]]&gt;50,"Over 50")</f>
        <v>Over 50</v>
      </c>
      <c r="C597" t="s">
        <v>35</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t="str" cm="1">
        <f t="array" ref="AH597">_xlfn.IFS(Table1[[#This Row],[YearsAtCompany]]&lt;=2,"0-2 years",Table1[[#This Row],[YearsAtCompany]]&lt;=5,"3-5 years",Table1[[#This Row],[YearsAtCompany]]&lt;=10,"6-10 years",Table1[[#This Row],[YearsAtCompany]]&gt;10,"10+ years")</f>
        <v>10+ years</v>
      </c>
      <c r="AI597">
        <v>15</v>
      </c>
      <c r="AJ597">
        <v>13</v>
      </c>
      <c r="AK597">
        <v>8</v>
      </c>
      <c r="AL597" t="str" cm="1">
        <f t="array" ref="AL597">_xlfn.IFS(Table1[[#This Row],[JobSatisfaction]]=1,"Low",Table1[[#This Row],[JobSatisfaction]]=2,"Medium",Table1[[#This Row],[JobSatisfaction]]=3,"High",Table1[[#This Row],[JobSatisfaction]]=4,"Very High")</f>
        <v>Medium</v>
      </c>
      <c r="AM597">
        <f>IF(Table1[[#This Row],[Attrition]]="Yes",1,0)</f>
        <v>1</v>
      </c>
    </row>
    <row r="598" spans="1:39" ht="13.8" x14ac:dyDescent="0.25">
      <c r="A598">
        <v>35</v>
      </c>
      <c r="B598" t="str" cm="1">
        <f t="array" ref="B598">_xlfn.IFS(Table1[[#This Row],[Age]]&lt;30,"Under 30",Table1[[#This Row],[Age]]&lt;=40,"30-40",Table1[[#This Row],[Age]]&lt;=50,"41-50",Table1[[#This Row],[Age]]&gt;50,"Over 50")</f>
        <v>30-40</v>
      </c>
      <c r="C598" t="s">
        <v>43</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t="str" cm="1">
        <f t="array" ref="AH598">_xlfn.IFS(Table1[[#This Row],[YearsAtCompany]]&lt;=2,"0-2 years",Table1[[#This Row],[YearsAtCompany]]&lt;=5,"3-5 years",Table1[[#This Row],[YearsAtCompany]]&lt;=10,"6-10 years",Table1[[#This Row],[YearsAtCompany]]&gt;10,"10+ years")</f>
        <v>0-2 years</v>
      </c>
      <c r="AI598">
        <v>2</v>
      </c>
      <c r="AJ598">
        <v>2</v>
      </c>
      <c r="AK598">
        <v>2</v>
      </c>
      <c r="AL598" t="str" cm="1">
        <f t="array" ref="AL598">_xlfn.IFS(Table1[[#This Row],[JobSatisfaction]]=1,"Low",Table1[[#This Row],[JobSatisfaction]]=2,"Medium",Table1[[#This Row],[JobSatisfaction]]=3,"High",Table1[[#This Row],[JobSatisfaction]]=4,"Very High")</f>
        <v>High</v>
      </c>
      <c r="AM598">
        <f>IF(Table1[[#This Row],[Attrition]]="Yes",1,0)</f>
        <v>0</v>
      </c>
    </row>
    <row r="599" spans="1:39" ht="13.8" x14ac:dyDescent="0.25">
      <c r="A599">
        <v>42</v>
      </c>
      <c r="B599" t="str" cm="1">
        <f t="array" ref="B599">_xlfn.IFS(Table1[[#This Row],[Age]]&lt;30,"Under 30",Table1[[#This Row],[Age]]&lt;=40,"30-40",Table1[[#This Row],[Age]]&lt;=50,"41-50",Table1[[#This Row],[Age]]&gt;50,"Over 50")</f>
        <v>41-50</v>
      </c>
      <c r="C599" t="s">
        <v>43</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t="str" cm="1">
        <f t="array" ref="AH599">_xlfn.IFS(Table1[[#This Row],[YearsAtCompany]]&lt;=2,"0-2 years",Table1[[#This Row],[YearsAtCompany]]&lt;=5,"3-5 years",Table1[[#This Row],[YearsAtCompany]]&lt;=10,"6-10 years",Table1[[#This Row],[YearsAtCompany]]&gt;10,"10+ years")</f>
        <v>3-5 years</v>
      </c>
      <c r="AI599">
        <v>3</v>
      </c>
      <c r="AJ599">
        <v>0</v>
      </c>
      <c r="AK599">
        <v>2</v>
      </c>
      <c r="AL599" t="str" cm="1">
        <f t="array" ref="AL599">_xlfn.IFS(Table1[[#This Row],[JobSatisfaction]]=1,"Low",Table1[[#This Row],[JobSatisfaction]]=2,"Medium",Table1[[#This Row],[JobSatisfaction]]=3,"High",Table1[[#This Row],[JobSatisfaction]]=4,"Very High")</f>
        <v>Very High</v>
      </c>
      <c r="AM599">
        <f>IF(Table1[[#This Row],[Attrition]]="Yes",1,0)</f>
        <v>0</v>
      </c>
    </row>
    <row r="600" spans="1:39" ht="13.8" x14ac:dyDescent="0.25">
      <c r="A600">
        <v>28</v>
      </c>
      <c r="B600" t="str" cm="1">
        <f t="array" ref="B600">_xlfn.IFS(Table1[[#This Row],[Age]]&lt;30,"Under 30",Table1[[#This Row],[Age]]&lt;=40,"30-40",Table1[[#This Row],[Age]]&lt;=50,"41-50",Table1[[#This Row],[Age]]&gt;50,"Over 50")</f>
        <v>Under 30</v>
      </c>
      <c r="C600" t="s">
        <v>35</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t="str" cm="1">
        <f t="array" ref="AH600">_xlfn.IFS(Table1[[#This Row],[YearsAtCompany]]&lt;=2,"0-2 years",Table1[[#This Row],[YearsAtCompany]]&lt;=5,"3-5 years",Table1[[#This Row],[YearsAtCompany]]&lt;=10,"6-10 years",Table1[[#This Row],[YearsAtCompany]]&gt;10,"10+ years")</f>
        <v>0-2 years</v>
      </c>
      <c r="AI600">
        <v>2</v>
      </c>
      <c r="AJ600">
        <v>2</v>
      </c>
      <c r="AK600">
        <v>1</v>
      </c>
      <c r="AL600" t="str" cm="1">
        <f t="array" ref="AL600">_xlfn.IFS(Table1[[#This Row],[JobSatisfaction]]=1,"Low",Table1[[#This Row],[JobSatisfaction]]=2,"Medium",Table1[[#This Row],[JobSatisfaction]]=3,"High",Table1[[#This Row],[JobSatisfaction]]=4,"Very High")</f>
        <v>High</v>
      </c>
      <c r="AM600">
        <f>IF(Table1[[#This Row],[Attrition]]="Yes",1,0)</f>
        <v>1</v>
      </c>
    </row>
    <row r="601" spans="1:39" ht="13.8" x14ac:dyDescent="0.25">
      <c r="A601">
        <v>36</v>
      </c>
      <c r="B601" t="str" cm="1">
        <f t="array" ref="B601">_xlfn.IFS(Table1[[#This Row],[Age]]&lt;30,"Under 30",Table1[[#This Row],[Age]]&lt;=40,"30-40",Table1[[#This Row],[Age]]&lt;=50,"41-50",Table1[[#This Row],[Age]]&gt;50,"Over 50")</f>
        <v>30-40</v>
      </c>
      <c r="C601" t="s">
        <v>43</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t="str" cm="1">
        <f t="array" ref="AH601">_xlfn.IFS(Table1[[#This Row],[YearsAtCompany]]&lt;=2,"0-2 years",Table1[[#This Row],[YearsAtCompany]]&lt;=5,"3-5 years",Table1[[#This Row],[YearsAtCompany]]&lt;=10,"6-10 years",Table1[[#This Row],[YearsAtCompany]]&gt;10,"10+ years")</f>
        <v>3-5 years</v>
      </c>
      <c r="AI601">
        <v>2</v>
      </c>
      <c r="AJ601">
        <v>0</v>
      </c>
      <c r="AK601">
        <v>4</v>
      </c>
      <c r="AL601" t="str" cm="1">
        <f t="array" ref="AL601">_xlfn.IFS(Table1[[#This Row],[JobSatisfaction]]=1,"Low",Table1[[#This Row],[JobSatisfaction]]=2,"Medium",Table1[[#This Row],[JobSatisfaction]]=3,"High",Table1[[#This Row],[JobSatisfaction]]=4,"Very High")</f>
        <v>Medium</v>
      </c>
      <c r="AM601">
        <f>IF(Table1[[#This Row],[Attrition]]="Yes",1,0)</f>
        <v>0</v>
      </c>
    </row>
    <row r="602" spans="1:39" ht="13.8" x14ac:dyDescent="0.25">
      <c r="A602">
        <v>32</v>
      </c>
      <c r="B602" t="str" cm="1">
        <f t="array" ref="B602">_xlfn.IFS(Table1[[#This Row],[Age]]&lt;30,"Under 30",Table1[[#This Row],[Age]]&lt;=40,"30-40",Table1[[#This Row],[Age]]&lt;=50,"41-50",Table1[[#This Row],[Age]]&gt;50,"Over 50")</f>
        <v>30-40</v>
      </c>
      <c r="C602" t="s">
        <v>43</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t="str" cm="1">
        <f t="array" ref="AH602">_xlfn.IFS(Table1[[#This Row],[YearsAtCompany]]&lt;=2,"0-2 years",Table1[[#This Row],[YearsAtCompany]]&lt;=5,"3-5 years",Table1[[#This Row],[YearsAtCompany]]&lt;=10,"6-10 years",Table1[[#This Row],[YearsAtCompany]]&gt;10,"10+ years")</f>
        <v>10+ years</v>
      </c>
      <c r="AI602">
        <v>13</v>
      </c>
      <c r="AJ602">
        <v>6</v>
      </c>
      <c r="AK602">
        <v>8</v>
      </c>
      <c r="AL602" t="str" cm="1">
        <f t="array" ref="AL602">_xlfn.IFS(Table1[[#This Row],[JobSatisfaction]]=1,"Low",Table1[[#This Row],[JobSatisfaction]]=2,"Medium",Table1[[#This Row],[JobSatisfaction]]=3,"High",Table1[[#This Row],[JobSatisfaction]]=4,"Very High")</f>
        <v>High</v>
      </c>
      <c r="AM602">
        <f>IF(Table1[[#This Row],[Attrition]]="Yes",1,0)</f>
        <v>0</v>
      </c>
    </row>
    <row r="603" spans="1:39" ht="13.8" x14ac:dyDescent="0.25">
      <c r="A603">
        <v>40</v>
      </c>
      <c r="B603" t="str" cm="1">
        <f t="array" ref="B603">_xlfn.IFS(Table1[[#This Row],[Age]]&lt;30,"Under 30",Table1[[#This Row],[Age]]&lt;=40,"30-40",Table1[[#This Row],[Age]]&lt;=50,"41-50",Table1[[#This Row],[Age]]&gt;50,"Over 50")</f>
        <v>30-40</v>
      </c>
      <c r="C603" t="s">
        <v>43</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t="str" cm="1">
        <f t="array" ref="AH603">_xlfn.IFS(Table1[[#This Row],[YearsAtCompany]]&lt;=2,"0-2 years",Table1[[#This Row],[YearsAtCompany]]&lt;=5,"3-5 years",Table1[[#This Row],[YearsAtCompany]]&lt;=10,"6-10 years",Table1[[#This Row],[YearsAtCompany]]&gt;10,"10+ years")</f>
        <v>0-2 years</v>
      </c>
      <c r="AI603">
        <v>0</v>
      </c>
      <c r="AJ603">
        <v>0</v>
      </c>
      <c r="AK603">
        <v>0</v>
      </c>
      <c r="AL603" t="str" cm="1">
        <f t="array" ref="AL603">_xlfn.IFS(Table1[[#This Row],[JobSatisfaction]]=1,"Low",Table1[[#This Row],[JobSatisfaction]]=2,"Medium",Table1[[#This Row],[JobSatisfaction]]=3,"High",Table1[[#This Row],[JobSatisfaction]]=4,"Very High")</f>
        <v>High</v>
      </c>
      <c r="AM603">
        <f>IF(Table1[[#This Row],[Attrition]]="Yes",1,0)</f>
        <v>0</v>
      </c>
    </row>
    <row r="604" spans="1:39" ht="13.8" x14ac:dyDescent="0.25">
      <c r="A604">
        <v>30</v>
      </c>
      <c r="B604" t="str" cm="1">
        <f t="array" ref="B604">_xlfn.IFS(Table1[[#This Row],[Age]]&lt;30,"Under 30",Table1[[#This Row],[Age]]&lt;=40,"30-40",Table1[[#This Row],[Age]]&lt;=50,"41-50",Table1[[#This Row],[Age]]&gt;50,"Over 50")</f>
        <v>30-40</v>
      </c>
      <c r="C604" t="s">
        <v>43</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t="str" cm="1">
        <f t="array" ref="AH604">_xlfn.IFS(Table1[[#This Row],[YearsAtCompany]]&lt;=2,"0-2 years",Table1[[#This Row],[YearsAtCompany]]&lt;=5,"3-5 years",Table1[[#This Row],[YearsAtCompany]]&lt;=10,"6-10 years",Table1[[#This Row],[YearsAtCompany]]&gt;10,"10+ years")</f>
        <v>0-2 years</v>
      </c>
      <c r="AI604">
        <v>0</v>
      </c>
      <c r="AJ604">
        <v>0</v>
      </c>
      <c r="AK604">
        <v>0</v>
      </c>
      <c r="AL604" t="str" cm="1">
        <f t="array" ref="AL604">_xlfn.IFS(Table1[[#This Row],[JobSatisfaction]]=1,"Low",Table1[[#This Row],[JobSatisfaction]]=2,"Medium",Table1[[#This Row],[JobSatisfaction]]=3,"High",Table1[[#This Row],[JobSatisfaction]]=4,"Very High")</f>
        <v>Very High</v>
      </c>
      <c r="AM604">
        <f>IF(Table1[[#This Row],[Attrition]]="Yes",1,0)</f>
        <v>0</v>
      </c>
    </row>
    <row r="605" spans="1:39" ht="13.8" x14ac:dyDescent="0.25">
      <c r="A605">
        <v>45</v>
      </c>
      <c r="B605" t="str" cm="1">
        <f t="array" ref="B605">_xlfn.IFS(Table1[[#This Row],[Age]]&lt;30,"Under 30",Table1[[#This Row],[Age]]&lt;=40,"30-40",Table1[[#This Row],[Age]]&lt;=50,"41-50",Table1[[#This Row],[Age]]&gt;50,"Over 50")</f>
        <v>41-50</v>
      </c>
      <c r="C605" t="s">
        <v>43</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t="str" cm="1">
        <f t="array" ref="AH605">_xlfn.IFS(Table1[[#This Row],[YearsAtCompany]]&lt;=2,"0-2 years",Table1[[#This Row],[YearsAtCompany]]&lt;=5,"3-5 years",Table1[[#This Row],[YearsAtCompany]]&lt;=10,"6-10 years",Table1[[#This Row],[YearsAtCompany]]&gt;10,"10+ years")</f>
        <v>0-2 years</v>
      </c>
      <c r="AI605">
        <v>0</v>
      </c>
      <c r="AJ605">
        <v>0</v>
      </c>
      <c r="AK605">
        <v>0</v>
      </c>
      <c r="AL605" t="str" cm="1">
        <f t="array" ref="AL605">_xlfn.IFS(Table1[[#This Row],[JobSatisfaction]]=1,"Low",Table1[[#This Row],[JobSatisfaction]]=2,"Medium",Table1[[#This Row],[JobSatisfaction]]=3,"High",Table1[[#This Row],[JobSatisfaction]]=4,"Very High")</f>
        <v>High</v>
      </c>
      <c r="AM605">
        <f>IF(Table1[[#This Row],[Attrition]]="Yes",1,0)</f>
        <v>0</v>
      </c>
    </row>
    <row r="606" spans="1:39" ht="13.8" x14ac:dyDescent="0.25">
      <c r="A606">
        <v>42</v>
      </c>
      <c r="B606" t="str" cm="1">
        <f t="array" ref="B606">_xlfn.IFS(Table1[[#This Row],[Age]]&lt;30,"Under 30",Table1[[#This Row],[Age]]&lt;=40,"30-40",Table1[[#This Row],[Age]]&lt;=50,"41-50",Table1[[#This Row],[Age]]&gt;50,"Over 50")</f>
        <v>41-50</v>
      </c>
      <c r="C606" t="s">
        <v>43</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t="str" cm="1">
        <f t="array" ref="AH606">_xlfn.IFS(Table1[[#This Row],[YearsAtCompany]]&lt;=2,"0-2 years",Table1[[#This Row],[YearsAtCompany]]&lt;=5,"3-5 years",Table1[[#This Row],[YearsAtCompany]]&lt;=10,"6-10 years",Table1[[#This Row],[YearsAtCompany]]&gt;10,"10+ years")</f>
        <v>6-10 years</v>
      </c>
      <c r="AI606">
        <v>8</v>
      </c>
      <c r="AJ606">
        <v>7</v>
      </c>
      <c r="AK606">
        <v>8</v>
      </c>
      <c r="AL606" t="str" cm="1">
        <f t="array" ref="AL606">_xlfn.IFS(Table1[[#This Row],[JobSatisfaction]]=1,"Low",Table1[[#This Row],[JobSatisfaction]]=2,"Medium",Table1[[#This Row],[JobSatisfaction]]=3,"High",Table1[[#This Row],[JobSatisfaction]]=4,"Very High")</f>
        <v>Medium</v>
      </c>
      <c r="AM606">
        <f>IF(Table1[[#This Row],[Attrition]]="Yes",1,0)</f>
        <v>0</v>
      </c>
    </row>
    <row r="607" spans="1:39" ht="13.8" x14ac:dyDescent="0.25">
      <c r="A607">
        <v>38</v>
      </c>
      <c r="B607" t="str" cm="1">
        <f t="array" ref="B607">_xlfn.IFS(Table1[[#This Row],[Age]]&lt;30,"Under 30",Table1[[#This Row],[Age]]&lt;=40,"30-40",Table1[[#This Row],[Age]]&lt;=50,"41-50",Table1[[#This Row],[Age]]&gt;50,"Over 50")</f>
        <v>30-40</v>
      </c>
      <c r="C607" t="s">
        <v>43</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t="str" cm="1">
        <f t="array" ref="AH607">_xlfn.IFS(Table1[[#This Row],[YearsAtCompany]]&lt;=2,"0-2 years",Table1[[#This Row],[YearsAtCompany]]&lt;=5,"3-5 years",Table1[[#This Row],[YearsAtCompany]]&lt;=10,"6-10 years",Table1[[#This Row],[YearsAtCompany]]&gt;10,"10+ years")</f>
        <v>3-5 years</v>
      </c>
      <c r="AI607">
        <v>3</v>
      </c>
      <c r="AJ607">
        <v>1</v>
      </c>
      <c r="AK607">
        <v>2</v>
      </c>
      <c r="AL607" t="str" cm="1">
        <f t="array" ref="AL607">_xlfn.IFS(Table1[[#This Row],[JobSatisfaction]]=1,"Low",Table1[[#This Row],[JobSatisfaction]]=2,"Medium",Table1[[#This Row],[JobSatisfaction]]=3,"High",Table1[[#This Row],[JobSatisfaction]]=4,"Very High")</f>
        <v>Low</v>
      </c>
      <c r="AM607">
        <f>IF(Table1[[#This Row],[Attrition]]="Yes",1,0)</f>
        <v>0</v>
      </c>
    </row>
    <row r="608" spans="1:39" ht="13.8" x14ac:dyDescent="0.25">
      <c r="A608">
        <v>34</v>
      </c>
      <c r="B608" t="str" cm="1">
        <f t="array" ref="B608">_xlfn.IFS(Table1[[#This Row],[Age]]&lt;30,"Under 30",Table1[[#This Row],[Age]]&lt;=40,"30-40",Table1[[#This Row],[Age]]&lt;=50,"41-50",Table1[[#This Row],[Age]]&gt;50,"Over 50")</f>
        <v>30-40</v>
      </c>
      <c r="C608" t="s">
        <v>43</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t="str" cm="1">
        <f t="array" ref="AH608">_xlfn.IFS(Table1[[#This Row],[YearsAtCompany]]&lt;=2,"0-2 years",Table1[[#This Row],[YearsAtCompany]]&lt;=5,"3-5 years",Table1[[#This Row],[YearsAtCompany]]&lt;=10,"6-10 years",Table1[[#This Row],[YearsAtCompany]]&gt;10,"10+ years")</f>
        <v>3-5 years</v>
      </c>
      <c r="AI608">
        <v>2</v>
      </c>
      <c r="AJ608">
        <v>1</v>
      </c>
      <c r="AK608">
        <v>3</v>
      </c>
      <c r="AL608" t="str" cm="1">
        <f t="array" ref="AL608">_xlfn.IFS(Table1[[#This Row],[JobSatisfaction]]=1,"Low",Table1[[#This Row],[JobSatisfaction]]=2,"Medium",Table1[[#This Row],[JobSatisfaction]]=3,"High",Table1[[#This Row],[JobSatisfaction]]=4,"Very High")</f>
        <v>Very High</v>
      </c>
      <c r="AM608">
        <f>IF(Table1[[#This Row],[Attrition]]="Yes",1,0)</f>
        <v>0</v>
      </c>
    </row>
    <row r="609" spans="1:39" ht="13.8" x14ac:dyDescent="0.25">
      <c r="A609">
        <v>49</v>
      </c>
      <c r="B609" t="str" cm="1">
        <f t="array" ref="B609">_xlfn.IFS(Table1[[#This Row],[Age]]&lt;30,"Under 30",Table1[[#This Row],[Age]]&lt;=40,"30-40",Table1[[#This Row],[Age]]&lt;=50,"41-50",Table1[[#This Row],[Age]]&gt;50,"Over 50")</f>
        <v>41-50</v>
      </c>
      <c r="C609" t="s">
        <v>35</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t="str" cm="1">
        <f t="array" ref="AH609">_xlfn.IFS(Table1[[#This Row],[YearsAtCompany]]&lt;=2,"0-2 years",Table1[[#This Row],[YearsAtCompany]]&lt;=5,"3-5 years",Table1[[#This Row],[YearsAtCompany]]&lt;=10,"6-10 years",Table1[[#This Row],[YearsAtCompany]]&gt;10,"10+ years")</f>
        <v>6-10 years</v>
      </c>
      <c r="AI609">
        <v>8</v>
      </c>
      <c r="AJ609">
        <v>7</v>
      </c>
      <c r="AK609">
        <v>7</v>
      </c>
      <c r="AL609" t="str" cm="1">
        <f t="array" ref="AL609">_xlfn.IFS(Table1[[#This Row],[JobSatisfaction]]=1,"Low",Table1[[#This Row],[JobSatisfaction]]=2,"Medium",Table1[[#This Row],[JobSatisfaction]]=3,"High",Table1[[#This Row],[JobSatisfaction]]=4,"Very High")</f>
        <v>Very High</v>
      </c>
      <c r="AM609">
        <f>IF(Table1[[#This Row],[Attrition]]="Yes",1,0)</f>
        <v>1</v>
      </c>
    </row>
    <row r="610" spans="1:39" ht="13.8" x14ac:dyDescent="0.25">
      <c r="A610">
        <v>55</v>
      </c>
      <c r="B610" t="str" cm="1">
        <f t="array" ref="B610">_xlfn.IFS(Table1[[#This Row],[Age]]&lt;30,"Under 30",Table1[[#This Row],[Age]]&lt;=40,"30-40",Table1[[#This Row],[Age]]&lt;=50,"41-50",Table1[[#This Row],[Age]]&gt;50,"Over 50")</f>
        <v>Over 50</v>
      </c>
      <c r="C610" t="s">
        <v>35</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t="str" cm="1">
        <f t="array" ref="AH610">_xlfn.IFS(Table1[[#This Row],[YearsAtCompany]]&lt;=2,"0-2 years",Table1[[#This Row],[YearsAtCompany]]&lt;=5,"3-5 years",Table1[[#This Row],[YearsAtCompany]]&lt;=10,"6-10 years",Table1[[#This Row],[YearsAtCompany]]&gt;10,"10+ years")</f>
        <v>6-10 years</v>
      </c>
      <c r="AI610">
        <v>7</v>
      </c>
      <c r="AJ610">
        <v>7</v>
      </c>
      <c r="AK610">
        <v>3</v>
      </c>
      <c r="AL610" t="str" cm="1">
        <f t="array" ref="AL610">_xlfn.IFS(Table1[[#This Row],[JobSatisfaction]]=1,"Low",Table1[[#This Row],[JobSatisfaction]]=2,"Medium",Table1[[#This Row],[JobSatisfaction]]=3,"High",Table1[[#This Row],[JobSatisfaction]]=4,"Very High")</f>
        <v>Very High</v>
      </c>
      <c r="AM610">
        <f>IF(Table1[[#This Row],[Attrition]]="Yes",1,0)</f>
        <v>1</v>
      </c>
    </row>
    <row r="611" spans="1:39" ht="13.8" x14ac:dyDescent="0.25">
      <c r="A611">
        <v>43</v>
      </c>
      <c r="B611" t="str" cm="1">
        <f t="array" ref="B611">_xlfn.IFS(Table1[[#This Row],[Age]]&lt;30,"Under 30",Table1[[#This Row],[Age]]&lt;=40,"30-40",Table1[[#This Row],[Age]]&lt;=50,"41-50",Table1[[#This Row],[Age]]&gt;50,"Over 50")</f>
        <v>41-50</v>
      </c>
      <c r="C611" t="s">
        <v>43</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t="str" cm="1">
        <f t="array" ref="AH611">_xlfn.IFS(Table1[[#This Row],[YearsAtCompany]]&lt;=2,"0-2 years",Table1[[#This Row],[YearsAtCompany]]&lt;=5,"3-5 years",Table1[[#This Row],[YearsAtCompany]]&lt;=10,"6-10 years",Table1[[#This Row],[YearsAtCompany]]&gt;10,"10+ years")</f>
        <v>3-5 years</v>
      </c>
      <c r="AI611">
        <v>1</v>
      </c>
      <c r="AJ611">
        <v>1</v>
      </c>
      <c r="AK611">
        <v>0</v>
      </c>
      <c r="AL611" t="str" cm="1">
        <f t="array" ref="AL611">_xlfn.IFS(Table1[[#This Row],[JobSatisfaction]]=1,"Low",Table1[[#This Row],[JobSatisfaction]]=2,"Medium",Table1[[#This Row],[JobSatisfaction]]=3,"High",Table1[[#This Row],[JobSatisfaction]]=4,"Very High")</f>
        <v>Low</v>
      </c>
      <c r="AM611">
        <f>IF(Table1[[#This Row],[Attrition]]="Yes",1,0)</f>
        <v>0</v>
      </c>
    </row>
    <row r="612" spans="1:39" ht="13.8" x14ac:dyDescent="0.25">
      <c r="A612">
        <v>27</v>
      </c>
      <c r="B612" t="str" cm="1">
        <f t="array" ref="B612">_xlfn.IFS(Table1[[#This Row],[Age]]&lt;30,"Under 30",Table1[[#This Row],[Age]]&lt;=40,"30-40",Table1[[#This Row],[Age]]&lt;=50,"41-50",Table1[[#This Row],[Age]]&gt;50,"Over 50")</f>
        <v>Under 30</v>
      </c>
      <c r="C612" t="s">
        <v>43</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t="str" cm="1">
        <f t="array" ref="AH612">_xlfn.IFS(Table1[[#This Row],[YearsAtCompany]]&lt;=2,"0-2 years",Table1[[#This Row],[YearsAtCompany]]&lt;=5,"3-5 years",Table1[[#This Row],[YearsAtCompany]]&lt;=10,"6-10 years",Table1[[#This Row],[YearsAtCompany]]&gt;10,"10+ years")</f>
        <v>6-10 years</v>
      </c>
      <c r="AI612">
        <v>8</v>
      </c>
      <c r="AJ612">
        <v>0</v>
      </c>
      <c r="AK612">
        <v>8</v>
      </c>
      <c r="AL612" t="str" cm="1">
        <f t="array" ref="AL612">_xlfn.IFS(Table1[[#This Row],[JobSatisfaction]]=1,"Low",Table1[[#This Row],[JobSatisfaction]]=2,"Medium",Table1[[#This Row],[JobSatisfaction]]=3,"High",Table1[[#This Row],[JobSatisfaction]]=4,"Very High")</f>
        <v>Very High</v>
      </c>
      <c r="AM612">
        <f>IF(Table1[[#This Row],[Attrition]]="Yes",1,0)</f>
        <v>0</v>
      </c>
    </row>
    <row r="613" spans="1:39" ht="13.8" x14ac:dyDescent="0.25">
      <c r="A613">
        <v>35</v>
      </c>
      <c r="B613" t="str" cm="1">
        <f t="array" ref="B613">_xlfn.IFS(Table1[[#This Row],[Age]]&lt;30,"Under 30",Table1[[#This Row],[Age]]&lt;=40,"30-40",Table1[[#This Row],[Age]]&lt;=50,"41-50",Table1[[#This Row],[Age]]&gt;50,"Over 50")</f>
        <v>30-40</v>
      </c>
      <c r="C613" t="s">
        <v>43</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t="str" cm="1">
        <f t="array" ref="AH613">_xlfn.IFS(Table1[[#This Row],[YearsAtCompany]]&lt;=2,"0-2 years",Table1[[#This Row],[YearsAtCompany]]&lt;=5,"3-5 years",Table1[[#This Row],[YearsAtCompany]]&lt;=10,"6-10 years",Table1[[#This Row],[YearsAtCompany]]&gt;10,"10+ years")</f>
        <v>6-10 years</v>
      </c>
      <c r="AI613">
        <v>5</v>
      </c>
      <c r="AJ613">
        <v>1</v>
      </c>
      <c r="AK613">
        <v>6</v>
      </c>
      <c r="AL613" t="str" cm="1">
        <f t="array" ref="AL613">_xlfn.IFS(Table1[[#This Row],[JobSatisfaction]]=1,"Low",Table1[[#This Row],[JobSatisfaction]]=2,"Medium",Table1[[#This Row],[JobSatisfaction]]=3,"High",Table1[[#This Row],[JobSatisfaction]]=4,"Very High")</f>
        <v>High</v>
      </c>
      <c r="AM613">
        <f>IF(Table1[[#This Row],[Attrition]]="Yes",1,0)</f>
        <v>0</v>
      </c>
    </row>
    <row r="614" spans="1:39" ht="13.8" x14ac:dyDescent="0.25">
      <c r="A614">
        <v>28</v>
      </c>
      <c r="B614" t="str" cm="1">
        <f t="array" ref="B614">_xlfn.IFS(Table1[[#This Row],[Age]]&lt;30,"Under 30",Table1[[#This Row],[Age]]&lt;=40,"30-40",Table1[[#This Row],[Age]]&lt;=50,"41-50",Table1[[#This Row],[Age]]&gt;50,"Over 50")</f>
        <v>Under 30</v>
      </c>
      <c r="C614" t="s">
        <v>43</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t="str" cm="1">
        <f t="array" ref="AH614">_xlfn.IFS(Table1[[#This Row],[YearsAtCompany]]&lt;=2,"0-2 years",Table1[[#This Row],[YearsAtCompany]]&lt;=5,"3-5 years",Table1[[#This Row],[YearsAtCompany]]&lt;=10,"6-10 years",Table1[[#This Row],[YearsAtCompany]]&gt;10,"10+ years")</f>
        <v>6-10 years</v>
      </c>
      <c r="AI614">
        <v>7</v>
      </c>
      <c r="AJ614">
        <v>7</v>
      </c>
      <c r="AK614">
        <v>5</v>
      </c>
      <c r="AL614" t="str" cm="1">
        <f t="array" ref="AL614">_xlfn.IFS(Table1[[#This Row],[JobSatisfaction]]=1,"Low",Table1[[#This Row],[JobSatisfaction]]=2,"Medium",Table1[[#This Row],[JobSatisfaction]]=3,"High",Table1[[#This Row],[JobSatisfaction]]=4,"Very High")</f>
        <v>Medium</v>
      </c>
      <c r="AM614">
        <f>IF(Table1[[#This Row],[Attrition]]="Yes",1,0)</f>
        <v>0</v>
      </c>
    </row>
    <row r="615" spans="1:39" ht="13.8" x14ac:dyDescent="0.25">
      <c r="A615">
        <v>34</v>
      </c>
      <c r="B615" t="str" cm="1">
        <f t="array" ref="B615">_xlfn.IFS(Table1[[#This Row],[Age]]&lt;30,"Under 30",Table1[[#This Row],[Age]]&lt;=40,"30-40",Table1[[#This Row],[Age]]&lt;=50,"41-50",Table1[[#This Row],[Age]]&gt;50,"Over 50")</f>
        <v>30-40</v>
      </c>
      <c r="C615" t="s">
        <v>43</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t="str" cm="1">
        <f t="array" ref="AH615">_xlfn.IFS(Table1[[#This Row],[YearsAtCompany]]&lt;=2,"0-2 years",Table1[[#This Row],[YearsAtCompany]]&lt;=5,"3-5 years",Table1[[#This Row],[YearsAtCompany]]&lt;=10,"6-10 years",Table1[[#This Row],[YearsAtCompany]]&gt;10,"10+ years")</f>
        <v>3-5 years</v>
      </c>
      <c r="AI615">
        <v>2</v>
      </c>
      <c r="AJ615">
        <v>0</v>
      </c>
      <c r="AK615">
        <v>2</v>
      </c>
      <c r="AL615" t="str" cm="1">
        <f t="array" ref="AL615">_xlfn.IFS(Table1[[#This Row],[JobSatisfaction]]=1,"Low",Table1[[#This Row],[JobSatisfaction]]=2,"Medium",Table1[[#This Row],[JobSatisfaction]]=3,"High",Table1[[#This Row],[JobSatisfaction]]=4,"Very High")</f>
        <v>Very High</v>
      </c>
      <c r="AM615">
        <f>IF(Table1[[#This Row],[Attrition]]="Yes",1,0)</f>
        <v>0</v>
      </c>
    </row>
    <row r="616" spans="1:39" ht="13.8" x14ac:dyDescent="0.25">
      <c r="A616">
        <v>26</v>
      </c>
      <c r="B616" t="str" cm="1">
        <f t="array" ref="B616">_xlfn.IFS(Table1[[#This Row],[Age]]&lt;30,"Under 30",Table1[[#This Row],[Age]]&lt;=40,"30-40",Table1[[#This Row],[Age]]&lt;=50,"41-50",Table1[[#This Row],[Age]]&gt;50,"Over 50")</f>
        <v>Under 30</v>
      </c>
      <c r="C616" t="s">
        <v>35</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t="str" cm="1">
        <f t="array" ref="AH616">_xlfn.IFS(Table1[[#This Row],[YearsAtCompany]]&lt;=2,"0-2 years",Table1[[#This Row],[YearsAtCompany]]&lt;=5,"3-5 years",Table1[[#This Row],[YearsAtCompany]]&lt;=10,"6-10 years",Table1[[#This Row],[YearsAtCompany]]&gt;10,"10+ years")</f>
        <v>6-10 years</v>
      </c>
      <c r="AI616">
        <v>7</v>
      </c>
      <c r="AJ616">
        <v>1</v>
      </c>
      <c r="AK616">
        <v>7</v>
      </c>
      <c r="AL616" t="str" cm="1">
        <f t="array" ref="AL616">_xlfn.IFS(Table1[[#This Row],[JobSatisfaction]]=1,"Low",Table1[[#This Row],[JobSatisfaction]]=2,"Medium",Table1[[#This Row],[JobSatisfaction]]=3,"High",Table1[[#This Row],[JobSatisfaction]]=4,"Very High")</f>
        <v>High</v>
      </c>
      <c r="AM616">
        <f>IF(Table1[[#This Row],[Attrition]]="Yes",1,0)</f>
        <v>1</v>
      </c>
    </row>
    <row r="617" spans="1:39" ht="13.8" x14ac:dyDescent="0.25">
      <c r="A617">
        <v>27</v>
      </c>
      <c r="B617" t="str" cm="1">
        <f t="array" ref="B617">_xlfn.IFS(Table1[[#This Row],[Age]]&lt;30,"Under 30",Table1[[#This Row],[Age]]&lt;=40,"30-40",Table1[[#This Row],[Age]]&lt;=50,"41-50",Table1[[#This Row],[Age]]&gt;50,"Over 50")</f>
        <v>Under 30</v>
      </c>
      <c r="C617" t="s">
        <v>43</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t="str" cm="1">
        <f t="array" ref="AH617">_xlfn.IFS(Table1[[#This Row],[YearsAtCompany]]&lt;=2,"0-2 years",Table1[[#This Row],[YearsAtCompany]]&lt;=5,"3-5 years",Table1[[#This Row],[YearsAtCompany]]&lt;=10,"6-10 years",Table1[[#This Row],[YearsAtCompany]]&gt;10,"10+ years")</f>
        <v>0-2 years</v>
      </c>
      <c r="AI617">
        <v>0</v>
      </c>
      <c r="AJ617">
        <v>0</v>
      </c>
      <c r="AK617">
        <v>0</v>
      </c>
      <c r="AL617" t="str" cm="1">
        <f t="array" ref="AL617">_xlfn.IFS(Table1[[#This Row],[JobSatisfaction]]=1,"Low",Table1[[#This Row],[JobSatisfaction]]=2,"Medium",Table1[[#This Row],[JobSatisfaction]]=3,"High",Table1[[#This Row],[JobSatisfaction]]=4,"Very High")</f>
        <v>Very High</v>
      </c>
      <c r="AM617">
        <f>IF(Table1[[#This Row],[Attrition]]="Yes",1,0)</f>
        <v>0</v>
      </c>
    </row>
    <row r="618" spans="1:39" ht="13.8" x14ac:dyDescent="0.25">
      <c r="A618">
        <v>51</v>
      </c>
      <c r="B618" t="str" cm="1">
        <f t="array" ref="B618">_xlfn.IFS(Table1[[#This Row],[Age]]&lt;30,"Under 30",Table1[[#This Row],[Age]]&lt;=40,"30-40",Table1[[#This Row],[Age]]&lt;=50,"41-50",Table1[[#This Row],[Age]]&gt;50,"Over 50")</f>
        <v>Over 50</v>
      </c>
      <c r="C618" t="s">
        <v>43</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t="str" cm="1">
        <f t="array" ref="AH618">_xlfn.IFS(Table1[[#This Row],[YearsAtCompany]]&lt;=2,"0-2 years",Table1[[#This Row],[YearsAtCompany]]&lt;=5,"3-5 years",Table1[[#This Row],[YearsAtCompany]]&lt;=10,"6-10 years",Table1[[#This Row],[YearsAtCompany]]&gt;10,"10+ years")</f>
        <v>10+ years</v>
      </c>
      <c r="AI618">
        <v>6</v>
      </c>
      <c r="AJ618">
        <v>4</v>
      </c>
      <c r="AK618">
        <v>17</v>
      </c>
      <c r="AL618" t="str" cm="1">
        <f t="array" ref="AL618">_xlfn.IFS(Table1[[#This Row],[JobSatisfaction]]=1,"Low",Table1[[#This Row],[JobSatisfaction]]=2,"Medium",Table1[[#This Row],[JobSatisfaction]]=3,"High",Table1[[#This Row],[JobSatisfaction]]=4,"Very High")</f>
        <v>High</v>
      </c>
      <c r="AM618">
        <f>IF(Table1[[#This Row],[Attrition]]="Yes",1,0)</f>
        <v>0</v>
      </c>
    </row>
    <row r="619" spans="1:39" ht="13.8" x14ac:dyDescent="0.25">
      <c r="A619">
        <v>44</v>
      </c>
      <c r="B619" t="str" cm="1">
        <f t="array" ref="B619">_xlfn.IFS(Table1[[#This Row],[Age]]&lt;30,"Under 30",Table1[[#This Row],[Age]]&lt;=40,"30-40",Table1[[#This Row],[Age]]&lt;=50,"41-50",Table1[[#This Row],[Age]]&gt;50,"Over 50")</f>
        <v>41-50</v>
      </c>
      <c r="C619" t="s">
        <v>43</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t="str" cm="1">
        <f t="array" ref="AH619">_xlfn.IFS(Table1[[#This Row],[YearsAtCompany]]&lt;=2,"0-2 years",Table1[[#This Row],[YearsAtCompany]]&lt;=5,"3-5 years",Table1[[#This Row],[YearsAtCompany]]&lt;=10,"6-10 years",Table1[[#This Row],[YearsAtCompany]]&gt;10,"10+ years")</f>
        <v>3-5 years</v>
      </c>
      <c r="AI619">
        <v>2</v>
      </c>
      <c r="AJ619">
        <v>2</v>
      </c>
      <c r="AK619">
        <v>3</v>
      </c>
      <c r="AL619" t="str" cm="1">
        <f t="array" ref="AL619">_xlfn.IFS(Table1[[#This Row],[JobSatisfaction]]=1,"Low",Table1[[#This Row],[JobSatisfaction]]=2,"Medium",Table1[[#This Row],[JobSatisfaction]]=3,"High",Table1[[#This Row],[JobSatisfaction]]=4,"Very High")</f>
        <v>Medium</v>
      </c>
      <c r="AM619">
        <f>IF(Table1[[#This Row],[Attrition]]="Yes",1,0)</f>
        <v>0</v>
      </c>
    </row>
    <row r="620" spans="1:39" ht="13.8" x14ac:dyDescent="0.25">
      <c r="A620">
        <v>25</v>
      </c>
      <c r="B620" t="str" cm="1">
        <f t="array" ref="B620">_xlfn.IFS(Table1[[#This Row],[Age]]&lt;30,"Under 30",Table1[[#This Row],[Age]]&lt;=40,"30-40",Table1[[#This Row],[Age]]&lt;=50,"41-50",Table1[[#This Row],[Age]]&gt;50,"Over 50")</f>
        <v>Under 30</v>
      </c>
      <c r="C620" t="s">
        <v>43</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t="str" cm="1">
        <f t="array" ref="AH620">_xlfn.IFS(Table1[[#This Row],[YearsAtCompany]]&lt;=2,"0-2 years",Table1[[#This Row],[YearsAtCompany]]&lt;=5,"3-5 years",Table1[[#This Row],[YearsAtCompany]]&lt;=10,"6-10 years",Table1[[#This Row],[YearsAtCompany]]&gt;10,"10+ years")</f>
        <v>3-5 years</v>
      </c>
      <c r="AI620">
        <v>3</v>
      </c>
      <c r="AJ620">
        <v>0</v>
      </c>
      <c r="AK620">
        <v>1</v>
      </c>
      <c r="AL620" t="str" cm="1">
        <f t="array" ref="AL620">_xlfn.IFS(Table1[[#This Row],[JobSatisfaction]]=1,"Low",Table1[[#This Row],[JobSatisfaction]]=2,"Medium",Table1[[#This Row],[JobSatisfaction]]=3,"High",Table1[[#This Row],[JobSatisfaction]]=4,"Very High")</f>
        <v>Low</v>
      </c>
      <c r="AM620">
        <f>IF(Table1[[#This Row],[Attrition]]="Yes",1,0)</f>
        <v>0</v>
      </c>
    </row>
    <row r="621" spans="1:39" ht="13.8" x14ac:dyDescent="0.25">
      <c r="A621">
        <v>33</v>
      </c>
      <c r="B621" t="str" cm="1">
        <f t="array" ref="B621">_xlfn.IFS(Table1[[#This Row],[Age]]&lt;30,"Under 30",Table1[[#This Row],[Age]]&lt;=40,"30-40",Table1[[#This Row],[Age]]&lt;=50,"41-50",Table1[[#This Row],[Age]]&gt;50,"Over 50")</f>
        <v>30-40</v>
      </c>
      <c r="C621" t="s">
        <v>43</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t="str" cm="1">
        <f t="array" ref="AH621">_xlfn.IFS(Table1[[#This Row],[YearsAtCompany]]&lt;=2,"0-2 years",Table1[[#This Row],[YearsAtCompany]]&lt;=5,"3-5 years",Table1[[#This Row],[YearsAtCompany]]&lt;=10,"6-10 years",Table1[[#This Row],[YearsAtCompany]]&gt;10,"10+ years")</f>
        <v>6-10 years</v>
      </c>
      <c r="AI621">
        <v>8</v>
      </c>
      <c r="AJ621">
        <v>0</v>
      </c>
      <c r="AK621">
        <v>8</v>
      </c>
      <c r="AL621" t="str" cm="1">
        <f t="array" ref="AL621">_xlfn.IFS(Table1[[#This Row],[JobSatisfaction]]=1,"Low",Table1[[#This Row],[JobSatisfaction]]=2,"Medium",Table1[[#This Row],[JobSatisfaction]]=3,"High",Table1[[#This Row],[JobSatisfaction]]=4,"Very High")</f>
        <v>Low</v>
      </c>
      <c r="AM621">
        <f>IF(Table1[[#This Row],[Attrition]]="Yes",1,0)</f>
        <v>0</v>
      </c>
    </row>
    <row r="622" spans="1:39" ht="13.8" x14ac:dyDescent="0.25">
      <c r="A622">
        <v>35</v>
      </c>
      <c r="B622" t="str" cm="1">
        <f t="array" ref="B622">_xlfn.IFS(Table1[[#This Row],[Age]]&lt;30,"Under 30",Table1[[#This Row],[Age]]&lt;=40,"30-40",Table1[[#This Row],[Age]]&lt;=50,"41-50",Table1[[#This Row],[Age]]&gt;50,"Over 50")</f>
        <v>30-40</v>
      </c>
      <c r="C622" t="s">
        <v>43</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t="str" cm="1">
        <f t="array" ref="AH622">_xlfn.IFS(Table1[[#This Row],[YearsAtCompany]]&lt;=2,"0-2 years",Table1[[#This Row],[YearsAtCompany]]&lt;=5,"3-5 years",Table1[[#This Row],[YearsAtCompany]]&lt;=10,"6-10 years",Table1[[#This Row],[YearsAtCompany]]&gt;10,"10+ years")</f>
        <v>6-10 years</v>
      </c>
      <c r="AI622">
        <v>5</v>
      </c>
      <c r="AJ622">
        <v>1</v>
      </c>
      <c r="AK622">
        <v>1</v>
      </c>
      <c r="AL622" t="str" cm="1">
        <f t="array" ref="AL622">_xlfn.IFS(Table1[[#This Row],[JobSatisfaction]]=1,"Low",Table1[[#This Row],[JobSatisfaction]]=2,"Medium",Table1[[#This Row],[JobSatisfaction]]=3,"High",Table1[[#This Row],[JobSatisfaction]]=4,"Very High")</f>
        <v>Low</v>
      </c>
      <c r="AM622">
        <f>IF(Table1[[#This Row],[Attrition]]="Yes",1,0)</f>
        <v>0</v>
      </c>
    </row>
    <row r="623" spans="1:39" ht="13.8" x14ac:dyDescent="0.25">
      <c r="A623">
        <v>36</v>
      </c>
      <c r="B623" t="str" cm="1">
        <f t="array" ref="B623">_xlfn.IFS(Table1[[#This Row],[Age]]&lt;30,"Under 30",Table1[[#This Row],[Age]]&lt;=40,"30-40",Table1[[#This Row],[Age]]&lt;=50,"41-50",Table1[[#This Row],[Age]]&gt;50,"Over 50")</f>
        <v>30-40</v>
      </c>
      <c r="C623" t="s">
        <v>43</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t="str" cm="1">
        <f t="array" ref="AH623">_xlfn.IFS(Table1[[#This Row],[YearsAtCompany]]&lt;=2,"0-2 years",Table1[[#This Row],[YearsAtCompany]]&lt;=5,"3-5 years",Table1[[#This Row],[YearsAtCompany]]&lt;=10,"6-10 years",Table1[[#This Row],[YearsAtCompany]]&gt;10,"10+ years")</f>
        <v>10+ years</v>
      </c>
      <c r="AI623">
        <v>14</v>
      </c>
      <c r="AJ623">
        <v>4</v>
      </c>
      <c r="AK623">
        <v>11</v>
      </c>
      <c r="AL623" t="str" cm="1">
        <f t="array" ref="AL623">_xlfn.IFS(Table1[[#This Row],[JobSatisfaction]]=1,"Low",Table1[[#This Row],[JobSatisfaction]]=2,"Medium",Table1[[#This Row],[JobSatisfaction]]=3,"High",Table1[[#This Row],[JobSatisfaction]]=4,"Very High")</f>
        <v>Very High</v>
      </c>
      <c r="AM623">
        <f>IF(Table1[[#This Row],[Attrition]]="Yes",1,0)</f>
        <v>0</v>
      </c>
    </row>
    <row r="624" spans="1:39" ht="13.8" x14ac:dyDescent="0.25">
      <c r="A624">
        <v>32</v>
      </c>
      <c r="B624" t="str" cm="1">
        <f t="array" ref="B624">_xlfn.IFS(Table1[[#This Row],[Age]]&lt;30,"Under 30",Table1[[#This Row],[Age]]&lt;=40,"30-40",Table1[[#This Row],[Age]]&lt;=50,"41-50",Table1[[#This Row],[Age]]&gt;50,"Over 50")</f>
        <v>30-40</v>
      </c>
      <c r="C624" t="s">
        <v>43</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t="str" cm="1">
        <f t="array" ref="AH624">_xlfn.IFS(Table1[[#This Row],[YearsAtCompany]]&lt;=2,"0-2 years",Table1[[#This Row],[YearsAtCompany]]&lt;=5,"3-5 years",Table1[[#This Row],[YearsAtCompany]]&lt;=10,"6-10 years",Table1[[#This Row],[YearsAtCompany]]&gt;10,"10+ years")</f>
        <v>3-5 years</v>
      </c>
      <c r="AI624">
        <v>2</v>
      </c>
      <c r="AJ624">
        <v>0</v>
      </c>
      <c r="AK624">
        <v>3</v>
      </c>
      <c r="AL624" t="str" cm="1">
        <f t="array" ref="AL624">_xlfn.IFS(Table1[[#This Row],[JobSatisfaction]]=1,"Low",Table1[[#This Row],[JobSatisfaction]]=2,"Medium",Table1[[#This Row],[JobSatisfaction]]=3,"High",Table1[[#This Row],[JobSatisfaction]]=4,"Very High")</f>
        <v>Very High</v>
      </c>
      <c r="AM624">
        <f>IF(Table1[[#This Row],[Attrition]]="Yes",1,0)</f>
        <v>0</v>
      </c>
    </row>
    <row r="625" spans="1:39" ht="13.8" x14ac:dyDescent="0.25">
      <c r="A625">
        <v>30</v>
      </c>
      <c r="B625" t="str" cm="1">
        <f t="array" ref="B625">_xlfn.IFS(Table1[[#This Row],[Age]]&lt;30,"Under 30",Table1[[#This Row],[Age]]&lt;=40,"30-40",Table1[[#This Row],[Age]]&lt;=50,"41-50",Table1[[#This Row],[Age]]&gt;50,"Over 50")</f>
        <v>30-40</v>
      </c>
      <c r="C625" t="s">
        <v>43</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t="str" cm="1">
        <f t="array" ref="AH625">_xlfn.IFS(Table1[[#This Row],[YearsAtCompany]]&lt;=2,"0-2 years",Table1[[#This Row],[YearsAtCompany]]&lt;=5,"3-5 years",Table1[[#This Row],[YearsAtCompany]]&lt;=10,"6-10 years",Table1[[#This Row],[YearsAtCompany]]&gt;10,"10+ years")</f>
        <v>3-5 years</v>
      </c>
      <c r="AI625">
        <v>4</v>
      </c>
      <c r="AJ625">
        <v>0</v>
      </c>
      <c r="AK625">
        <v>3</v>
      </c>
      <c r="AL625" t="str" cm="1">
        <f t="array" ref="AL625">_xlfn.IFS(Table1[[#This Row],[JobSatisfaction]]=1,"Low",Table1[[#This Row],[JobSatisfaction]]=2,"Medium",Table1[[#This Row],[JobSatisfaction]]=3,"High",Table1[[#This Row],[JobSatisfaction]]=4,"Very High")</f>
        <v>Very High</v>
      </c>
      <c r="AM625">
        <f>IF(Table1[[#This Row],[Attrition]]="Yes",1,0)</f>
        <v>0</v>
      </c>
    </row>
    <row r="626" spans="1:39" ht="13.8" x14ac:dyDescent="0.25">
      <c r="A626">
        <v>53</v>
      </c>
      <c r="B626" t="str" cm="1">
        <f t="array" ref="B626">_xlfn.IFS(Table1[[#This Row],[Age]]&lt;30,"Under 30",Table1[[#This Row],[Age]]&lt;=40,"30-40",Table1[[#This Row],[Age]]&lt;=50,"41-50",Table1[[#This Row],[Age]]&gt;50,"Over 50")</f>
        <v>Over 50</v>
      </c>
      <c r="C626" t="s">
        <v>43</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t="str" cm="1">
        <f t="array" ref="AH626">_xlfn.IFS(Table1[[#This Row],[YearsAtCompany]]&lt;=2,"0-2 years",Table1[[#This Row],[YearsAtCompany]]&lt;=5,"3-5 years",Table1[[#This Row],[YearsAtCompany]]&lt;=10,"6-10 years",Table1[[#This Row],[YearsAtCompany]]&gt;10,"10+ years")</f>
        <v>3-5 years</v>
      </c>
      <c r="AI626">
        <v>2</v>
      </c>
      <c r="AJ626">
        <v>0</v>
      </c>
      <c r="AK626">
        <v>4</v>
      </c>
      <c r="AL626" t="str" cm="1">
        <f t="array" ref="AL626">_xlfn.IFS(Table1[[#This Row],[JobSatisfaction]]=1,"Low",Table1[[#This Row],[JobSatisfaction]]=2,"Medium",Table1[[#This Row],[JobSatisfaction]]=3,"High",Table1[[#This Row],[JobSatisfaction]]=4,"Very High")</f>
        <v>Very High</v>
      </c>
      <c r="AM626">
        <f>IF(Table1[[#This Row],[Attrition]]="Yes",1,0)</f>
        <v>0</v>
      </c>
    </row>
    <row r="627" spans="1:39" ht="13.8" x14ac:dyDescent="0.25">
      <c r="A627">
        <v>45</v>
      </c>
      <c r="B627" t="str" cm="1">
        <f t="array" ref="B627">_xlfn.IFS(Table1[[#This Row],[Age]]&lt;30,"Under 30",Table1[[#This Row],[Age]]&lt;=40,"30-40",Table1[[#This Row],[Age]]&lt;=50,"41-50",Table1[[#This Row],[Age]]&gt;50,"Over 50")</f>
        <v>41-50</v>
      </c>
      <c r="C627" t="s">
        <v>43</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t="str" cm="1">
        <f t="array" ref="AH627">_xlfn.IFS(Table1[[#This Row],[YearsAtCompany]]&lt;=2,"0-2 years",Table1[[#This Row],[YearsAtCompany]]&lt;=5,"3-5 years",Table1[[#This Row],[YearsAtCompany]]&lt;=10,"6-10 years",Table1[[#This Row],[YearsAtCompany]]&gt;10,"10+ years")</f>
        <v>3-5 years</v>
      </c>
      <c r="AI627">
        <v>4</v>
      </c>
      <c r="AJ627">
        <v>0</v>
      </c>
      <c r="AK627">
        <v>2</v>
      </c>
      <c r="AL627" t="str" cm="1">
        <f t="array" ref="AL627">_xlfn.IFS(Table1[[#This Row],[JobSatisfaction]]=1,"Low",Table1[[#This Row],[JobSatisfaction]]=2,"Medium",Table1[[#This Row],[JobSatisfaction]]=3,"High",Table1[[#This Row],[JobSatisfaction]]=4,"Very High")</f>
        <v>Low</v>
      </c>
      <c r="AM627">
        <f>IF(Table1[[#This Row],[Attrition]]="Yes",1,0)</f>
        <v>0</v>
      </c>
    </row>
    <row r="628" spans="1:39" ht="13.8" x14ac:dyDescent="0.25">
      <c r="A628">
        <v>32</v>
      </c>
      <c r="B628" t="str" cm="1">
        <f t="array" ref="B628">_xlfn.IFS(Table1[[#This Row],[Age]]&lt;30,"Under 30",Table1[[#This Row],[Age]]&lt;=40,"30-40",Table1[[#This Row],[Age]]&lt;=50,"41-50",Table1[[#This Row],[Age]]&gt;50,"Over 50")</f>
        <v>30-40</v>
      </c>
      <c r="C628" t="s">
        <v>43</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t="str" cm="1">
        <f t="array" ref="AH628">_xlfn.IFS(Table1[[#This Row],[YearsAtCompany]]&lt;=2,"0-2 years",Table1[[#This Row],[YearsAtCompany]]&lt;=5,"3-5 years",Table1[[#This Row],[YearsAtCompany]]&lt;=10,"6-10 years",Table1[[#This Row],[YearsAtCompany]]&gt;10,"10+ years")</f>
        <v>3-5 years</v>
      </c>
      <c r="AI628">
        <v>3</v>
      </c>
      <c r="AJ628">
        <v>1</v>
      </c>
      <c r="AK628">
        <v>3</v>
      </c>
      <c r="AL628" t="str" cm="1">
        <f t="array" ref="AL628">_xlfn.IFS(Table1[[#This Row],[JobSatisfaction]]=1,"Low",Table1[[#This Row],[JobSatisfaction]]=2,"Medium",Table1[[#This Row],[JobSatisfaction]]=3,"High",Table1[[#This Row],[JobSatisfaction]]=4,"Very High")</f>
        <v>High</v>
      </c>
      <c r="AM628">
        <f>IF(Table1[[#This Row],[Attrition]]="Yes",1,0)</f>
        <v>0</v>
      </c>
    </row>
    <row r="629" spans="1:39" ht="13.8" x14ac:dyDescent="0.25">
      <c r="A629">
        <v>52</v>
      </c>
      <c r="B629" t="str" cm="1">
        <f t="array" ref="B629">_xlfn.IFS(Table1[[#This Row],[Age]]&lt;30,"Under 30",Table1[[#This Row],[Age]]&lt;=40,"30-40",Table1[[#This Row],[Age]]&lt;=50,"41-50",Table1[[#This Row],[Age]]&gt;50,"Over 50")</f>
        <v>Over 50</v>
      </c>
      <c r="C629" t="s">
        <v>43</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t="str" cm="1">
        <f t="array" ref="AH629">_xlfn.IFS(Table1[[#This Row],[YearsAtCompany]]&lt;=2,"0-2 years",Table1[[#This Row],[YearsAtCompany]]&lt;=5,"3-5 years",Table1[[#This Row],[YearsAtCompany]]&lt;=10,"6-10 years",Table1[[#This Row],[YearsAtCompany]]&gt;10,"10+ years")</f>
        <v>6-10 years</v>
      </c>
      <c r="AI629">
        <v>8</v>
      </c>
      <c r="AJ629">
        <v>0</v>
      </c>
      <c r="AK629">
        <v>0</v>
      </c>
      <c r="AL629" t="str" cm="1">
        <f t="array" ref="AL629">_xlfn.IFS(Table1[[#This Row],[JobSatisfaction]]=1,"Low",Table1[[#This Row],[JobSatisfaction]]=2,"Medium",Table1[[#This Row],[JobSatisfaction]]=3,"High",Table1[[#This Row],[JobSatisfaction]]=4,"Very High")</f>
        <v>Very High</v>
      </c>
      <c r="AM629">
        <f>IF(Table1[[#This Row],[Attrition]]="Yes",1,0)</f>
        <v>0</v>
      </c>
    </row>
    <row r="630" spans="1:39" ht="13.8" x14ac:dyDescent="0.25">
      <c r="A630">
        <v>37</v>
      </c>
      <c r="B630" t="str" cm="1">
        <f t="array" ref="B630">_xlfn.IFS(Table1[[#This Row],[Age]]&lt;30,"Under 30",Table1[[#This Row],[Age]]&lt;=40,"30-40",Table1[[#This Row],[Age]]&lt;=50,"41-50",Table1[[#This Row],[Age]]&gt;50,"Over 50")</f>
        <v>30-40</v>
      </c>
      <c r="C630" t="s">
        <v>43</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t="str" cm="1">
        <f t="array" ref="AH630">_xlfn.IFS(Table1[[#This Row],[YearsAtCompany]]&lt;=2,"0-2 years",Table1[[#This Row],[YearsAtCompany]]&lt;=5,"3-5 years",Table1[[#This Row],[YearsAtCompany]]&lt;=10,"6-10 years",Table1[[#This Row],[YearsAtCompany]]&gt;10,"10+ years")</f>
        <v>0-2 years</v>
      </c>
      <c r="AI630">
        <v>0</v>
      </c>
      <c r="AJ630">
        <v>0</v>
      </c>
      <c r="AK630">
        <v>0</v>
      </c>
      <c r="AL630" t="str" cm="1">
        <f t="array" ref="AL630">_xlfn.IFS(Table1[[#This Row],[JobSatisfaction]]=1,"Low",Table1[[#This Row],[JobSatisfaction]]=2,"Medium",Table1[[#This Row],[JobSatisfaction]]=3,"High",Table1[[#This Row],[JobSatisfaction]]=4,"Very High")</f>
        <v>High</v>
      </c>
      <c r="AM630">
        <f>IF(Table1[[#This Row],[Attrition]]="Yes",1,0)</f>
        <v>0</v>
      </c>
    </row>
    <row r="631" spans="1:39" ht="13.8" x14ac:dyDescent="0.25">
      <c r="A631">
        <v>28</v>
      </c>
      <c r="B631" t="str" cm="1">
        <f t="array" ref="B631">_xlfn.IFS(Table1[[#This Row],[Age]]&lt;30,"Under 30",Table1[[#This Row],[Age]]&lt;=40,"30-40",Table1[[#This Row],[Age]]&lt;=50,"41-50",Table1[[#This Row],[Age]]&gt;50,"Over 50")</f>
        <v>Under 30</v>
      </c>
      <c r="C631" t="s">
        <v>43</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t="str" cm="1">
        <f t="array" ref="AH631">_xlfn.IFS(Table1[[#This Row],[YearsAtCompany]]&lt;=2,"0-2 years",Table1[[#This Row],[YearsAtCompany]]&lt;=5,"3-5 years",Table1[[#This Row],[YearsAtCompany]]&lt;=10,"6-10 years",Table1[[#This Row],[YearsAtCompany]]&gt;10,"10+ years")</f>
        <v>3-5 years</v>
      </c>
      <c r="AI631">
        <v>1</v>
      </c>
      <c r="AJ631">
        <v>0</v>
      </c>
      <c r="AK631">
        <v>4</v>
      </c>
      <c r="AL631" t="str" cm="1">
        <f t="array" ref="AL631">_xlfn.IFS(Table1[[#This Row],[JobSatisfaction]]=1,"Low",Table1[[#This Row],[JobSatisfaction]]=2,"Medium",Table1[[#This Row],[JobSatisfaction]]=3,"High",Table1[[#This Row],[JobSatisfaction]]=4,"Very High")</f>
        <v>Very High</v>
      </c>
      <c r="AM631">
        <f>IF(Table1[[#This Row],[Attrition]]="Yes",1,0)</f>
        <v>0</v>
      </c>
    </row>
    <row r="632" spans="1:39" ht="13.8" x14ac:dyDescent="0.25">
      <c r="A632">
        <v>22</v>
      </c>
      <c r="B632" t="str" cm="1">
        <f t="array" ref="B632">_xlfn.IFS(Table1[[#This Row],[Age]]&lt;30,"Under 30",Table1[[#This Row],[Age]]&lt;=40,"30-40",Table1[[#This Row],[Age]]&lt;=50,"41-50",Table1[[#This Row],[Age]]&gt;50,"Over 50")</f>
        <v>Under 30</v>
      </c>
      <c r="C632" t="s">
        <v>43</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t="str" cm="1">
        <f t="array" ref="AH632">_xlfn.IFS(Table1[[#This Row],[YearsAtCompany]]&lt;=2,"0-2 years",Table1[[#This Row],[YearsAtCompany]]&lt;=5,"3-5 years",Table1[[#This Row],[YearsAtCompany]]&lt;=10,"6-10 years",Table1[[#This Row],[YearsAtCompany]]&gt;10,"10+ years")</f>
        <v>0-2 years</v>
      </c>
      <c r="AI632">
        <v>2</v>
      </c>
      <c r="AJ632">
        <v>2</v>
      </c>
      <c r="AK632">
        <v>2</v>
      </c>
      <c r="AL632" t="str" cm="1">
        <f t="array" ref="AL632">_xlfn.IFS(Table1[[#This Row],[JobSatisfaction]]=1,"Low",Table1[[#This Row],[JobSatisfaction]]=2,"Medium",Table1[[#This Row],[JobSatisfaction]]=3,"High",Table1[[#This Row],[JobSatisfaction]]=4,"Very High")</f>
        <v>Very High</v>
      </c>
      <c r="AM632">
        <f>IF(Table1[[#This Row],[Attrition]]="Yes",1,0)</f>
        <v>0</v>
      </c>
    </row>
    <row r="633" spans="1:39" ht="13.8" x14ac:dyDescent="0.25">
      <c r="A633">
        <v>44</v>
      </c>
      <c r="B633" t="str" cm="1">
        <f t="array" ref="B633">_xlfn.IFS(Table1[[#This Row],[Age]]&lt;30,"Under 30",Table1[[#This Row],[Age]]&lt;=40,"30-40",Table1[[#This Row],[Age]]&lt;=50,"41-50",Table1[[#This Row],[Age]]&gt;50,"Over 50")</f>
        <v>41-50</v>
      </c>
      <c r="C633" t="s">
        <v>43</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t="str" cm="1">
        <f t="array" ref="AH633">_xlfn.IFS(Table1[[#This Row],[YearsAtCompany]]&lt;=2,"0-2 years",Table1[[#This Row],[YearsAtCompany]]&lt;=5,"3-5 years",Table1[[#This Row],[YearsAtCompany]]&lt;=10,"6-10 years",Table1[[#This Row],[YearsAtCompany]]&gt;10,"10+ years")</f>
        <v>3-5 years</v>
      </c>
      <c r="AI633">
        <v>2</v>
      </c>
      <c r="AJ633">
        <v>0</v>
      </c>
      <c r="AK633">
        <v>2</v>
      </c>
      <c r="AL633" t="str" cm="1">
        <f t="array" ref="AL633">_xlfn.IFS(Table1[[#This Row],[JobSatisfaction]]=1,"Low",Table1[[#This Row],[JobSatisfaction]]=2,"Medium",Table1[[#This Row],[JobSatisfaction]]=3,"High",Table1[[#This Row],[JobSatisfaction]]=4,"Very High")</f>
        <v>Very High</v>
      </c>
      <c r="AM633">
        <f>IF(Table1[[#This Row],[Attrition]]="Yes",1,0)</f>
        <v>0</v>
      </c>
    </row>
    <row r="634" spans="1:39" ht="13.8" x14ac:dyDescent="0.25">
      <c r="A634">
        <v>42</v>
      </c>
      <c r="B634" t="str" cm="1">
        <f t="array" ref="B634">_xlfn.IFS(Table1[[#This Row],[Age]]&lt;30,"Under 30",Table1[[#This Row],[Age]]&lt;=40,"30-40",Table1[[#This Row],[Age]]&lt;=50,"41-50",Table1[[#This Row],[Age]]&gt;50,"Over 50")</f>
        <v>41-50</v>
      </c>
      <c r="C634" t="s">
        <v>43</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t="str" cm="1">
        <f t="array" ref="AH634">_xlfn.IFS(Table1[[#This Row],[YearsAtCompany]]&lt;=2,"0-2 years",Table1[[#This Row],[YearsAtCompany]]&lt;=5,"3-5 years",Table1[[#This Row],[YearsAtCompany]]&lt;=10,"6-10 years",Table1[[#This Row],[YearsAtCompany]]&gt;10,"10+ years")</f>
        <v>0-2 years</v>
      </c>
      <c r="AI634">
        <v>1</v>
      </c>
      <c r="AJ634">
        <v>2</v>
      </c>
      <c r="AK634">
        <v>2</v>
      </c>
      <c r="AL634" t="str" cm="1">
        <f t="array" ref="AL634">_xlfn.IFS(Table1[[#This Row],[JobSatisfaction]]=1,"Low",Table1[[#This Row],[JobSatisfaction]]=2,"Medium",Table1[[#This Row],[JobSatisfaction]]=3,"High",Table1[[#This Row],[JobSatisfaction]]=4,"Very High")</f>
        <v>Very High</v>
      </c>
      <c r="AM634">
        <f>IF(Table1[[#This Row],[Attrition]]="Yes",1,0)</f>
        <v>0</v>
      </c>
    </row>
    <row r="635" spans="1:39" ht="13.8" x14ac:dyDescent="0.25">
      <c r="A635">
        <v>36</v>
      </c>
      <c r="B635" t="str" cm="1">
        <f t="array" ref="B635">_xlfn.IFS(Table1[[#This Row],[Age]]&lt;30,"Under 30",Table1[[#This Row],[Age]]&lt;=40,"30-40",Table1[[#This Row],[Age]]&lt;=50,"41-50",Table1[[#This Row],[Age]]&gt;50,"Over 50")</f>
        <v>30-40</v>
      </c>
      <c r="C635" t="s">
        <v>43</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t="str" cm="1">
        <f t="array" ref="AH635">_xlfn.IFS(Table1[[#This Row],[YearsAtCompany]]&lt;=2,"0-2 years",Table1[[#This Row],[YearsAtCompany]]&lt;=5,"3-5 years",Table1[[#This Row],[YearsAtCompany]]&lt;=10,"6-10 years",Table1[[#This Row],[YearsAtCompany]]&gt;10,"10+ years")</f>
        <v>3-5 years</v>
      </c>
      <c r="AI635">
        <v>4</v>
      </c>
      <c r="AJ635">
        <v>0</v>
      </c>
      <c r="AK635">
        <v>3</v>
      </c>
      <c r="AL635" t="str" cm="1">
        <f t="array" ref="AL635">_xlfn.IFS(Table1[[#This Row],[JobSatisfaction]]=1,"Low",Table1[[#This Row],[JobSatisfaction]]=2,"Medium",Table1[[#This Row],[JobSatisfaction]]=3,"High",Table1[[#This Row],[JobSatisfaction]]=4,"Very High")</f>
        <v>Low</v>
      </c>
      <c r="AM635">
        <f>IF(Table1[[#This Row],[Attrition]]="Yes",1,0)</f>
        <v>0</v>
      </c>
    </row>
    <row r="636" spans="1:39" ht="13.8" x14ac:dyDescent="0.25">
      <c r="A636">
        <v>25</v>
      </c>
      <c r="B636" t="str" cm="1">
        <f t="array" ref="B636">_xlfn.IFS(Table1[[#This Row],[Age]]&lt;30,"Under 30",Table1[[#This Row],[Age]]&lt;=40,"30-40",Table1[[#This Row],[Age]]&lt;=50,"41-50",Table1[[#This Row],[Age]]&gt;50,"Over 50")</f>
        <v>Under 30</v>
      </c>
      <c r="C636" t="s">
        <v>43</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t="str" cm="1">
        <f t="array" ref="AH636">_xlfn.IFS(Table1[[#This Row],[YearsAtCompany]]&lt;=2,"0-2 years",Table1[[#This Row],[YearsAtCompany]]&lt;=5,"3-5 years",Table1[[#This Row],[YearsAtCompany]]&lt;=10,"6-10 years",Table1[[#This Row],[YearsAtCompany]]&gt;10,"10+ years")</f>
        <v>3-5 years</v>
      </c>
      <c r="AI636">
        <v>3</v>
      </c>
      <c r="AJ636">
        <v>0</v>
      </c>
      <c r="AK636">
        <v>3</v>
      </c>
      <c r="AL636" t="str" cm="1">
        <f t="array" ref="AL636">_xlfn.IFS(Table1[[#This Row],[JobSatisfaction]]=1,"Low",Table1[[#This Row],[JobSatisfaction]]=2,"Medium",Table1[[#This Row],[JobSatisfaction]]=3,"High",Table1[[#This Row],[JobSatisfaction]]=4,"Very High")</f>
        <v>Low</v>
      </c>
      <c r="AM636">
        <f>IF(Table1[[#This Row],[Attrition]]="Yes",1,0)</f>
        <v>0</v>
      </c>
    </row>
    <row r="637" spans="1:39" ht="13.8" x14ac:dyDescent="0.25">
      <c r="A637">
        <v>35</v>
      </c>
      <c r="B637" t="str" cm="1">
        <f t="array" ref="B637">_xlfn.IFS(Table1[[#This Row],[Age]]&lt;30,"Under 30",Table1[[#This Row],[Age]]&lt;=40,"30-40",Table1[[#This Row],[Age]]&lt;=50,"41-50",Table1[[#This Row],[Age]]&gt;50,"Over 50")</f>
        <v>30-40</v>
      </c>
      <c r="C637" t="s">
        <v>43</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t="str" cm="1">
        <f t="array" ref="AH637">_xlfn.IFS(Table1[[#This Row],[YearsAtCompany]]&lt;=2,"0-2 years",Table1[[#This Row],[YearsAtCompany]]&lt;=5,"3-5 years",Table1[[#This Row],[YearsAtCompany]]&lt;=10,"6-10 years",Table1[[#This Row],[YearsAtCompany]]&gt;10,"10+ years")</f>
        <v>10+ years</v>
      </c>
      <c r="AI637">
        <v>14</v>
      </c>
      <c r="AJ637">
        <v>5</v>
      </c>
      <c r="AK637">
        <v>15</v>
      </c>
      <c r="AL637" t="str" cm="1">
        <f t="array" ref="AL637">_xlfn.IFS(Table1[[#This Row],[JobSatisfaction]]=1,"Low",Table1[[#This Row],[JobSatisfaction]]=2,"Medium",Table1[[#This Row],[JobSatisfaction]]=3,"High",Table1[[#This Row],[JobSatisfaction]]=4,"Very High")</f>
        <v>High</v>
      </c>
      <c r="AM637">
        <f>IF(Table1[[#This Row],[Attrition]]="Yes",1,0)</f>
        <v>0</v>
      </c>
    </row>
    <row r="638" spans="1:39" ht="13.8" x14ac:dyDescent="0.25">
      <c r="A638">
        <v>35</v>
      </c>
      <c r="B638" t="str" cm="1">
        <f t="array" ref="B638">_xlfn.IFS(Table1[[#This Row],[Age]]&lt;30,"Under 30",Table1[[#This Row],[Age]]&lt;=40,"30-40",Table1[[#This Row],[Age]]&lt;=50,"41-50",Table1[[#This Row],[Age]]&gt;50,"Over 50")</f>
        <v>30-40</v>
      </c>
      <c r="C638" t="s">
        <v>35</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t="str" cm="1">
        <f t="array" ref="AH638">_xlfn.IFS(Table1[[#This Row],[YearsAtCompany]]&lt;=2,"0-2 years",Table1[[#This Row],[YearsAtCompany]]&lt;=5,"3-5 years",Table1[[#This Row],[YearsAtCompany]]&lt;=10,"6-10 years",Table1[[#This Row],[YearsAtCompany]]&gt;10,"10+ years")</f>
        <v>6-10 years</v>
      </c>
      <c r="AI638">
        <v>2</v>
      </c>
      <c r="AJ638">
        <v>7</v>
      </c>
      <c r="AK638">
        <v>8</v>
      </c>
      <c r="AL638" t="str" cm="1">
        <f t="array" ref="AL638">_xlfn.IFS(Table1[[#This Row],[JobSatisfaction]]=1,"Low",Table1[[#This Row],[JobSatisfaction]]=2,"Medium",Table1[[#This Row],[JobSatisfaction]]=3,"High",Table1[[#This Row],[JobSatisfaction]]=4,"Very High")</f>
        <v>Medium</v>
      </c>
      <c r="AM638">
        <f>IF(Table1[[#This Row],[Attrition]]="Yes",1,0)</f>
        <v>1</v>
      </c>
    </row>
    <row r="639" spans="1:39" ht="13.8" x14ac:dyDescent="0.25">
      <c r="A639">
        <v>32</v>
      </c>
      <c r="B639" t="str" cm="1">
        <f t="array" ref="B639">_xlfn.IFS(Table1[[#This Row],[Age]]&lt;30,"Under 30",Table1[[#This Row],[Age]]&lt;=40,"30-40",Table1[[#This Row],[Age]]&lt;=50,"41-50",Table1[[#This Row],[Age]]&gt;50,"Over 50")</f>
        <v>30-40</v>
      </c>
      <c r="C639" t="s">
        <v>43</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t="str" cm="1">
        <f t="array" ref="AH639">_xlfn.IFS(Table1[[#This Row],[YearsAtCompany]]&lt;=2,"0-2 years",Table1[[#This Row],[YearsAtCompany]]&lt;=5,"3-5 years",Table1[[#This Row],[YearsAtCompany]]&lt;=10,"6-10 years",Table1[[#This Row],[YearsAtCompany]]&gt;10,"10+ years")</f>
        <v>3-5 years</v>
      </c>
      <c r="AI639">
        <v>0</v>
      </c>
      <c r="AJ639">
        <v>0</v>
      </c>
      <c r="AK639">
        <v>2</v>
      </c>
      <c r="AL639" t="str" cm="1">
        <f t="array" ref="AL639">_xlfn.IFS(Table1[[#This Row],[JobSatisfaction]]=1,"Low",Table1[[#This Row],[JobSatisfaction]]=2,"Medium",Table1[[#This Row],[JobSatisfaction]]=3,"High",Table1[[#This Row],[JobSatisfaction]]=4,"Very High")</f>
        <v>Very High</v>
      </c>
      <c r="AM639">
        <f>IF(Table1[[#This Row],[Attrition]]="Yes",1,0)</f>
        <v>0</v>
      </c>
    </row>
    <row r="640" spans="1:39" ht="13.8" x14ac:dyDescent="0.25">
      <c r="A640">
        <v>25</v>
      </c>
      <c r="B640" t="str" cm="1">
        <f t="array" ref="B640">_xlfn.IFS(Table1[[#This Row],[Age]]&lt;30,"Under 30",Table1[[#This Row],[Age]]&lt;=40,"30-40",Table1[[#This Row],[Age]]&lt;=50,"41-50",Table1[[#This Row],[Age]]&gt;50,"Over 50")</f>
        <v>Under 30</v>
      </c>
      <c r="C640" t="s">
        <v>43</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t="str" cm="1">
        <f t="array" ref="AH640">_xlfn.IFS(Table1[[#This Row],[YearsAtCompany]]&lt;=2,"0-2 years",Table1[[#This Row],[YearsAtCompany]]&lt;=5,"3-5 years",Table1[[#This Row],[YearsAtCompany]]&lt;=10,"6-10 years",Table1[[#This Row],[YearsAtCompany]]&gt;10,"10+ years")</f>
        <v>3-5 years</v>
      </c>
      <c r="AI640">
        <v>2</v>
      </c>
      <c r="AJ640">
        <v>0</v>
      </c>
      <c r="AK640">
        <v>3</v>
      </c>
      <c r="AL640" t="str" cm="1">
        <f t="array" ref="AL640">_xlfn.IFS(Table1[[#This Row],[JobSatisfaction]]=1,"Low",Table1[[#This Row],[JobSatisfaction]]=2,"Medium",Table1[[#This Row],[JobSatisfaction]]=3,"High",Table1[[#This Row],[JobSatisfaction]]=4,"Very High")</f>
        <v>Low</v>
      </c>
      <c r="AM640">
        <f>IF(Table1[[#This Row],[Attrition]]="Yes",1,0)</f>
        <v>0</v>
      </c>
    </row>
    <row r="641" spans="1:39" ht="13.8" x14ac:dyDescent="0.25">
      <c r="A641">
        <v>49</v>
      </c>
      <c r="B641" t="str" cm="1">
        <f t="array" ref="B641">_xlfn.IFS(Table1[[#This Row],[Age]]&lt;30,"Under 30",Table1[[#This Row],[Age]]&lt;=40,"30-40",Table1[[#This Row],[Age]]&lt;=50,"41-50",Table1[[#This Row],[Age]]&gt;50,"Over 50")</f>
        <v>41-50</v>
      </c>
      <c r="C641" t="s">
        <v>43</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t="str" cm="1">
        <f t="array" ref="AH641">_xlfn.IFS(Table1[[#This Row],[YearsAtCompany]]&lt;=2,"0-2 years",Table1[[#This Row],[YearsAtCompany]]&lt;=5,"3-5 years",Table1[[#This Row],[YearsAtCompany]]&lt;=10,"6-10 years",Table1[[#This Row],[YearsAtCompany]]&gt;10,"10+ years")</f>
        <v>3-5 years</v>
      </c>
      <c r="AI641">
        <v>2</v>
      </c>
      <c r="AJ641">
        <v>0</v>
      </c>
      <c r="AK641">
        <v>2</v>
      </c>
      <c r="AL641" t="str" cm="1">
        <f t="array" ref="AL641">_xlfn.IFS(Table1[[#This Row],[JobSatisfaction]]=1,"Low",Table1[[#This Row],[JobSatisfaction]]=2,"Medium",Table1[[#This Row],[JobSatisfaction]]=3,"High",Table1[[#This Row],[JobSatisfaction]]=4,"Very High")</f>
        <v>Low</v>
      </c>
      <c r="AM641">
        <f>IF(Table1[[#This Row],[Attrition]]="Yes",1,0)</f>
        <v>0</v>
      </c>
    </row>
    <row r="642" spans="1:39" ht="13.8" x14ac:dyDescent="0.25">
      <c r="A642">
        <v>24</v>
      </c>
      <c r="B642" t="str" cm="1">
        <f t="array" ref="B642">_xlfn.IFS(Table1[[#This Row],[Age]]&lt;30,"Under 30",Table1[[#This Row],[Age]]&lt;=40,"30-40",Table1[[#This Row],[Age]]&lt;=50,"41-50",Table1[[#This Row],[Age]]&gt;50,"Over 50")</f>
        <v>Under 30</v>
      </c>
      <c r="C642" t="s">
        <v>43</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t="str" cm="1">
        <f t="array" ref="AH642">_xlfn.IFS(Table1[[#This Row],[YearsAtCompany]]&lt;=2,"0-2 years",Table1[[#This Row],[YearsAtCompany]]&lt;=5,"3-5 years",Table1[[#This Row],[YearsAtCompany]]&lt;=10,"6-10 years",Table1[[#This Row],[YearsAtCompany]]&gt;10,"10+ years")</f>
        <v>3-5 years</v>
      </c>
      <c r="AI642">
        <v>2</v>
      </c>
      <c r="AJ642">
        <v>3</v>
      </c>
      <c r="AK642">
        <v>4</v>
      </c>
      <c r="AL642" t="str" cm="1">
        <f t="array" ref="AL642">_xlfn.IFS(Table1[[#This Row],[JobSatisfaction]]=1,"Low",Table1[[#This Row],[JobSatisfaction]]=2,"Medium",Table1[[#This Row],[JobSatisfaction]]=3,"High",Table1[[#This Row],[JobSatisfaction]]=4,"Very High")</f>
        <v>Very High</v>
      </c>
      <c r="AM642">
        <f>IF(Table1[[#This Row],[Attrition]]="Yes",1,0)</f>
        <v>0</v>
      </c>
    </row>
    <row r="643" spans="1:39" ht="13.8" x14ac:dyDescent="0.25">
      <c r="A643">
        <v>32</v>
      </c>
      <c r="B643" t="str" cm="1">
        <f t="array" ref="B643">_xlfn.IFS(Table1[[#This Row],[Age]]&lt;30,"Under 30",Table1[[#This Row],[Age]]&lt;=40,"30-40",Table1[[#This Row],[Age]]&lt;=50,"41-50",Table1[[#This Row],[Age]]&gt;50,"Over 50")</f>
        <v>30-40</v>
      </c>
      <c r="C643" t="s">
        <v>43</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t="str" cm="1">
        <f t="array" ref="AH643">_xlfn.IFS(Table1[[#This Row],[YearsAtCompany]]&lt;=2,"0-2 years",Table1[[#This Row],[YearsAtCompany]]&lt;=5,"3-5 years",Table1[[#This Row],[YearsAtCompany]]&lt;=10,"6-10 years",Table1[[#This Row],[YearsAtCompany]]&gt;10,"10+ years")</f>
        <v>6-10 years</v>
      </c>
      <c r="AI643">
        <v>8</v>
      </c>
      <c r="AJ643">
        <v>5</v>
      </c>
      <c r="AK643">
        <v>3</v>
      </c>
      <c r="AL643" t="str" cm="1">
        <f t="array" ref="AL643">_xlfn.IFS(Table1[[#This Row],[JobSatisfaction]]=1,"Low",Table1[[#This Row],[JobSatisfaction]]=2,"Medium",Table1[[#This Row],[JobSatisfaction]]=3,"High",Table1[[#This Row],[JobSatisfaction]]=4,"Very High")</f>
        <v>Medium</v>
      </c>
      <c r="AM643">
        <f>IF(Table1[[#This Row],[Attrition]]="Yes",1,0)</f>
        <v>0</v>
      </c>
    </row>
    <row r="644" spans="1:39" ht="13.8" x14ac:dyDescent="0.25">
      <c r="A644">
        <v>38</v>
      </c>
      <c r="B644" t="str" cm="1">
        <f t="array" ref="B644">_xlfn.IFS(Table1[[#This Row],[Age]]&lt;30,"Under 30",Table1[[#This Row],[Age]]&lt;=40,"30-40",Table1[[#This Row],[Age]]&lt;=50,"41-50",Table1[[#This Row],[Age]]&gt;50,"Over 50")</f>
        <v>30-40</v>
      </c>
      <c r="C644" t="s">
        <v>43</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t="str" cm="1">
        <f t="array" ref="AH644">_xlfn.IFS(Table1[[#This Row],[YearsAtCompany]]&lt;=2,"0-2 years",Table1[[#This Row],[YearsAtCompany]]&lt;=5,"3-5 years",Table1[[#This Row],[YearsAtCompany]]&lt;=10,"6-10 years",Table1[[#This Row],[YearsAtCompany]]&gt;10,"10+ years")</f>
        <v>0-2 years</v>
      </c>
      <c r="AI644">
        <v>2</v>
      </c>
      <c r="AJ644">
        <v>1</v>
      </c>
      <c r="AK644">
        <v>2</v>
      </c>
      <c r="AL644" t="str" cm="1">
        <f t="array" ref="AL644">_xlfn.IFS(Table1[[#This Row],[JobSatisfaction]]=1,"Low",Table1[[#This Row],[JobSatisfaction]]=2,"Medium",Table1[[#This Row],[JobSatisfaction]]=3,"High",Table1[[#This Row],[JobSatisfaction]]=4,"Very High")</f>
        <v>Medium</v>
      </c>
      <c r="AM644">
        <f>IF(Table1[[#This Row],[Attrition]]="Yes",1,0)</f>
        <v>0</v>
      </c>
    </row>
    <row r="645" spans="1:39" ht="13.8" x14ac:dyDescent="0.25">
      <c r="A645">
        <v>42</v>
      </c>
      <c r="B645" t="str" cm="1">
        <f t="array" ref="B645">_xlfn.IFS(Table1[[#This Row],[Age]]&lt;30,"Under 30",Table1[[#This Row],[Age]]&lt;=40,"30-40",Table1[[#This Row],[Age]]&lt;=50,"41-50",Table1[[#This Row],[Age]]&gt;50,"Over 50")</f>
        <v>41-50</v>
      </c>
      <c r="C645" t="s">
        <v>43</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t="str" cm="1">
        <f t="array" ref="AH645">_xlfn.IFS(Table1[[#This Row],[YearsAtCompany]]&lt;=2,"0-2 years",Table1[[#This Row],[YearsAtCompany]]&lt;=5,"3-5 years",Table1[[#This Row],[YearsAtCompany]]&lt;=10,"6-10 years",Table1[[#This Row],[YearsAtCompany]]&gt;10,"10+ years")</f>
        <v>3-5 years</v>
      </c>
      <c r="AI645">
        <v>3</v>
      </c>
      <c r="AJ645">
        <v>1</v>
      </c>
      <c r="AK645">
        <v>3</v>
      </c>
      <c r="AL645" t="str" cm="1">
        <f t="array" ref="AL645">_xlfn.IFS(Table1[[#This Row],[JobSatisfaction]]=1,"Low",Table1[[#This Row],[JobSatisfaction]]=2,"Medium",Table1[[#This Row],[JobSatisfaction]]=3,"High",Table1[[#This Row],[JobSatisfaction]]=4,"Very High")</f>
        <v>Very High</v>
      </c>
      <c r="AM645">
        <f>IF(Table1[[#This Row],[Attrition]]="Yes",1,0)</f>
        <v>0</v>
      </c>
    </row>
    <row r="646" spans="1:39" ht="13.8" x14ac:dyDescent="0.25">
      <c r="A646">
        <v>31</v>
      </c>
      <c r="B646" t="str" cm="1">
        <f t="array" ref="B646">_xlfn.IFS(Table1[[#This Row],[Age]]&lt;30,"Under 30",Table1[[#This Row],[Age]]&lt;=40,"30-40",Table1[[#This Row],[Age]]&lt;=50,"41-50",Table1[[#This Row],[Age]]&gt;50,"Over 50")</f>
        <v>30-40</v>
      </c>
      <c r="C646" t="s">
        <v>43</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t="str" cm="1">
        <f t="array" ref="AH646">_xlfn.IFS(Table1[[#This Row],[YearsAtCompany]]&lt;=2,"0-2 years",Table1[[#This Row],[YearsAtCompany]]&lt;=5,"3-5 years",Table1[[#This Row],[YearsAtCompany]]&lt;=10,"6-10 years",Table1[[#This Row],[YearsAtCompany]]&gt;10,"10+ years")</f>
        <v>6-10 years</v>
      </c>
      <c r="AI646">
        <v>4</v>
      </c>
      <c r="AJ646">
        <v>0</v>
      </c>
      <c r="AK646">
        <v>2</v>
      </c>
      <c r="AL646" t="str" cm="1">
        <f t="array" ref="AL646">_xlfn.IFS(Table1[[#This Row],[JobSatisfaction]]=1,"Low",Table1[[#This Row],[JobSatisfaction]]=2,"Medium",Table1[[#This Row],[JobSatisfaction]]=3,"High",Table1[[#This Row],[JobSatisfaction]]=4,"Very High")</f>
        <v>Very High</v>
      </c>
      <c r="AM646">
        <f>IF(Table1[[#This Row],[Attrition]]="Yes",1,0)</f>
        <v>0</v>
      </c>
    </row>
    <row r="647" spans="1:39" ht="13.8" x14ac:dyDescent="0.25">
      <c r="A647">
        <v>29</v>
      </c>
      <c r="B647" t="str" cm="1">
        <f t="array" ref="B647">_xlfn.IFS(Table1[[#This Row],[Age]]&lt;30,"Under 30",Table1[[#This Row],[Age]]&lt;=40,"30-40",Table1[[#This Row],[Age]]&lt;=50,"41-50",Table1[[#This Row],[Age]]&gt;50,"Over 50")</f>
        <v>Under 30</v>
      </c>
      <c r="C647" t="s">
        <v>35</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t="str" cm="1">
        <f t="array" ref="AH647">_xlfn.IFS(Table1[[#This Row],[YearsAtCompany]]&lt;=2,"0-2 years",Table1[[#This Row],[YearsAtCompany]]&lt;=5,"3-5 years",Table1[[#This Row],[YearsAtCompany]]&lt;=10,"6-10 years",Table1[[#This Row],[YearsAtCompany]]&gt;10,"10+ years")</f>
        <v>3-5 years</v>
      </c>
      <c r="AI647">
        <v>2</v>
      </c>
      <c r="AJ647">
        <v>0</v>
      </c>
      <c r="AK647">
        <v>2</v>
      </c>
      <c r="AL647" t="str" cm="1">
        <f t="array" ref="AL647">_xlfn.IFS(Table1[[#This Row],[JobSatisfaction]]=1,"Low",Table1[[#This Row],[JobSatisfaction]]=2,"Medium",Table1[[#This Row],[JobSatisfaction]]=3,"High",Table1[[#This Row],[JobSatisfaction]]=4,"Very High")</f>
        <v>High</v>
      </c>
      <c r="AM647">
        <f>IF(Table1[[#This Row],[Attrition]]="Yes",1,0)</f>
        <v>1</v>
      </c>
    </row>
    <row r="648" spans="1:39" ht="13.8" x14ac:dyDescent="0.25">
      <c r="A648">
        <v>53</v>
      </c>
      <c r="B648" t="str" cm="1">
        <f t="array" ref="B648">_xlfn.IFS(Table1[[#This Row],[Age]]&lt;30,"Under 30",Table1[[#This Row],[Age]]&lt;=40,"30-40",Table1[[#This Row],[Age]]&lt;=50,"41-50",Table1[[#This Row],[Age]]&gt;50,"Over 50")</f>
        <v>Over 50</v>
      </c>
      <c r="C648" t="s">
        <v>43</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t="str" cm="1">
        <f t="array" ref="AH648">_xlfn.IFS(Table1[[#This Row],[YearsAtCompany]]&lt;=2,"0-2 years",Table1[[#This Row],[YearsAtCompany]]&lt;=5,"3-5 years",Table1[[#This Row],[YearsAtCompany]]&lt;=10,"6-10 years",Table1[[#This Row],[YearsAtCompany]]&gt;10,"10+ years")</f>
        <v>0-2 years</v>
      </c>
      <c r="AI648">
        <v>0</v>
      </c>
      <c r="AJ648">
        <v>2</v>
      </c>
      <c r="AK648">
        <v>2</v>
      </c>
      <c r="AL648" t="str" cm="1">
        <f t="array" ref="AL648">_xlfn.IFS(Table1[[#This Row],[JobSatisfaction]]=1,"Low",Table1[[#This Row],[JobSatisfaction]]=2,"Medium",Table1[[#This Row],[JobSatisfaction]]=3,"High",Table1[[#This Row],[JobSatisfaction]]=4,"Very High")</f>
        <v>Very High</v>
      </c>
      <c r="AM648">
        <f>IF(Table1[[#This Row],[Attrition]]="Yes",1,0)</f>
        <v>0</v>
      </c>
    </row>
    <row r="649" spans="1:39" ht="13.8" x14ac:dyDescent="0.25">
      <c r="A649">
        <v>35</v>
      </c>
      <c r="B649" t="str" cm="1">
        <f t="array" ref="B649">_xlfn.IFS(Table1[[#This Row],[Age]]&lt;30,"Under 30",Table1[[#This Row],[Age]]&lt;=40,"30-40",Table1[[#This Row],[Age]]&lt;=50,"41-50",Table1[[#This Row],[Age]]&gt;50,"Over 50")</f>
        <v>30-40</v>
      </c>
      <c r="C649" t="s">
        <v>43</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t="str" cm="1">
        <f t="array" ref="AH649">_xlfn.IFS(Table1[[#This Row],[YearsAtCompany]]&lt;=2,"0-2 years",Table1[[#This Row],[YearsAtCompany]]&lt;=5,"3-5 years",Table1[[#This Row],[YearsAtCompany]]&lt;=10,"6-10 years",Table1[[#This Row],[YearsAtCompany]]&gt;10,"10+ years")</f>
        <v>10+ years</v>
      </c>
      <c r="AI649">
        <v>10</v>
      </c>
      <c r="AJ649">
        <v>4</v>
      </c>
      <c r="AK649">
        <v>8</v>
      </c>
      <c r="AL649" t="str" cm="1">
        <f t="array" ref="AL649">_xlfn.IFS(Table1[[#This Row],[JobSatisfaction]]=1,"Low",Table1[[#This Row],[JobSatisfaction]]=2,"Medium",Table1[[#This Row],[JobSatisfaction]]=3,"High",Table1[[#This Row],[JobSatisfaction]]=4,"Very High")</f>
        <v>Medium</v>
      </c>
      <c r="AM649">
        <f>IF(Table1[[#This Row],[Attrition]]="Yes",1,0)</f>
        <v>0</v>
      </c>
    </row>
    <row r="650" spans="1:39" ht="13.8" x14ac:dyDescent="0.25">
      <c r="A650">
        <v>37</v>
      </c>
      <c r="B650" t="str" cm="1">
        <f t="array" ref="B650">_xlfn.IFS(Table1[[#This Row],[Age]]&lt;30,"Under 30",Table1[[#This Row],[Age]]&lt;=40,"30-40",Table1[[#This Row],[Age]]&lt;=50,"41-50",Table1[[#This Row],[Age]]&gt;50,"Over 50")</f>
        <v>30-40</v>
      </c>
      <c r="C650" t="s">
        <v>43</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t="str" cm="1">
        <f t="array" ref="AH650">_xlfn.IFS(Table1[[#This Row],[YearsAtCompany]]&lt;=2,"0-2 years",Table1[[#This Row],[YearsAtCompany]]&lt;=5,"3-5 years",Table1[[#This Row],[YearsAtCompany]]&lt;=10,"6-10 years",Table1[[#This Row],[YearsAtCompany]]&gt;10,"10+ years")</f>
        <v>3-5 years</v>
      </c>
      <c r="AI650">
        <v>4</v>
      </c>
      <c r="AJ650">
        <v>0</v>
      </c>
      <c r="AK650">
        <v>0</v>
      </c>
      <c r="AL650" t="str" cm="1">
        <f t="array" ref="AL650">_xlfn.IFS(Table1[[#This Row],[JobSatisfaction]]=1,"Low",Table1[[#This Row],[JobSatisfaction]]=2,"Medium",Table1[[#This Row],[JobSatisfaction]]=3,"High",Table1[[#This Row],[JobSatisfaction]]=4,"Very High")</f>
        <v>Very High</v>
      </c>
      <c r="AM650">
        <f>IF(Table1[[#This Row],[Attrition]]="Yes",1,0)</f>
        <v>0</v>
      </c>
    </row>
    <row r="651" spans="1:39" ht="13.8" x14ac:dyDescent="0.25">
      <c r="A651">
        <v>53</v>
      </c>
      <c r="B651" t="str" cm="1">
        <f t="array" ref="B651">_xlfn.IFS(Table1[[#This Row],[Age]]&lt;30,"Under 30",Table1[[#This Row],[Age]]&lt;=40,"30-40",Table1[[#This Row],[Age]]&lt;=50,"41-50",Table1[[#This Row],[Age]]&gt;50,"Over 50")</f>
        <v>Over 50</v>
      </c>
      <c r="C651" t="s">
        <v>43</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t="str" cm="1">
        <f t="array" ref="AH651">_xlfn.IFS(Table1[[#This Row],[YearsAtCompany]]&lt;=2,"0-2 years",Table1[[#This Row],[YearsAtCompany]]&lt;=5,"3-5 years",Table1[[#This Row],[YearsAtCompany]]&lt;=10,"6-10 years",Table1[[#This Row],[YearsAtCompany]]&gt;10,"10+ years")</f>
        <v>10+ years</v>
      </c>
      <c r="AI651">
        <v>9</v>
      </c>
      <c r="AJ651">
        <v>3</v>
      </c>
      <c r="AK651">
        <v>8</v>
      </c>
      <c r="AL651" t="str" cm="1">
        <f t="array" ref="AL651">_xlfn.IFS(Table1[[#This Row],[JobSatisfaction]]=1,"Low",Table1[[#This Row],[JobSatisfaction]]=2,"Medium",Table1[[#This Row],[JobSatisfaction]]=3,"High",Table1[[#This Row],[JobSatisfaction]]=4,"Very High")</f>
        <v>Very High</v>
      </c>
      <c r="AM651">
        <f>IF(Table1[[#This Row],[Attrition]]="Yes",1,0)</f>
        <v>0</v>
      </c>
    </row>
    <row r="652" spans="1:39" ht="13.8" x14ac:dyDescent="0.25">
      <c r="A652">
        <v>43</v>
      </c>
      <c r="B652" t="str" cm="1">
        <f t="array" ref="B652">_xlfn.IFS(Table1[[#This Row],[Age]]&lt;30,"Under 30",Table1[[#This Row],[Age]]&lt;=40,"30-40",Table1[[#This Row],[Age]]&lt;=50,"41-50",Table1[[#This Row],[Age]]&gt;50,"Over 50")</f>
        <v>41-50</v>
      </c>
      <c r="C652" t="s">
        <v>43</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t="str" cm="1">
        <f t="array" ref="AH652">_xlfn.IFS(Table1[[#This Row],[YearsAtCompany]]&lt;=2,"0-2 years",Table1[[#This Row],[YearsAtCompany]]&lt;=5,"3-5 years",Table1[[#This Row],[YearsAtCompany]]&lt;=10,"6-10 years",Table1[[#This Row],[YearsAtCompany]]&gt;10,"10+ years")</f>
        <v>3-5 years</v>
      </c>
      <c r="AI652">
        <v>2</v>
      </c>
      <c r="AJ652">
        <v>2</v>
      </c>
      <c r="AK652">
        <v>2</v>
      </c>
      <c r="AL652" t="str" cm="1">
        <f t="array" ref="AL652">_xlfn.IFS(Table1[[#This Row],[JobSatisfaction]]=1,"Low",Table1[[#This Row],[JobSatisfaction]]=2,"Medium",Table1[[#This Row],[JobSatisfaction]]=3,"High",Table1[[#This Row],[JobSatisfaction]]=4,"Very High")</f>
        <v>Very High</v>
      </c>
      <c r="AM652">
        <f>IF(Table1[[#This Row],[Attrition]]="Yes",1,0)</f>
        <v>0</v>
      </c>
    </row>
    <row r="653" spans="1:39" ht="13.8" x14ac:dyDescent="0.25">
      <c r="A653">
        <v>47</v>
      </c>
      <c r="B653" t="str" cm="1">
        <f t="array" ref="B653">_xlfn.IFS(Table1[[#This Row],[Age]]&lt;30,"Under 30",Table1[[#This Row],[Age]]&lt;=40,"30-40",Table1[[#This Row],[Age]]&lt;=50,"41-50",Table1[[#This Row],[Age]]&gt;50,"Over 50")</f>
        <v>41-50</v>
      </c>
      <c r="C653" t="s">
        <v>43</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t="str" cm="1">
        <f t="array" ref="AH653">_xlfn.IFS(Table1[[#This Row],[YearsAtCompany]]&lt;=2,"0-2 years",Table1[[#This Row],[YearsAtCompany]]&lt;=5,"3-5 years",Table1[[#This Row],[YearsAtCompany]]&lt;=10,"6-10 years",Table1[[#This Row],[YearsAtCompany]]&gt;10,"10+ years")</f>
        <v>6-10 years</v>
      </c>
      <c r="AI653">
        <v>6</v>
      </c>
      <c r="AJ653">
        <v>7</v>
      </c>
      <c r="AK653">
        <v>7</v>
      </c>
      <c r="AL653" t="str" cm="1">
        <f t="array" ref="AL653">_xlfn.IFS(Table1[[#This Row],[JobSatisfaction]]=1,"Low",Table1[[#This Row],[JobSatisfaction]]=2,"Medium",Table1[[#This Row],[JobSatisfaction]]=3,"High",Table1[[#This Row],[JobSatisfaction]]=4,"Very High")</f>
        <v>Very High</v>
      </c>
      <c r="AM653">
        <f>IF(Table1[[#This Row],[Attrition]]="Yes",1,0)</f>
        <v>0</v>
      </c>
    </row>
    <row r="654" spans="1:39" ht="13.8" x14ac:dyDescent="0.25">
      <c r="A654">
        <v>37</v>
      </c>
      <c r="B654" t="str" cm="1">
        <f t="array" ref="B654">_xlfn.IFS(Table1[[#This Row],[Age]]&lt;30,"Under 30",Table1[[#This Row],[Age]]&lt;=40,"30-40",Table1[[#This Row],[Age]]&lt;=50,"41-50",Table1[[#This Row],[Age]]&gt;50,"Over 50")</f>
        <v>30-40</v>
      </c>
      <c r="C654" t="s">
        <v>43</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t="str" cm="1">
        <f t="array" ref="AH654">_xlfn.IFS(Table1[[#This Row],[YearsAtCompany]]&lt;=2,"0-2 years",Table1[[#This Row],[YearsAtCompany]]&lt;=5,"3-5 years",Table1[[#This Row],[YearsAtCompany]]&lt;=10,"6-10 years",Table1[[#This Row],[YearsAtCompany]]&gt;10,"10+ years")</f>
        <v>6-10 years</v>
      </c>
      <c r="AI654">
        <v>0</v>
      </c>
      <c r="AJ654">
        <v>0</v>
      </c>
      <c r="AK654">
        <v>9</v>
      </c>
      <c r="AL654" t="str" cm="1">
        <f t="array" ref="AL654">_xlfn.IFS(Table1[[#This Row],[JobSatisfaction]]=1,"Low",Table1[[#This Row],[JobSatisfaction]]=2,"Medium",Table1[[#This Row],[JobSatisfaction]]=3,"High",Table1[[#This Row],[JobSatisfaction]]=4,"Very High")</f>
        <v>Medium</v>
      </c>
      <c r="AM654">
        <f>IF(Table1[[#This Row],[Attrition]]="Yes",1,0)</f>
        <v>0</v>
      </c>
    </row>
    <row r="655" spans="1:39" ht="13.8" x14ac:dyDescent="0.25">
      <c r="A655">
        <v>50</v>
      </c>
      <c r="B655" t="str" cm="1">
        <f t="array" ref="B655">_xlfn.IFS(Table1[[#This Row],[Age]]&lt;30,"Under 30",Table1[[#This Row],[Age]]&lt;=40,"30-40",Table1[[#This Row],[Age]]&lt;=50,"41-50",Table1[[#This Row],[Age]]&gt;50,"Over 50")</f>
        <v>41-50</v>
      </c>
      <c r="C655" t="s">
        <v>43</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t="str" cm="1">
        <f t="array" ref="AH655">_xlfn.IFS(Table1[[#This Row],[YearsAtCompany]]&lt;=2,"0-2 years",Table1[[#This Row],[YearsAtCompany]]&lt;=5,"3-5 years",Table1[[#This Row],[YearsAtCompany]]&lt;=10,"6-10 years",Table1[[#This Row],[YearsAtCompany]]&gt;10,"10+ years")</f>
        <v>10+ years</v>
      </c>
      <c r="AI655">
        <v>6</v>
      </c>
      <c r="AJ655">
        <v>14</v>
      </c>
      <c r="AK655">
        <v>7</v>
      </c>
      <c r="AL655" t="str" cm="1">
        <f t="array" ref="AL655">_xlfn.IFS(Table1[[#This Row],[JobSatisfaction]]=1,"Low",Table1[[#This Row],[JobSatisfaction]]=2,"Medium",Table1[[#This Row],[JobSatisfaction]]=3,"High",Table1[[#This Row],[JobSatisfaction]]=4,"Very High")</f>
        <v>Low</v>
      </c>
      <c r="AM655">
        <f>IF(Table1[[#This Row],[Attrition]]="Yes",1,0)</f>
        <v>0</v>
      </c>
    </row>
    <row r="656" spans="1:39" ht="13.8" x14ac:dyDescent="0.25">
      <c r="A656">
        <v>39</v>
      </c>
      <c r="B656" t="str" cm="1">
        <f t="array" ref="B656">_xlfn.IFS(Table1[[#This Row],[Age]]&lt;30,"Under 30",Table1[[#This Row],[Age]]&lt;=40,"30-40",Table1[[#This Row],[Age]]&lt;=50,"41-50",Table1[[#This Row],[Age]]&gt;50,"Over 50")</f>
        <v>30-40</v>
      </c>
      <c r="C656" t="s">
        <v>43</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t="str" cm="1">
        <f t="array" ref="AH656">_xlfn.IFS(Table1[[#This Row],[YearsAtCompany]]&lt;=2,"0-2 years",Table1[[#This Row],[YearsAtCompany]]&lt;=5,"3-5 years",Table1[[#This Row],[YearsAtCompany]]&lt;=10,"6-10 years",Table1[[#This Row],[YearsAtCompany]]&gt;10,"10+ years")</f>
        <v>3-5 years</v>
      </c>
      <c r="AI656">
        <v>4</v>
      </c>
      <c r="AJ656">
        <v>0</v>
      </c>
      <c r="AK656">
        <v>4</v>
      </c>
      <c r="AL656" t="str" cm="1">
        <f t="array" ref="AL656">_xlfn.IFS(Table1[[#This Row],[JobSatisfaction]]=1,"Low",Table1[[#This Row],[JobSatisfaction]]=2,"Medium",Table1[[#This Row],[JobSatisfaction]]=3,"High",Table1[[#This Row],[JobSatisfaction]]=4,"Very High")</f>
        <v>Very High</v>
      </c>
      <c r="AM656">
        <f>IF(Table1[[#This Row],[Attrition]]="Yes",1,0)</f>
        <v>0</v>
      </c>
    </row>
    <row r="657" spans="1:39" ht="13.8" x14ac:dyDescent="0.25">
      <c r="A657">
        <v>33</v>
      </c>
      <c r="B657" t="str" cm="1">
        <f t="array" ref="B657">_xlfn.IFS(Table1[[#This Row],[Age]]&lt;30,"Under 30",Table1[[#This Row],[Age]]&lt;=40,"30-40",Table1[[#This Row],[Age]]&lt;=50,"41-50",Table1[[#This Row],[Age]]&gt;50,"Over 50")</f>
        <v>30-40</v>
      </c>
      <c r="C657" t="s">
        <v>43</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t="str" cm="1">
        <f t="array" ref="AH657">_xlfn.IFS(Table1[[#This Row],[YearsAtCompany]]&lt;=2,"0-2 years",Table1[[#This Row],[YearsAtCompany]]&lt;=5,"3-5 years",Table1[[#This Row],[YearsAtCompany]]&lt;=10,"6-10 years",Table1[[#This Row],[YearsAtCompany]]&gt;10,"10+ years")</f>
        <v>3-5 years</v>
      </c>
      <c r="AI657">
        <v>3</v>
      </c>
      <c r="AJ657">
        <v>0</v>
      </c>
      <c r="AK657">
        <v>3</v>
      </c>
      <c r="AL657" t="str" cm="1">
        <f t="array" ref="AL657">_xlfn.IFS(Table1[[#This Row],[JobSatisfaction]]=1,"Low",Table1[[#This Row],[JobSatisfaction]]=2,"Medium",Table1[[#This Row],[JobSatisfaction]]=3,"High",Table1[[#This Row],[JobSatisfaction]]=4,"Very High")</f>
        <v>Medium</v>
      </c>
      <c r="AM657">
        <f>IF(Table1[[#This Row],[Attrition]]="Yes",1,0)</f>
        <v>0</v>
      </c>
    </row>
    <row r="658" spans="1:39" ht="13.8" x14ac:dyDescent="0.25">
      <c r="A658">
        <v>32</v>
      </c>
      <c r="B658" t="str" cm="1">
        <f t="array" ref="B658">_xlfn.IFS(Table1[[#This Row],[Age]]&lt;30,"Under 30",Table1[[#This Row],[Age]]&lt;=40,"30-40",Table1[[#This Row],[Age]]&lt;=50,"41-50",Table1[[#This Row],[Age]]&gt;50,"Over 50")</f>
        <v>30-40</v>
      </c>
      <c r="C658" t="s">
        <v>35</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t="str" cm="1">
        <f t="array" ref="AH658">_xlfn.IFS(Table1[[#This Row],[YearsAtCompany]]&lt;=2,"0-2 years",Table1[[#This Row],[YearsAtCompany]]&lt;=5,"3-5 years",Table1[[#This Row],[YearsAtCompany]]&lt;=10,"6-10 years",Table1[[#This Row],[YearsAtCompany]]&gt;10,"10+ years")</f>
        <v>0-2 years</v>
      </c>
      <c r="AI658">
        <v>0</v>
      </c>
      <c r="AJ658">
        <v>0</v>
      </c>
      <c r="AK658">
        <v>1</v>
      </c>
      <c r="AL658" t="str" cm="1">
        <f t="array" ref="AL658">_xlfn.IFS(Table1[[#This Row],[JobSatisfaction]]=1,"Low",Table1[[#This Row],[JobSatisfaction]]=2,"Medium",Table1[[#This Row],[JobSatisfaction]]=3,"High",Table1[[#This Row],[JobSatisfaction]]=4,"Very High")</f>
        <v>Very High</v>
      </c>
      <c r="AM658">
        <f>IF(Table1[[#This Row],[Attrition]]="Yes",1,0)</f>
        <v>1</v>
      </c>
    </row>
    <row r="659" spans="1:39" ht="13.8" x14ac:dyDescent="0.25">
      <c r="A659">
        <v>29</v>
      </c>
      <c r="B659" t="str" cm="1">
        <f t="array" ref="B659">_xlfn.IFS(Table1[[#This Row],[Age]]&lt;30,"Under 30",Table1[[#This Row],[Age]]&lt;=40,"30-40",Table1[[#This Row],[Age]]&lt;=50,"41-50",Table1[[#This Row],[Age]]&gt;50,"Over 50")</f>
        <v>Under 30</v>
      </c>
      <c r="C659" t="s">
        <v>43</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t="str" cm="1">
        <f t="array" ref="AH659">_xlfn.IFS(Table1[[#This Row],[YearsAtCompany]]&lt;=2,"0-2 years",Table1[[#This Row],[YearsAtCompany]]&lt;=5,"3-5 years",Table1[[#This Row],[YearsAtCompany]]&lt;=10,"6-10 years",Table1[[#This Row],[YearsAtCompany]]&gt;10,"10+ years")</f>
        <v>3-5 years</v>
      </c>
      <c r="AI659">
        <v>3</v>
      </c>
      <c r="AJ659">
        <v>0</v>
      </c>
      <c r="AK659">
        <v>3</v>
      </c>
      <c r="AL659" t="str" cm="1">
        <f t="array" ref="AL659">_xlfn.IFS(Table1[[#This Row],[JobSatisfaction]]=1,"Low",Table1[[#This Row],[JobSatisfaction]]=2,"Medium",Table1[[#This Row],[JobSatisfaction]]=3,"High",Table1[[#This Row],[JobSatisfaction]]=4,"Very High")</f>
        <v>Very High</v>
      </c>
      <c r="AM659">
        <f>IF(Table1[[#This Row],[Attrition]]="Yes",1,0)</f>
        <v>0</v>
      </c>
    </row>
    <row r="660" spans="1:39" ht="13.8" x14ac:dyDescent="0.25">
      <c r="A660">
        <v>44</v>
      </c>
      <c r="B660" t="str" cm="1">
        <f t="array" ref="B660">_xlfn.IFS(Table1[[#This Row],[Age]]&lt;30,"Under 30",Table1[[#This Row],[Age]]&lt;=40,"30-40",Table1[[#This Row],[Age]]&lt;=50,"41-50",Table1[[#This Row],[Age]]&gt;50,"Over 50")</f>
        <v>41-50</v>
      </c>
      <c r="C660" t="s">
        <v>43</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t="str" cm="1">
        <f t="array" ref="AH660">_xlfn.IFS(Table1[[#This Row],[YearsAtCompany]]&lt;=2,"0-2 years",Table1[[#This Row],[YearsAtCompany]]&lt;=5,"3-5 years",Table1[[#This Row],[YearsAtCompany]]&lt;=10,"6-10 years",Table1[[#This Row],[YearsAtCompany]]&gt;10,"10+ years")</f>
        <v>6-10 years</v>
      </c>
      <c r="AI660">
        <v>7</v>
      </c>
      <c r="AJ660">
        <v>7</v>
      </c>
      <c r="AK660">
        <v>1</v>
      </c>
      <c r="AL660" t="str" cm="1">
        <f t="array" ref="AL660">_xlfn.IFS(Table1[[#This Row],[JobSatisfaction]]=1,"Low",Table1[[#This Row],[JobSatisfaction]]=2,"Medium",Table1[[#This Row],[JobSatisfaction]]=3,"High",Table1[[#This Row],[JobSatisfaction]]=4,"Very High")</f>
        <v>Low</v>
      </c>
      <c r="AM660">
        <f>IF(Table1[[#This Row],[Attrition]]="Yes",1,0)</f>
        <v>0</v>
      </c>
    </row>
    <row r="661" spans="1:39" ht="13.8" x14ac:dyDescent="0.25">
      <c r="A661">
        <v>28</v>
      </c>
      <c r="B661" t="str" cm="1">
        <f t="array" ref="B661">_xlfn.IFS(Table1[[#This Row],[Age]]&lt;30,"Under 30",Table1[[#This Row],[Age]]&lt;=40,"30-40",Table1[[#This Row],[Age]]&lt;=50,"41-50",Table1[[#This Row],[Age]]&gt;50,"Over 50")</f>
        <v>Under 30</v>
      </c>
      <c r="C661" t="s">
        <v>43</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t="str" cm="1">
        <f t="array" ref="AH661">_xlfn.IFS(Table1[[#This Row],[YearsAtCompany]]&lt;=2,"0-2 years",Table1[[#This Row],[YearsAtCompany]]&lt;=5,"3-5 years",Table1[[#This Row],[YearsAtCompany]]&lt;=10,"6-10 years",Table1[[#This Row],[YearsAtCompany]]&gt;10,"10+ years")</f>
        <v>3-5 years</v>
      </c>
      <c r="AI661">
        <v>2</v>
      </c>
      <c r="AJ661">
        <v>0</v>
      </c>
      <c r="AK661">
        <v>2</v>
      </c>
      <c r="AL661" t="str" cm="1">
        <f t="array" ref="AL661">_xlfn.IFS(Table1[[#This Row],[JobSatisfaction]]=1,"Low",Table1[[#This Row],[JobSatisfaction]]=2,"Medium",Table1[[#This Row],[JobSatisfaction]]=3,"High",Table1[[#This Row],[JobSatisfaction]]=4,"Very High")</f>
        <v>Very High</v>
      </c>
      <c r="AM661">
        <f>IF(Table1[[#This Row],[Attrition]]="Yes",1,0)</f>
        <v>0</v>
      </c>
    </row>
    <row r="662" spans="1:39" ht="13.8" x14ac:dyDescent="0.25">
      <c r="A662">
        <v>58</v>
      </c>
      <c r="B662" t="str" cm="1">
        <f t="array" ref="B662">_xlfn.IFS(Table1[[#This Row],[Age]]&lt;30,"Under 30",Table1[[#This Row],[Age]]&lt;=40,"30-40",Table1[[#This Row],[Age]]&lt;=50,"41-50",Table1[[#This Row],[Age]]&gt;50,"Over 50")</f>
        <v>Over 50</v>
      </c>
      <c r="C662" t="s">
        <v>35</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t="str" cm="1">
        <f t="array" ref="AH662">_xlfn.IFS(Table1[[#This Row],[YearsAtCompany]]&lt;=2,"0-2 years",Table1[[#This Row],[YearsAtCompany]]&lt;=5,"3-5 years",Table1[[#This Row],[YearsAtCompany]]&lt;=10,"6-10 years",Table1[[#This Row],[YearsAtCompany]]&gt;10,"10+ years")</f>
        <v>0-2 years</v>
      </c>
      <c r="AI662">
        <v>0</v>
      </c>
      <c r="AJ662">
        <v>0</v>
      </c>
      <c r="AK662">
        <v>0</v>
      </c>
      <c r="AL662" t="str" cm="1">
        <f t="array" ref="AL662">_xlfn.IFS(Table1[[#This Row],[JobSatisfaction]]=1,"Low",Table1[[#This Row],[JobSatisfaction]]=2,"Medium",Table1[[#This Row],[JobSatisfaction]]=3,"High",Table1[[#This Row],[JobSatisfaction]]=4,"Very High")</f>
        <v>Very High</v>
      </c>
      <c r="AM662">
        <f>IF(Table1[[#This Row],[Attrition]]="Yes",1,0)</f>
        <v>1</v>
      </c>
    </row>
    <row r="663" spans="1:39" ht="13.8" x14ac:dyDescent="0.25">
      <c r="A663">
        <v>43</v>
      </c>
      <c r="B663" t="str" cm="1">
        <f t="array" ref="B663">_xlfn.IFS(Table1[[#This Row],[Age]]&lt;30,"Under 30",Table1[[#This Row],[Age]]&lt;=40,"30-40",Table1[[#This Row],[Age]]&lt;=50,"41-50",Table1[[#This Row],[Age]]&gt;50,"Over 50")</f>
        <v>41-50</v>
      </c>
      <c r="C663" t="s">
        <v>43</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t="str" cm="1">
        <f t="array" ref="AH663">_xlfn.IFS(Table1[[#This Row],[YearsAtCompany]]&lt;=2,"0-2 years",Table1[[#This Row],[YearsAtCompany]]&lt;=5,"3-5 years",Table1[[#This Row],[YearsAtCompany]]&lt;=10,"6-10 years",Table1[[#This Row],[YearsAtCompany]]&gt;10,"10+ years")</f>
        <v>0-2 years</v>
      </c>
      <c r="AI663">
        <v>0</v>
      </c>
      <c r="AJ663">
        <v>0</v>
      </c>
      <c r="AK663">
        <v>0</v>
      </c>
      <c r="AL663" t="str" cm="1">
        <f t="array" ref="AL663">_xlfn.IFS(Table1[[#This Row],[JobSatisfaction]]=1,"Low",Table1[[#This Row],[JobSatisfaction]]=2,"Medium",Table1[[#This Row],[JobSatisfaction]]=3,"High",Table1[[#This Row],[JobSatisfaction]]=4,"Very High")</f>
        <v>Medium</v>
      </c>
      <c r="AM663">
        <f>IF(Table1[[#This Row],[Attrition]]="Yes",1,0)</f>
        <v>0</v>
      </c>
    </row>
    <row r="664" spans="1:39" ht="13.8" x14ac:dyDescent="0.25">
      <c r="A664">
        <v>20</v>
      </c>
      <c r="B664" t="str" cm="1">
        <f t="array" ref="B664">_xlfn.IFS(Table1[[#This Row],[Age]]&lt;30,"Under 30",Table1[[#This Row],[Age]]&lt;=40,"30-40",Table1[[#This Row],[Age]]&lt;=50,"41-50",Table1[[#This Row],[Age]]&gt;50,"Over 50")</f>
        <v>Under 30</v>
      </c>
      <c r="C664" t="s">
        <v>35</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t="str" cm="1">
        <f t="array" ref="AH664">_xlfn.IFS(Table1[[#This Row],[YearsAtCompany]]&lt;=2,"0-2 years",Table1[[#This Row],[YearsAtCompany]]&lt;=5,"3-5 years",Table1[[#This Row],[YearsAtCompany]]&lt;=10,"6-10 years",Table1[[#This Row],[YearsAtCompany]]&gt;10,"10+ years")</f>
        <v>0-2 years</v>
      </c>
      <c r="AI664">
        <v>2</v>
      </c>
      <c r="AJ664">
        <v>0</v>
      </c>
      <c r="AK664">
        <v>2</v>
      </c>
      <c r="AL664" t="str" cm="1">
        <f t="array" ref="AL664">_xlfn.IFS(Table1[[#This Row],[JobSatisfaction]]=1,"Low",Table1[[#This Row],[JobSatisfaction]]=2,"Medium",Table1[[#This Row],[JobSatisfaction]]=3,"High",Table1[[#This Row],[JobSatisfaction]]=4,"Very High")</f>
        <v>High</v>
      </c>
      <c r="AM664">
        <f>IF(Table1[[#This Row],[Attrition]]="Yes",1,0)</f>
        <v>1</v>
      </c>
    </row>
    <row r="665" spans="1:39" ht="13.8" x14ac:dyDescent="0.25">
      <c r="A665">
        <v>21</v>
      </c>
      <c r="B665" t="str" cm="1">
        <f t="array" ref="B665">_xlfn.IFS(Table1[[#This Row],[Age]]&lt;30,"Under 30",Table1[[#This Row],[Age]]&lt;=40,"30-40",Table1[[#This Row],[Age]]&lt;=50,"41-50",Table1[[#This Row],[Age]]&gt;50,"Over 50")</f>
        <v>Under 30</v>
      </c>
      <c r="C665" t="s">
        <v>35</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t="str" cm="1">
        <f t="array" ref="AH665">_xlfn.IFS(Table1[[#This Row],[YearsAtCompany]]&lt;=2,"0-2 years",Table1[[#This Row],[YearsAtCompany]]&lt;=5,"3-5 years",Table1[[#This Row],[YearsAtCompany]]&lt;=10,"6-10 years",Table1[[#This Row],[YearsAtCompany]]&gt;10,"10+ years")</f>
        <v>0-2 years</v>
      </c>
      <c r="AI665">
        <v>0</v>
      </c>
      <c r="AJ665">
        <v>0</v>
      </c>
      <c r="AK665">
        <v>0</v>
      </c>
      <c r="AL665" t="str" cm="1">
        <f t="array" ref="AL665">_xlfn.IFS(Table1[[#This Row],[JobSatisfaction]]=1,"Low",Table1[[#This Row],[JobSatisfaction]]=2,"Medium",Table1[[#This Row],[JobSatisfaction]]=3,"High",Table1[[#This Row],[JobSatisfaction]]=4,"Very High")</f>
        <v>Very High</v>
      </c>
      <c r="AM665">
        <f>IF(Table1[[#This Row],[Attrition]]="Yes",1,0)</f>
        <v>1</v>
      </c>
    </row>
    <row r="666" spans="1:39" ht="13.8" x14ac:dyDescent="0.25">
      <c r="A666">
        <v>36</v>
      </c>
      <c r="B666" t="str" cm="1">
        <f t="array" ref="B666">_xlfn.IFS(Table1[[#This Row],[Age]]&lt;30,"Under 30",Table1[[#This Row],[Age]]&lt;=40,"30-40",Table1[[#This Row],[Age]]&lt;=50,"41-50",Table1[[#This Row],[Age]]&gt;50,"Over 50")</f>
        <v>30-40</v>
      </c>
      <c r="C666" t="s">
        <v>43</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t="str" cm="1">
        <f t="array" ref="AH666">_xlfn.IFS(Table1[[#This Row],[YearsAtCompany]]&lt;=2,"0-2 years",Table1[[#This Row],[YearsAtCompany]]&lt;=5,"3-5 years",Table1[[#This Row],[YearsAtCompany]]&lt;=10,"6-10 years",Table1[[#This Row],[YearsAtCompany]]&gt;10,"10+ years")</f>
        <v>10+ years</v>
      </c>
      <c r="AI666">
        <v>8</v>
      </c>
      <c r="AJ666">
        <v>4</v>
      </c>
      <c r="AK666">
        <v>11</v>
      </c>
      <c r="AL666" t="str" cm="1">
        <f t="array" ref="AL666">_xlfn.IFS(Table1[[#This Row],[JobSatisfaction]]=1,"Low",Table1[[#This Row],[JobSatisfaction]]=2,"Medium",Table1[[#This Row],[JobSatisfaction]]=3,"High",Table1[[#This Row],[JobSatisfaction]]=4,"Very High")</f>
        <v>Very High</v>
      </c>
      <c r="AM666">
        <f>IF(Table1[[#This Row],[Attrition]]="Yes",1,0)</f>
        <v>0</v>
      </c>
    </row>
    <row r="667" spans="1:39" ht="13.8" x14ac:dyDescent="0.25">
      <c r="A667">
        <v>47</v>
      </c>
      <c r="B667" t="str" cm="1">
        <f t="array" ref="B667">_xlfn.IFS(Table1[[#This Row],[Age]]&lt;30,"Under 30",Table1[[#This Row],[Age]]&lt;=40,"30-40",Table1[[#This Row],[Age]]&lt;=50,"41-50",Table1[[#This Row],[Age]]&gt;50,"Over 50")</f>
        <v>41-50</v>
      </c>
      <c r="C667" t="s">
        <v>43</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t="str" cm="1">
        <f t="array" ref="AH667">_xlfn.IFS(Table1[[#This Row],[YearsAtCompany]]&lt;=2,"0-2 years",Table1[[#This Row],[YearsAtCompany]]&lt;=5,"3-5 years",Table1[[#This Row],[YearsAtCompany]]&lt;=10,"6-10 years",Table1[[#This Row],[YearsAtCompany]]&gt;10,"10+ years")</f>
        <v>3-5 years</v>
      </c>
      <c r="AI667">
        <v>2</v>
      </c>
      <c r="AJ667">
        <v>1</v>
      </c>
      <c r="AK667">
        <v>2</v>
      </c>
      <c r="AL667" t="str" cm="1">
        <f t="array" ref="AL667">_xlfn.IFS(Table1[[#This Row],[JobSatisfaction]]=1,"Low",Table1[[#This Row],[JobSatisfaction]]=2,"Medium",Table1[[#This Row],[JobSatisfaction]]=3,"High",Table1[[#This Row],[JobSatisfaction]]=4,"Very High")</f>
        <v>Very High</v>
      </c>
      <c r="AM667">
        <f>IF(Table1[[#This Row],[Attrition]]="Yes",1,0)</f>
        <v>0</v>
      </c>
    </row>
    <row r="668" spans="1:39" ht="13.8" x14ac:dyDescent="0.25">
      <c r="A668">
        <v>22</v>
      </c>
      <c r="B668" t="str" cm="1">
        <f t="array" ref="B668">_xlfn.IFS(Table1[[#This Row],[Age]]&lt;30,"Under 30",Table1[[#This Row],[Age]]&lt;=40,"30-40",Table1[[#This Row],[Age]]&lt;=50,"41-50",Table1[[#This Row],[Age]]&gt;50,"Over 50")</f>
        <v>Under 30</v>
      </c>
      <c r="C668" t="s">
        <v>35</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t="str" cm="1">
        <f t="array" ref="AH668">_xlfn.IFS(Table1[[#This Row],[YearsAtCompany]]&lt;=2,"0-2 years",Table1[[#This Row],[YearsAtCompany]]&lt;=5,"3-5 years",Table1[[#This Row],[YearsAtCompany]]&lt;=10,"6-10 years",Table1[[#This Row],[YearsAtCompany]]&gt;10,"10+ years")</f>
        <v>3-5 years</v>
      </c>
      <c r="AI668">
        <v>2</v>
      </c>
      <c r="AJ668">
        <v>0</v>
      </c>
      <c r="AK668">
        <v>2</v>
      </c>
      <c r="AL668" t="str" cm="1">
        <f t="array" ref="AL668">_xlfn.IFS(Table1[[#This Row],[JobSatisfaction]]=1,"Low",Table1[[#This Row],[JobSatisfaction]]=2,"Medium",Table1[[#This Row],[JobSatisfaction]]=3,"High",Table1[[#This Row],[JobSatisfaction]]=4,"Very High")</f>
        <v>High</v>
      </c>
      <c r="AM668">
        <f>IF(Table1[[#This Row],[Attrition]]="Yes",1,0)</f>
        <v>1</v>
      </c>
    </row>
    <row r="669" spans="1:39" ht="13.8" x14ac:dyDescent="0.25">
      <c r="A669">
        <v>41</v>
      </c>
      <c r="B669" t="str" cm="1">
        <f t="array" ref="B669">_xlfn.IFS(Table1[[#This Row],[Age]]&lt;30,"Under 30",Table1[[#This Row],[Age]]&lt;=40,"30-40",Table1[[#This Row],[Age]]&lt;=50,"41-50",Table1[[#This Row],[Age]]&gt;50,"Over 50")</f>
        <v>41-50</v>
      </c>
      <c r="C669" t="s">
        <v>35</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t="str" cm="1">
        <f t="array" ref="AH669">_xlfn.IFS(Table1[[#This Row],[YearsAtCompany]]&lt;=2,"0-2 years",Table1[[#This Row],[YearsAtCompany]]&lt;=5,"3-5 years",Table1[[#This Row],[YearsAtCompany]]&lt;=10,"6-10 years",Table1[[#This Row],[YearsAtCompany]]&gt;10,"10+ years")</f>
        <v>6-10 years</v>
      </c>
      <c r="AI669">
        <v>7</v>
      </c>
      <c r="AJ669">
        <v>1</v>
      </c>
      <c r="AK669">
        <v>0</v>
      </c>
      <c r="AL669" t="str" cm="1">
        <f t="array" ref="AL669">_xlfn.IFS(Table1[[#This Row],[JobSatisfaction]]=1,"Low",Table1[[#This Row],[JobSatisfaction]]=2,"Medium",Table1[[#This Row],[JobSatisfaction]]=3,"High",Table1[[#This Row],[JobSatisfaction]]=4,"Very High")</f>
        <v>Very High</v>
      </c>
      <c r="AM669">
        <f>IF(Table1[[#This Row],[Attrition]]="Yes",1,0)</f>
        <v>1</v>
      </c>
    </row>
    <row r="670" spans="1:39" ht="13.8" x14ac:dyDescent="0.25">
      <c r="A670">
        <v>28</v>
      </c>
      <c r="B670" t="str" cm="1">
        <f t="array" ref="B670">_xlfn.IFS(Table1[[#This Row],[Age]]&lt;30,"Under 30",Table1[[#This Row],[Age]]&lt;=40,"30-40",Table1[[#This Row],[Age]]&lt;=50,"41-50",Table1[[#This Row],[Age]]&gt;50,"Over 50")</f>
        <v>Under 30</v>
      </c>
      <c r="C670" t="s">
        <v>43</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t="str" cm="1">
        <f t="array" ref="AH670">_xlfn.IFS(Table1[[#This Row],[YearsAtCompany]]&lt;=2,"0-2 years",Table1[[#This Row],[YearsAtCompany]]&lt;=5,"3-5 years",Table1[[#This Row],[YearsAtCompany]]&lt;=10,"6-10 years",Table1[[#This Row],[YearsAtCompany]]&gt;10,"10+ years")</f>
        <v>0-2 years</v>
      </c>
      <c r="AI670">
        <v>2</v>
      </c>
      <c r="AJ670">
        <v>2</v>
      </c>
      <c r="AK670">
        <v>2</v>
      </c>
      <c r="AL670" t="str" cm="1">
        <f t="array" ref="AL670">_xlfn.IFS(Table1[[#This Row],[JobSatisfaction]]=1,"Low",Table1[[#This Row],[JobSatisfaction]]=2,"Medium",Table1[[#This Row],[JobSatisfaction]]=3,"High",Table1[[#This Row],[JobSatisfaction]]=4,"Very High")</f>
        <v>High</v>
      </c>
      <c r="AM670">
        <f>IF(Table1[[#This Row],[Attrition]]="Yes",1,0)</f>
        <v>0</v>
      </c>
    </row>
    <row r="671" spans="1:39" ht="13.8" x14ac:dyDescent="0.25">
      <c r="A671">
        <v>39</v>
      </c>
      <c r="B671" t="str" cm="1">
        <f t="array" ref="B671">_xlfn.IFS(Table1[[#This Row],[Age]]&lt;30,"Under 30",Table1[[#This Row],[Age]]&lt;=40,"30-40",Table1[[#This Row],[Age]]&lt;=50,"41-50",Table1[[#This Row],[Age]]&gt;50,"Over 50")</f>
        <v>30-40</v>
      </c>
      <c r="C671" t="s">
        <v>35</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t="str" cm="1">
        <f t="array" ref="AH671">_xlfn.IFS(Table1[[#This Row],[YearsAtCompany]]&lt;=2,"0-2 years",Table1[[#This Row],[YearsAtCompany]]&lt;=5,"3-5 years",Table1[[#This Row],[YearsAtCompany]]&lt;=10,"6-10 years",Table1[[#This Row],[YearsAtCompany]]&gt;10,"10+ years")</f>
        <v>0-2 years</v>
      </c>
      <c r="AI671">
        <v>2</v>
      </c>
      <c r="AJ671">
        <v>2</v>
      </c>
      <c r="AK671">
        <v>2</v>
      </c>
      <c r="AL671" t="str" cm="1">
        <f t="array" ref="AL671">_xlfn.IFS(Table1[[#This Row],[JobSatisfaction]]=1,"Low",Table1[[#This Row],[JobSatisfaction]]=2,"Medium",Table1[[#This Row],[JobSatisfaction]]=3,"High",Table1[[#This Row],[JobSatisfaction]]=4,"Very High")</f>
        <v>Low</v>
      </c>
      <c r="AM671">
        <f>IF(Table1[[#This Row],[Attrition]]="Yes",1,0)</f>
        <v>1</v>
      </c>
    </row>
    <row r="672" spans="1:39" ht="13.8" x14ac:dyDescent="0.25">
      <c r="A672">
        <v>27</v>
      </c>
      <c r="B672" t="str" cm="1">
        <f t="array" ref="B672">_xlfn.IFS(Table1[[#This Row],[Age]]&lt;30,"Under 30",Table1[[#This Row],[Age]]&lt;=40,"30-40",Table1[[#This Row],[Age]]&lt;=50,"41-50",Table1[[#This Row],[Age]]&gt;50,"Over 50")</f>
        <v>Under 30</v>
      </c>
      <c r="C672" t="s">
        <v>43</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t="str" cm="1">
        <f t="array" ref="AH672">_xlfn.IFS(Table1[[#This Row],[YearsAtCompany]]&lt;=2,"0-2 years",Table1[[#This Row],[YearsAtCompany]]&lt;=5,"3-5 years",Table1[[#This Row],[YearsAtCompany]]&lt;=10,"6-10 years",Table1[[#This Row],[YearsAtCompany]]&gt;10,"10+ years")</f>
        <v>0-2 years</v>
      </c>
      <c r="AI672">
        <v>1</v>
      </c>
      <c r="AJ672">
        <v>0</v>
      </c>
      <c r="AK672">
        <v>0</v>
      </c>
      <c r="AL672" t="str" cm="1">
        <f t="array" ref="AL672">_xlfn.IFS(Table1[[#This Row],[JobSatisfaction]]=1,"Low",Table1[[#This Row],[JobSatisfaction]]=2,"Medium",Table1[[#This Row],[JobSatisfaction]]=3,"High",Table1[[#This Row],[JobSatisfaction]]=4,"Very High")</f>
        <v>High</v>
      </c>
      <c r="AM672">
        <f>IF(Table1[[#This Row],[Attrition]]="Yes",1,0)</f>
        <v>0</v>
      </c>
    </row>
    <row r="673" spans="1:39" ht="13.8" x14ac:dyDescent="0.25">
      <c r="A673">
        <v>34</v>
      </c>
      <c r="B673" t="str" cm="1">
        <f t="array" ref="B673">_xlfn.IFS(Table1[[#This Row],[Age]]&lt;30,"Under 30",Table1[[#This Row],[Age]]&lt;=40,"30-40",Table1[[#This Row],[Age]]&lt;=50,"41-50",Table1[[#This Row],[Age]]&gt;50,"Over 50")</f>
        <v>30-40</v>
      </c>
      <c r="C673" t="s">
        <v>43</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t="str" cm="1">
        <f t="array" ref="AH673">_xlfn.IFS(Table1[[#This Row],[YearsAtCompany]]&lt;=2,"0-2 years",Table1[[#This Row],[YearsAtCompany]]&lt;=5,"3-5 years",Table1[[#This Row],[YearsAtCompany]]&lt;=10,"6-10 years",Table1[[#This Row],[YearsAtCompany]]&gt;10,"10+ years")</f>
        <v>0-2 years</v>
      </c>
      <c r="AI673">
        <v>0</v>
      </c>
      <c r="AJ673">
        <v>1</v>
      </c>
      <c r="AK673">
        <v>0</v>
      </c>
      <c r="AL673" t="str" cm="1">
        <f t="array" ref="AL673">_xlfn.IFS(Table1[[#This Row],[JobSatisfaction]]=1,"Low",Table1[[#This Row],[JobSatisfaction]]=2,"Medium",Table1[[#This Row],[JobSatisfaction]]=3,"High",Table1[[#This Row],[JobSatisfaction]]=4,"Very High")</f>
        <v>Medium</v>
      </c>
      <c r="AM673">
        <f>IF(Table1[[#This Row],[Attrition]]="Yes",1,0)</f>
        <v>0</v>
      </c>
    </row>
    <row r="674" spans="1:39" ht="13.8" x14ac:dyDescent="0.25">
      <c r="A674">
        <v>42</v>
      </c>
      <c r="B674" t="str" cm="1">
        <f t="array" ref="B674">_xlfn.IFS(Table1[[#This Row],[Age]]&lt;30,"Under 30",Table1[[#This Row],[Age]]&lt;=40,"30-40",Table1[[#This Row],[Age]]&lt;=50,"41-50",Table1[[#This Row],[Age]]&gt;50,"Over 50")</f>
        <v>41-50</v>
      </c>
      <c r="C674" t="s">
        <v>43</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t="str" cm="1">
        <f t="array" ref="AH674">_xlfn.IFS(Table1[[#This Row],[YearsAtCompany]]&lt;=2,"0-2 years",Table1[[#This Row],[YearsAtCompany]]&lt;=5,"3-5 years",Table1[[#This Row],[YearsAtCompany]]&lt;=10,"6-10 years",Table1[[#This Row],[YearsAtCompany]]&gt;10,"10+ years")</f>
        <v>3-5 years</v>
      </c>
      <c r="AI674">
        <v>4</v>
      </c>
      <c r="AJ674">
        <v>0</v>
      </c>
      <c r="AK674">
        <v>3</v>
      </c>
      <c r="AL674" t="str" cm="1">
        <f t="array" ref="AL674">_xlfn.IFS(Table1[[#This Row],[JobSatisfaction]]=1,"Low",Table1[[#This Row],[JobSatisfaction]]=2,"Medium",Table1[[#This Row],[JobSatisfaction]]=3,"High",Table1[[#This Row],[JobSatisfaction]]=4,"Very High")</f>
        <v>High</v>
      </c>
      <c r="AM674">
        <f>IF(Table1[[#This Row],[Attrition]]="Yes",1,0)</f>
        <v>0</v>
      </c>
    </row>
    <row r="675" spans="1:39" ht="13.8" x14ac:dyDescent="0.25">
      <c r="A675">
        <v>33</v>
      </c>
      <c r="B675" t="str" cm="1">
        <f t="array" ref="B675">_xlfn.IFS(Table1[[#This Row],[Age]]&lt;30,"Under 30",Table1[[#This Row],[Age]]&lt;=40,"30-40",Table1[[#This Row],[Age]]&lt;=50,"41-50",Table1[[#This Row],[Age]]&gt;50,"Over 50")</f>
        <v>30-40</v>
      </c>
      <c r="C675" t="s">
        <v>43</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t="str" cm="1">
        <f t="array" ref="AH675">_xlfn.IFS(Table1[[#This Row],[YearsAtCompany]]&lt;=2,"0-2 years",Table1[[#This Row],[YearsAtCompany]]&lt;=5,"3-5 years",Table1[[#This Row],[YearsAtCompany]]&lt;=10,"6-10 years",Table1[[#This Row],[YearsAtCompany]]&gt;10,"10+ years")</f>
        <v>3-5 years</v>
      </c>
      <c r="AI675">
        <v>2</v>
      </c>
      <c r="AJ675">
        <v>0</v>
      </c>
      <c r="AK675">
        <v>2</v>
      </c>
      <c r="AL675" t="str" cm="1">
        <f t="array" ref="AL675">_xlfn.IFS(Table1[[#This Row],[JobSatisfaction]]=1,"Low",Table1[[#This Row],[JobSatisfaction]]=2,"Medium",Table1[[#This Row],[JobSatisfaction]]=3,"High",Table1[[#This Row],[JobSatisfaction]]=4,"Very High")</f>
        <v>Low</v>
      </c>
      <c r="AM675">
        <f>IF(Table1[[#This Row],[Attrition]]="Yes",1,0)</f>
        <v>0</v>
      </c>
    </row>
    <row r="676" spans="1:39" ht="13.8" x14ac:dyDescent="0.25">
      <c r="A676">
        <v>58</v>
      </c>
      <c r="B676" t="str" cm="1">
        <f t="array" ref="B676">_xlfn.IFS(Table1[[#This Row],[Age]]&lt;30,"Under 30",Table1[[#This Row],[Age]]&lt;=40,"30-40",Table1[[#This Row],[Age]]&lt;=50,"41-50",Table1[[#This Row],[Age]]&gt;50,"Over 50")</f>
        <v>Over 50</v>
      </c>
      <c r="C676" t="s">
        <v>43</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t="str" cm="1">
        <f t="array" ref="AH676">_xlfn.IFS(Table1[[#This Row],[YearsAtCompany]]&lt;=2,"0-2 years",Table1[[#This Row],[YearsAtCompany]]&lt;=5,"3-5 years",Table1[[#This Row],[YearsAtCompany]]&lt;=10,"6-10 years",Table1[[#This Row],[YearsAtCompany]]&gt;10,"10+ years")</f>
        <v>6-10 years</v>
      </c>
      <c r="AI676">
        <v>0</v>
      </c>
      <c r="AJ676">
        <v>0</v>
      </c>
      <c r="AK676">
        <v>4</v>
      </c>
      <c r="AL676" t="str" cm="1">
        <f t="array" ref="AL676">_xlfn.IFS(Table1[[#This Row],[JobSatisfaction]]=1,"Low",Table1[[#This Row],[JobSatisfaction]]=2,"Medium",Table1[[#This Row],[JobSatisfaction]]=3,"High",Table1[[#This Row],[JobSatisfaction]]=4,"Very High")</f>
        <v>Medium</v>
      </c>
      <c r="AM676">
        <f>IF(Table1[[#This Row],[Attrition]]="Yes",1,0)</f>
        <v>0</v>
      </c>
    </row>
    <row r="677" spans="1:39" ht="13.8" x14ac:dyDescent="0.25">
      <c r="A677">
        <v>31</v>
      </c>
      <c r="B677" t="str" cm="1">
        <f t="array" ref="B677">_xlfn.IFS(Table1[[#This Row],[Age]]&lt;30,"Under 30",Table1[[#This Row],[Age]]&lt;=40,"30-40",Table1[[#This Row],[Age]]&lt;=50,"41-50",Table1[[#This Row],[Age]]&gt;50,"Over 50")</f>
        <v>30-40</v>
      </c>
      <c r="C677" t="s">
        <v>43</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t="str" cm="1">
        <f t="array" ref="AH677">_xlfn.IFS(Table1[[#This Row],[YearsAtCompany]]&lt;=2,"0-2 years",Table1[[#This Row],[YearsAtCompany]]&lt;=5,"3-5 years",Table1[[#This Row],[YearsAtCompany]]&lt;=10,"6-10 years",Table1[[#This Row],[YearsAtCompany]]&gt;10,"10+ years")</f>
        <v>6-10 years</v>
      </c>
      <c r="AI677">
        <v>7</v>
      </c>
      <c r="AJ677">
        <v>5</v>
      </c>
      <c r="AK677">
        <v>2</v>
      </c>
      <c r="AL677" t="str" cm="1">
        <f t="array" ref="AL677">_xlfn.IFS(Table1[[#This Row],[JobSatisfaction]]=1,"Low",Table1[[#This Row],[JobSatisfaction]]=2,"Medium",Table1[[#This Row],[JobSatisfaction]]=3,"High",Table1[[#This Row],[JobSatisfaction]]=4,"Very High")</f>
        <v>High</v>
      </c>
      <c r="AM677">
        <f>IF(Table1[[#This Row],[Attrition]]="Yes",1,0)</f>
        <v>0</v>
      </c>
    </row>
    <row r="678" spans="1:39" ht="13.8" x14ac:dyDescent="0.25">
      <c r="A678">
        <v>35</v>
      </c>
      <c r="B678" t="str" cm="1">
        <f t="array" ref="B678">_xlfn.IFS(Table1[[#This Row],[Age]]&lt;30,"Under 30",Table1[[#This Row],[Age]]&lt;=40,"30-40",Table1[[#This Row],[Age]]&lt;=50,"41-50",Table1[[#This Row],[Age]]&gt;50,"Over 50")</f>
        <v>30-40</v>
      </c>
      <c r="C678" t="s">
        <v>43</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t="str" cm="1">
        <f t="array" ref="AH678">_xlfn.IFS(Table1[[#This Row],[YearsAtCompany]]&lt;=2,"0-2 years",Table1[[#This Row],[YearsAtCompany]]&lt;=5,"3-5 years",Table1[[#This Row],[YearsAtCompany]]&lt;=10,"6-10 years",Table1[[#This Row],[YearsAtCompany]]&gt;10,"10+ years")</f>
        <v>6-10 years</v>
      </c>
      <c r="AI678">
        <v>6</v>
      </c>
      <c r="AJ678">
        <v>0</v>
      </c>
      <c r="AK678">
        <v>7</v>
      </c>
      <c r="AL678" t="str" cm="1">
        <f t="array" ref="AL678">_xlfn.IFS(Table1[[#This Row],[JobSatisfaction]]=1,"Low",Table1[[#This Row],[JobSatisfaction]]=2,"Medium",Table1[[#This Row],[JobSatisfaction]]=3,"High",Table1[[#This Row],[JobSatisfaction]]=4,"Very High")</f>
        <v>Very High</v>
      </c>
      <c r="AM678">
        <f>IF(Table1[[#This Row],[Attrition]]="Yes",1,0)</f>
        <v>0</v>
      </c>
    </row>
    <row r="679" spans="1:39" ht="13.8" x14ac:dyDescent="0.25">
      <c r="A679">
        <v>49</v>
      </c>
      <c r="B679" t="str" cm="1">
        <f t="array" ref="B679">_xlfn.IFS(Table1[[#This Row],[Age]]&lt;30,"Under 30",Table1[[#This Row],[Age]]&lt;=40,"30-40",Table1[[#This Row],[Age]]&lt;=50,"41-50",Table1[[#This Row],[Age]]&gt;50,"Over 50")</f>
        <v>41-50</v>
      </c>
      <c r="C679" t="s">
        <v>43</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t="str" cm="1">
        <f t="array" ref="AH679">_xlfn.IFS(Table1[[#This Row],[YearsAtCompany]]&lt;=2,"0-2 years",Table1[[#This Row],[YearsAtCompany]]&lt;=5,"3-5 years",Table1[[#This Row],[YearsAtCompany]]&lt;=10,"6-10 years",Table1[[#This Row],[YearsAtCompany]]&gt;10,"10+ years")</f>
        <v>10+ years</v>
      </c>
      <c r="AI679">
        <v>9</v>
      </c>
      <c r="AJ679">
        <v>1</v>
      </c>
      <c r="AK679">
        <v>7</v>
      </c>
      <c r="AL679" t="str" cm="1">
        <f t="array" ref="AL679">_xlfn.IFS(Table1[[#This Row],[JobSatisfaction]]=1,"Low",Table1[[#This Row],[JobSatisfaction]]=2,"Medium",Table1[[#This Row],[JobSatisfaction]]=3,"High",Table1[[#This Row],[JobSatisfaction]]=4,"Very High")</f>
        <v>Medium</v>
      </c>
      <c r="AM679">
        <f>IF(Table1[[#This Row],[Attrition]]="Yes",1,0)</f>
        <v>0</v>
      </c>
    </row>
    <row r="680" spans="1:39" ht="13.8" x14ac:dyDescent="0.25">
      <c r="A680">
        <v>48</v>
      </c>
      <c r="B680" t="str" cm="1">
        <f t="array" ref="B680">_xlfn.IFS(Table1[[#This Row],[Age]]&lt;30,"Under 30",Table1[[#This Row],[Age]]&lt;=40,"30-40",Table1[[#This Row],[Age]]&lt;=50,"41-50",Table1[[#This Row],[Age]]&gt;50,"Over 50")</f>
        <v>41-50</v>
      </c>
      <c r="C680" t="s">
        <v>43</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t="str" cm="1">
        <f t="array" ref="AH680">_xlfn.IFS(Table1[[#This Row],[YearsAtCompany]]&lt;=2,"0-2 years",Table1[[#This Row],[YearsAtCompany]]&lt;=5,"3-5 years",Table1[[#This Row],[YearsAtCompany]]&lt;=10,"6-10 years",Table1[[#This Row],[YearsAtCompany]]&gt;10,"10+ years")</f>
        <v>0-2 years</v>
      </c>
      <c r="AI680">
        <v>0</v>
      </c>
      <c r="AJ680">
        <v>0</v>
      </c>
      <c r="AK680">
        <v>0</v>
      </c>
      <c r="AL680" t="str" cm="1">
        <f t="array" ref="AL680">_xlfn.IFS(Table1[[#This Row],[JobSatisfaction]]=1,"Low",Table1[[#This Row],[JobSatisfaction]]=2,"Medium",Table1[[#This Row],[JobSatisfaction]]=3,"High",Table1[[#This Row],[JobSatisfaction]]=4,"Very High")</f>
        <v>High</v>
      </c>
      <c r="AM680">
        <f>IF(Table1[[#This Row],[Attrition]]="Yes",1,0)</f>
        <v>0</v>
      </c>
    </row>
    <row r="681" spans="1:39" ht="13.8" x14ac:dyDescent="0.25">
      <c r="A681">
        <v>31</v>
      </c>
      <c r="B681" t="str" cm="1">
        <f t="array" ref="B681">_xlfn.IFS(Table1[[#This Row],[Age]]&lt;30,"Under 30",Table1[[#This Row],[Age]]&lt;=40,"30-40",Table1[[#This Row],[Age]]&lt;=50,"41-50",Table1[[#This Row],[Age]]&gt;50,"Over 50")</f>
        <v>30-40</v>
      </c>
      <c r="C681" t="s">
        <v>43</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t="str" cm="1">
        <f t="array" ref="AH681">_xlfn.IFS(Table1[[#This Row],[YearsAtCompany]]&lt;=2,"0-2 years",Table1[[#This Row],[YearsAtCompany]]&lt;=5,"3-5 years",Table1[[#This Row],[YearsAtCompany]]&lt;=10,"6-10 years",Table1[[#This Row],[YearsAtCompany]]&gt;10,"10+ years")</f>
        <v>6-10 years</v>
      </c>
      <c r="AI681">
        <v>8</v>
      </c>
      <c r="AJ681">
        <v>0</v>
      </c>
      <c r="AK681">
        <v>0</v>
      </c>
      <c r="AL681" t="str" cm="1">
        <f t="array" ref="AL681">_xlfn.IFS(Table1[[#This Row],[JobSatisfaction]]=1,"Low",Table1[[#This Row],[JobSatisfaction]]=2,"Medium",Table1[[#This Row],[JobSatisfaction]]=3,"High",Table1[[#This Row],[JobSatisfaction]]=4,"Very High")</f>
        <v>High</v>
      </c>
      <c r="AM681">
        <f>IF(Table1[[#This Row],[Attrition]]="Yes",1,0)</f>
        <v>0</v>
      </c>
    </row>
    <row r="682" spans="1:39" ht="13.8" x14ac:dyDescent="0.25">
      <c r="A682">
        <v>36</v>
      </c>
      <c r="B682" t="str" cm="1">
        <f t="array" ref="B682">_xlfn.IFS(Table1[[#This Row],[Age]]&lt;30,"Under 30",Table1[[#This Row],[Age]]&lt;=40,"30-40",Table1[[#This Row],[Age]]&lt;=50,"41-50",Table1[[#This Row],[Age]]&gt;50,"Over 50")</f>
        <v>30-40</v>
      </c>
      <c r="C682" t="s">
        <v>43</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t="str" cm="1">
        <f t="array" ref="AH682">_xlfn.IFS(Table1[[#This Row],[YearsAtCompany]]&lt;=2,"0-2 years",Table1[[#This Row],[YearsAtCompany]]&lt;=5,"3-5 years",Table1[[#This Row],[YearsAtCompany]]&lt;=10,"6-10 years",Table1[[#This Row],[YearsAtCompany]]&gt;10,"10+ years")</f>
        <v>6-10 years</v>
      </c>
      <c r="AI682">
        <v>2</v>
      </c>
      <c r="AJ682">
        <v>0</v>
      </c>
      <c r="AK682">
        <v>1</v>
      </c>
      <c r="AL682" t="str" cm="1">
        <f t="array" ref="AL682">_xlfn.IFS(Table1[[#This Row],[JobSatisfaction]]=1,"Low",Table1[[#This Row],[JobSatisfaction]]=2,"Medium",Table1[[#This Row],[JobSatisfaction]]=3,"High",Table1[[#This Row],[JobSatisfaction]]=4,"Very High")</f>
        <v>Very High</v>
      </c>
      <c r="AM682">
        <f>IF(Table1[[#This Row],[Attrition]]="Yes",1,0)</f>
        <v>0</v>
      </c>
    </row>
    <row r="683" spans="1:39" ht="13.8" x14ac:dyDescent="0.25">
      <c r="A683">
        <v>38</v>
      </c>
      <c r="B683" t="str" cm="1">
        <f t="array" ref="B683">_xlfn.IFS(Table1[[#This Row],[Age]]&lt;30,"Under 30",Table1[[#This Row],[Age]]&lt;=40,"30-40",Table1[[#This Row],[Age]]&lt;=50,"41-50",Table1[[#This Row],[Age]]&gt;50,"Over 50")</f>
        <v>30-40</v>
      </c>
      <c r="C683" t="s">
        <v>43</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t="str" cm="1">
        <f t="array" ref="AH683">_xlfn.IFS(Table1[[#This Row],[YearsAtCompany]]&lt;=2,"0-2 years",Table1[[#This Row],[YearsAtCompany]]&lt;=5,"3-5 years",Table1[[#This Row],[YearsAtCompany]]&lt;=10,"6-10 years",Table1[[#This Row],[YearsAtCompany]]&gt;10,"10+ years")</f>
        <v>10+ years</v>
      </c>
      <c r="AI683">
        <v>12</v>
      </c>
      <c r="AJ683">
        <v>5</v>
      </c>
      <c r="AK683">
        <v>11</v>
      </c>
      <c r="AL683" t="str" cm="1">
        <f t="array" ref="AL683">_xlfn.IFS(Table1[[#This Row],[JobSatisfaction]]=1,"Low",Table1[[#This Row],[JobSatisfaction]]=2,"Medium",Table1[[#This Row],[JobSatisfaction]]=3,"High",Table1[[#This Row],[JobSatisfaction]]=4,"Very High")</f>
        <v>Low</v>
      </c>
      <c r="AM683">
        <f>IF(Table1[[#This Row],[Attrition]]="Yes",1,0)</f>
        <v>0</v>
      </c>
    </row>
    <row r="684" spans="1:39" ht="13.8" x14ac:dyDescent="0.25">
      <c r="A684">
        <v>32</v>
      </c>
      <c r="B684" t="str" cm="1">
        <f t="array" ref="B684">_xlfn.IFS(Table1[[#This Row],[Age]]&lt;30,"Under 30",Table1[[#This Row],[Age]]&lt;=40,"30-40",Table1[[#This Row],[Age]]&lt;=50,"41-50",Table1[[#This Row],[Age]]&gt;50,"Over 50")</f>
        <v>30-40</v>
      </c>
      <c r="C684" t="s">
        <v>43</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t="str" cm="1">
        <f t="array" ref="AH684">_xlfn.IFS(Table1[[#This Row],[YearsAtCompany]]&lt;=2,"0-2 years",Table1[[#This Row],[YearsAtCompany]]&lt;=5,"3-5 years",Table1[[#This Row],[YearsAtCompany]]&lt;=10,"6-10 years",Table1[[#This Row],[YearsAtCompany]]&gt;10,"10+ years")</f>
        <v>3-5 years</v>
      </c>
      <c r="AI684">
        <v>0</v>
      </c>
      <c r="AJ684">
        <v>0</v>
      </c>
      <c r="AK684">
        <v>2</v>
      </c>
      <c r="AL684" t="str" cm="1">
        <f t="array" ref="AL684">_xlfn.IFS(Table1[[#This Row],[JobSatisfaction]]=1,"Low",Table1[[#This Row],[JobSatisfaction]]=2,"Medium",Table1[[#This Row],[JobSatisfaction]]=3,"High",Table1[[#This Row],[JobSatisfaction]]=4,"Very High")</f>
        <v>Medium</v>
      </c>
      <c r="AM684">
        <f>IF(Table1[[#This Row],[Attrition]]="Yes",1,0)</f>
        <v>0</v>
      </c>
    </row>
    <row r="685" spans="1:39" ht="13.8" x14ac:dyDescent="0.25">
      <c r="A685">
        <v>25</v>
      </c>
      <c r="B685" t="str" cm="1">
        <f t="array" ref="B685">_xlfn.IFS(Table1[[#This Row],[Age]]&lt;30,"Under 30",Table1[[#This Row],[Age]]&lt;=40,"30-40",Table1[[#This Row],[Age]]&lt;=50,"41-50",Table1[[#This Row],[Age]]&gt;50,"Over 50")</f>
        <v>Under 30</v>
      </c>
      <c r="C685" t="s">
        <v>35</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t="str" cm="1">
        <f t="array" ref="AH685">_xlfn.IFS(Table1[[#This Row],[YearsAtCompany]]&lt;=2,"0-2 years",Table1[[#This Row],[YearsAtCompany]]&lt;=5,"3-5 years",Table1[[#This Row],[YearsAtCompany]]&lt;=10,"6-10 years",Table1[[#This Row],[YearsAtCompany]]&gt;10,"10+ years")</f>
        <v>0-2 years</v>
      </c>
      <c r="AI685">
        <v>0</v>
      </c>
      <c r="AJ685">
        <v>0</v>
      </c>
      <c r="AK685">
        <v>0</v>
      </c>
      <c r="AL685" t="str" cm="1">
        <f t="array" ref="AL685">_xlfn.IFS(Table1[[#This Row],[JobSatisfaction]]=1,"Low",Table1[[#This Row],[JobSatisfaction]]=2,"Medium",Table1[[#This Row],[JobSatisfaction]]=3,"High",Table1[[#This Row],[JobSatisfaction]]=4,"Very High")</f>
        <v>Medium</v>
      </c>
      <c r="AM685">
        <f>IF(Table1[[#This Row],[Attrition]]="Yes",1,0)</f>
        <v>1</v>
      </c>
    </row>
    <row r="686" spans="1:39" ht="13.8" x14ac:dyDescent="0.25">
      <c r="A686">
        <v>40</v>
      </c>
      <c r="B686" t="str" cm="1">
        <f t="array" ref="B686">_xlfn.IFS(Table1[[#This Row],[Age]]&lt;30,"Under 30",Table1[[#This Row],[Age]]&lt;=40,"30-40",Table1[[#This Row],[Age]]&lt;=50,"41-50",Table1[[#This Row],[Age]]&gt;50,"Over 50")</f>
        <v>30-40</v>
      </c>
      <c r="C686" t="s">
        <v>43</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t="str" cm="1">
        <f t="array" ref="AH686">_xlfn.IFS(Table1[[#This Row],[YearsAtCompany]]&lt;=2,"0-2 years",Table1[[#This Row],[YearsAtCompany]]&lt;=5,"3-5 years",Table1[[#This Row],[YearsAtCompany]]&lt;=10,"6-10 years",Table1[[#This Row],[YearsAtCompany]]&gt;10,"10+ years")</f>
        <v>0-2 years</v>
      </c>
      <c r="AI686">
        <v>0</v>
      </c>
      <c r="AJ686">
        <v>0</v>
      </c>
      <c r="AK686">
        <v>0</v>
      </c>
      <c r="AL686" t="str" cm="1">
        <f t="array" ref="AL686">_xlfn.IFS(Table1[[#This Row],[JobSatisfaction]]=1,"Low",Table1[[#This Row],[JobSatisfaction]]=2,"Medium",Table1[[#This Row],[JobSatisfaction]]=3,"High",Table1[[#This Row],[JobSatisfaction]]=4,"Very High")</f>
        <v>Medium</v>
      </c>
      <c r="AM686">
        <f>IF(Table1[[#This Row],[Attrition]]="Yes",1,0)</f>
        <v>0</v>
      </c>
    </row>
    <row r="687" spans="1:39" ht="13.8" x14ac:dyDescent="0.25">
      <c r="A687">
        <v>26</v>
      </c>
      <c r="B687" t="str" cm="1">
        <f t="array" ref="B687">_xlfn.IFS(Table1[[#This Row],[Age]]&lt;30,"Under 30",Table1[[#This Row],[Age]]&lt;=40,"30-40",Table1[[#This Row],[Age]]&lt;=50,"41-50",Table1[[#This Row],[Age]]&gt;50,"Over 50")</f>
        <v>Under 30</v>
      </c>
      <c r="C687" t="s">
        <v>43</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t="str" cm="1">
        <f t="array" ref="AH687">_xlfn.IFS(Table1[[#This Row],[YearsAtCompany]]&lt;=2,"0-2 years",Table1[[#This Row],[YearsAtCompany]]&lt;=5,"3-5 years",Table1[[#This Row],[YearsAtCompany]]&lt;=10,"6-10 years",Table1[[#This Row],[YearsAtCompany]]&gt;10,"10+ years")</f>
        <v>6-10 years</v>
      </c>
      <c r="AI687">
        <v>7</v>
      </c>
      <c r="AJ687">
        <v>0</v>
      </c>
      <c r="AK687">
        <v>7</v>
      </c>
      <c r="AL687" t="str" cm="1">
        <f t="array" ref="AL687">_xlfn.IFS(Table1[[#This Row],[JobSatisfaction]]=1,"Low",Table1[[#This Row],[JobSatisfaction]]=2,"Medium",Table1[[#This Row],[JobSatisfaction]]=3,"High",Table1[[#This Row],[JobSatisfaction]]=4,"Very High")</f>
        <v>Low</v>
      </c>
      <c r="AM687">
        <f>IF(Table1[[#This Row],[Attrition]]="Yes",1,0)</f>
        <v>0</v>
      </c>
    </row>
    <row r="688" spans="1:39" ht="13.8" x14ac:dyDescent="0.25">
      <c r="A688">
        <v>41</v>
      </c>
      <c r="B688" t="str" cm="1">
        <f t="array" ref="B688">_xlfn.IFS(Table1[[#This Row],[Age]]&lt;30,"Under 30",Table1[[#This Row],[Age]]&lt;=40,"30-40",Table1[[#This Row],[Age]]&lt;=50,"41-50",Table1[[#This Row],[Age]]&gt;50,"Over 50")</f>
        <v>41-50</v>
      </c>
      <c r="C688" t="s">
        <v>43</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t="str" cm="1">
        <f t="array" ref="AH688">_xlfn.IFS(Table1[[#This Row],[YearsAtCompany]]&lt;=2,"0-2 years",Table1[[#This Row],[YearsAtCompany]]&lt;=5,"3-5 years",Table1[[#This Row],[YearsAtCompany]]&lt;=10,"6-10 years",Table1[[#This Row],[YearsAtCompany]]&gt;10,"10+ years")</f>
        <v>10+ years</v>
      </c>
      <c r="AI688">
        <v>13</v>
      </c>
      <c r="AJ688">
        <v>2</v>
      </c>
      <c r="AK688">
        <v>17</v>
      </c>
      <c r="AL688" t="str" cm="1">
        <f t="array" ref="AL688">_xlfn.IFS(Table1[[#This Row],[JobSatisfaction]]=1,"Low",Table1[[#This Row],[JobSatisfaction]]=2,"Medium",Table1[[#This Row],[JobSatisfaction]]=3,"High",Table1[[#This Row],[JobSatisfaction]]=4,"Very High")</f>
        <v>Low</v>
      </c>
      <c r="AM688">
        <f>IF(Table1[[#This Row],[Attrition]]="Yes",1,0)</f>
        <v>0</v>
      </c>
    </row>
    <row r="689" spans="1:39" ht="13.8" x14ac:dyDescent="0.25">
      <c r="A689">
        <v>36</v>
      </c>
      <c r="B689" t="str" cm="1">
        <f t="array" ref="B689">_xlfn.IFS(Table1[[#This Row],[Age]]&lt;30,"Under 30",Table1[[#This Row],[Age]]&lt;=40,"30-40",Table1[[#This Row],[Age]]&lt;=50,"41-50",Table1[[#This Row],[Age]]&gt;50,"Over 50")</f>
        <v>30-40</v>
      </c>
      <c r="C689" t="s">
        <v>43</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t="str" cm="1">
        <f t="array" ref="AH689">_xlfn.IFS(Table1[[#This Row],[YearsAtCompany]]&lt;=2,"0-2 years",Table1[[#This Row],[YearsAtCompany]]&lt;=5,"3-5 years",Table1[[#This Row],[YearsAtCompany]]&lt;=10,"6-10 years",Table1[[#This Row],[YearsAtCompany]]&gt;10,"10+ years")</f>
        <v>10+ years</v>
      </c>
      <c r="AI689">
        <v>8</v>
      </c>
      <c r="AJ689">
        <v>3</v>
      </c>
      <c r="AK689">
        <v>9</v>
      </c>
      <c r="AL689" t="str" cm="1">
        <f t="array" ref="AL689">_xlfn.IFS(Table1[[#This Row],[JobSatisfaction]]=1,"Low",Table1[[#This Row],[JobSatisfaction]]=2,"Medium",Table1[[#This Row],[JobSatisfaction]]=3,"High",Table1[[#This Row],[JobSatisfaction]]=4,"Very High")</f>
        <v>High</v>
      </c>
      <c r="AM689">
        <f>IF(Table1[[#This Row],[Attrition]]="Yes",1,0)</f>
        <v>0</v>
      </c>
    </row>
    <row r="690" spans="1:39" ht="13.8" x14ac:dyDescent="0.25">
      <c r="A690">
        <v>19</v>
      </c>
      <c r="B690" t="str" cm="1">
        <f t="array" ref="B690">_xlfn.IFS(Table1[[#This Row],[Age]]&lt;30,"Under 30",Table1[[#This Row],[Age]]&lt;=40,"30-40",Table1[[#This Row],[Age]]&lt;=50,"41-50",Table1[[#This Row],[Age]]&gt;50,"Over 50")</f>
        <v>Under 30</v>
      </c>
      <c r="C690" t="s">
        <v>35</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t="str" cm="1">
        <f t="array" ref="AH690">_xlfn.IFS(Table1[[#This Row],[YearsAtCompany]]&lt;=2,"0-2 years",Table1[[#This Row],[YearsAtCompany]]&lt;=5,"3-5 years",Table1[[#This Row],[YearsAtCompany]]&lt;=10,"6-10 years",Table1[[#This Row],[YearsAtCompany]]&gt;10,"10+ years")</f>
        <v>0-2 years</v>
      </c>
      <c r="AI690">
        <v>0</v>
      </c>
      <c r="AJ690">
        <v>0</v>
      </c>
      <c r="AK690">
        <v>0</v>
      </c>
      <c r="AL690" t="str" cm="1">
        <f t="array" ref="AL690">_xlfn.IFS(Table1[[#This Row],[JobSatisfaction]]=1,"Low",Table1[[#This Row],[JobSatisfaction]]=2,"Medium",Table1[[#This Row],[JobSatisfaction]]=3,"High",Table1[[#This Row],[JobSatisfaction]]=4,"Very High")</f>
        <v>Medium</v>
      </c>
      <c r="AM690">
        <f>IF(Table1[[#This Row],[Attrition]]="Yes",1,0)</f>
        <v>1</v>
      </c>
    </row>
    <row r="691" spans="1:39" ht="13.8" x14ac:dyDescent="0.25">
      <c r="A691">
        <v>20</v>
      </c>
      <c r="B691" t="str" cm="1">
        <f t="array" ref="B691">_xlfn.IFS(Table1[[#This Row],[Age]]&lt;30,"Under 30",Table1[[#This Row],[Age]]&lt;=40,"30-40",Table1[[#This Row],[Age]]&lt;=50,"41-50",Table1[[#This Row],[Age]]&gt;50,"Over 50")</f>
        <v>Under 30</v>
      </c>
      <c r="C691" t="s">
        <v>35</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t="str" cm="1">
        <f t="array" ref="AH691">_xlfn.IFS(Table1[[#This Row],[YearsAtCompany]]&lt;=2,"0-2 years",Table1[[#This Row],[YearsAtCompany]]&lt;=5,"3-5 years",Table1[[#This Row],[YearsAtCompany]]&lt;=10,"6-10 years",Table1[[#This Row],[YearsAtCompany]]&gt;10,"10+ years")</f>
        <v>0-2 years</v>
      </c>
      <c r="AI691">
        <v>0</v>
      </c>
      <c r="AJ691">
        <v>0</v>
      </c>
      <c r="AK691">
        <v>0</v>
      </c>
      <c r="AL691" t="str" cm="1">
        <f t="array" ref="AL691">_xlfn.IFS(Table1[[#This Row],[JobSatisfaction]]=1,"Low",Table1[[#This Row],[JobSatisfaction]]=2,"Medium",Table1[[#This Row],[JobSatisfaction]]=3,"High",Table1[[#This Row],[JobSatisfaction]]=4,"Very High")</f>
        <v>Low</v>
      </c>
      <c r="AM691">
        <f>IF(Table1[[#This Row],[Attrition]]="Yes",1,0)</f>
        <v>1</v>
      </c>
    </row>
    <row r="692" spans="1:39" ht="13.8" x14ac:dyDescent="0.25">
      <c r="A692">
        <v>31</v>
      </c>
      <c r="B692" t="str" cm="1">
        <f t="array" ref="B692">_xlfn.IFS(Table1[[#This Row],[Age]]&lt;30,"Under 30",Table1[[#This Row],[Age]]&lt;=40,"30-40",Table1[[#This Row],[Age]]&lt;=50,"41-50",Table1[[#This Row],[Age]]&gt;50,"Over 50")</f>
        <v>30-40</v>
      </c>
      <c r="C692" t="s">
        <v>43</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t="str" cm="1">
        <f t="array" ref="AH692">_xlfn.IFS(Table1[[#This Row],[YearsAtCompany]]&lt;=2,"0-2 years",Table1[[#This Row],[YearsAtCompany]]&lt;=5,"3-5 years",Table1[[#This Row],[YearsAtCompany]]&lt;=10,"6-10 years",Table1[[#This Row],[YearsAtCompany]]&gt;10,"10+ years")</f>
        <v>6-10 years</v>
      </c>
      <c r="AI692">
        <v>7</v>
      </c>
      <c r="AJ692">
        <v>8</v>
      </c>
      <c r="AK692">
        <v>5</v>
      </c>
      <c r="AL692" t="str" cm="1">
        <f t="array" ref="AL692">_xlfn.IFS(Table1[[#This Row],[JobSatisfaction]]=1,"Low",Table1[[#This Row],[JobSatisfaction]]=2,"Medium",Table1[[#This Row],[JobSatisfaction]]=3,"High",Table1[[#This Row],[JobSatisfaction]]=4,"Very High")</f>
        <v>Very High</v>
      </c>
      <c r="AM692">
        <f>IF(Table1[[#This Row],[Attrition]]="Yes",1,0)</f>
        <v>0</v>
      </c>
    </row>
    <row r="693" spans="1:39" ht="13.8" x14ac:dyDescent="0.25">
      <c r="A693">
        <v>40</v>
      </c>
      <c r="B693" t="str" cm="1">
        <f t="array" ref="B693">_xlfn.IFS(Table1[[#This Row],[Age]]&lt;30,"Under 30",Table1[[#This Row],[Age]]&lt;=40,"30-40",Table1[[#This Row],[Age]]&lt;=50,"41-50",Table1[[#This Row],[Age]]&gt;50,"Over 50")</f>
        <v>30-40</v>
      </c>
      <c r="C693" t="s">
        <v>43</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t="str" cm="1">
        <f t="array" ref="AH693">_xlfn.IFS(Table1[[#This Row],[YearsAtCompany]]&lt;=2,"0-2 years",Table1[[#This Row],[YearsAtCompany]]&lt;=5,"3-5 years",Table1[[#This Row],[YearsAtCompany]]&lt;=10,"6-10 years",Table1[[#This Row],[YearsAtCompany]]&gt;10,"10+ years")</f>
        <v>0-2 years</v>
      </c>
      <c r="AI693">
        <v>1</v>
      </c>
      <c r="AJ693">
        <v>0</v>
      </c>
      <c r="AK693">
        <v>0</v>
      </c>
      <c r="AL693" t="str" cm="1">
        <f t="array" ref="AL693">_xlfn.IFS(Table1[[#This Row],[JobSatisfaction]]=1,"Low",Table1[[#This Row],[JobSatisfaction]]=2,"Medium",Table1[[#This Row],[JobSatisfaction]]=3,"High",Table1[[#This Row],[JobSatisfaction]]=4,"Very High")</f>
        <v>Medium</v>
      </c>
      <c r="AM693">
        <f>IF(Table1[[#This Row],[Attrition]]="Yes",1,0)</f>
        <v>0</v>
      </c>
    </row>
    <row r="694" spans="1:39" ht="13.8" x14ac:dyDescent="0.25">
      <c r="A694">
        <v>32</v>
      </c>
      <c r="B694" t="str" cm="1">
        <f t="array" ref="B694">_xlfn.IFS(Table1[[#This Row],[Age]]&lt;30,"Under 30",Table1[[#This Row],[Age]]&lt;=40,"30-40",Table1[[#This Row],[Age]]&lt;=50,"41-50",Table1[[#This Row],[Age]]&gt;50,"Over 50")</f>
        <v>30-40</v>
      </c>
      <c r="C694" t="s">
        <v>43</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t="str" cm="1">
        <f t="array" ref="AH694">_xlfn.IFS(Table1[[#This Row],[YearsAtCompany]]&lt;=2,"0-2 years",Table1[[#This Row],[YearsAtCompany]]&lt;=5,"3-5 years",Table1[[#This Row],[YearsAtCompany]]&lt;=10,"6-10 years",Table1[[#This Row],[YearsAtCompany]]&gt;10,"10+ years")</f>
        <v>6-10 years</v>
      </c>
      <c r="AI694">
        <v>7</v>
      </c>
      <c r="AJ694">
        <v>6</v>
      </c>
      <c r="AK694">
        <v>3</v>
      </c>
      <c r="AL694" t="str" cm="1">
        <f t="array" ref="AL694">_xlfn.IFS(Table1[[#This Row],[JobSatisfaction]]=1,"Low",Table1[[#This Row],[JobSatisfaction]]=2,"Medium",Table1[[#This Row],[JobSatisfaction]]=3,"High",Table1[[#This Row],[JobSatisfaction]]=4,"Very High")</f>
        <v>Low</v>
      </c>
      <c r="AM694">
        <f>IF(Table1[[#This Row],[Attrition]]="Yes",1,0)</f>
        <v>0</v>
      </c>
    </row>
    <row r="695" spans="1:39" ht="13.8" x14ac:dyDescent="0.25">
      <c r="A695">
        <v>36</v>
      </c>
      <c r="B695" t="str" cm="1">
        <f t="array" ref="B695">_xlfn.IFS(Table1[[#This Row],[Age]]&lt;30,"Under 30",Table1[[#This Row],[Age]]&lt;=40,"30-40",Table1[[#This Row],[Age]]&lt;=50,"41-50",Table1[[#This Row],[Age]]&gt;50,"Over 50")</f>
        <v>30-40</v>
      </c>
      <c r="C695" t="s">
        <v>35</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t="str" cm="1">
        <f t="array" ref="AH695">_xlfn.IFS(Table1[[#This Row],[YearsAtCompany]]&lt;=2,"0-2 years",Table1[[#This Row],[YearsAtCompany]]&lt;=5,"3-5 years",Table1[[#This Row],[YearsAtCompany]]&lt;=10,"6-10 years",Table1[[#This Row],[YearsAtCompany]]&gt;10,"10+ years")</f>
        <v>10+ years</v>
      </c>
      <c r="AI695">
        <v>7</v>
      </c>
      <c r="AJ695">
        <v>3</v>
      </c>
      <c r="AK695">
        <v>7</v>
      </c>
      <c r="AL695" t="str" cm="1">
        <f t="array" ref="AL695">_xlfn.IFS(Table1[[#This Row],[JobSatisfaction]]=1,"Low",Table1[[#This Row],[JobSatisfaction]]=2,"Medium",Table1[[#This Row],[JobSatisfaction]]=3,"High",Table1[[#This Row],[JobSatisfaction]]=4,"Very High")</f>
        <v>Very High</v>
      </c>
      <c r="AM695">
        <f>IF(Table1[[#This Row],[Attrition]]="Yes",1,0)</f>
        <v>1</v>
      </c>
    </row>
    <row r="696" spans="1:39" ht="13.8" x14ac:dyDescent="0.25">
      <c r="A696">
        <v>33</v>
      </c>
      <c r="B696" t="str" cm="1">
        <f t="array" ref="B696">_xlfn.IFS(Table1[[#This Row],[Age]]&lt;30,"Under 30",Table1[[#This Row],[Age]]&lt;=40,"30-40",Table1[[#This Row],[Age]]&lt;=50,"41-50",Table1[[#This Row],[Age]]&gt;50,"Over 50")</f>
        <v>30-40</v>
      </c>
      <c r="C696" t="s">
        <v>43</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t="str" cm="1">
        <f t="array" ref="AH696">_xlfn.IFS(Table1[[#This Row],[YearsAtCompany]]&lt;=2,"0-2 years",Table1[[#This Row],[YearsAtCompany]]&lt;=5,"3-5 years",Table1[[#This Row],[YearsAtCompany]]&lt;=10,"6-10 years",Table1[[#This Row],[YearsAtCompany]]&gt;10,"10+ years")</f>
        <v>3-5 years</v>
      </c>
      <c r="AI696">
        <v>0</v>
      </c>
      <c r="AJ696">
        <v>1</v>
      </c>
      <c r="AK696">
        <v>4</v>
      </c>
      <c r="AL696" t="str" cm="1">
        <f t="array" ref="AL696">_xlfn.IFS(Table1[[#This Row],[JobSatisfaction]]=1,"Low",Table1[[#This Row],[JobSatisfaction]]=2,"Medium",Table1[[#This Row],[JobSatisfaction]]=3,"High",Table1[[#This Row],[JobSatisfaction]]=4,"Very High")</f>
        <v>Very High</v>
      </c>
      <c r="AM696">
        <f>IF(Table1[[#This Row],[Attrition]]="Yes",1,0)</f>
        <v>0</v>
      </c>
    </row>
    <row r="697" spans="1:39" ht="13.8" x14ac:dyDescent="0.25">
      <c r="A697">
        <v>37</v>
      </c>
      <c r="B697" t="str" cm="1">
        <f t="array" ref="B697">_xlfn.IFS(Table1[[#This Row],[Age]]&lt;30,"Under 30",Table1[[#This Row],[Age]]&lt;=40,"30-40",Table1[[#This Row],[Age]]&lt;=50,"41-50",Table1[[#This Row],[Age]]&gt;50,"Over 50")</f>
        <v>30-40</v>
      </c>
      <c r="C697" t="s">
        <v>35</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t="str" cm="1">
        <f t="array" ref="AH697">_xlfn.IFS(Table1[[#This Row],[YearsAtCompany]]&lt;=2,"0-2 years",Table1[[#This Row],[YearsAtCompany]]&lt;=5,"3-5 years",Table1[[#This Row],[YearsAtCompany]]&lt;=10,"6-10 years",Table1[[#This Row],[YearsAtCompany]]&gt;10,"10+ years")</f>
        <v>10+ years</v>
      </c>
      <c r="AI697">
        <v>1</v>
      </c>
      <c r="AJ697">
        <v>11</v>
      </c>
      <c r="AK697">
        <v>7</v>
      </c>
      <c r="AL697" t="str" cm="1">
        <f t="array" ref="AL697">_xlfn.IFS(Table1[[#This Row],[JobSatisfaction]]=1,"Low",Table1[[#This Row],[JobSatisfaction]]=2,"Medium",Table1[[#This Row],[JobSatisfaction]]=3,"High",Table1[[#This Row],[JobSatisfaction]]=4,"Very High")</f>
        <v>High</v>
      </c>
      <c r="AM697">
        <f>IF(Table1[[#This Row],[Attrition]]="Yes",1,0)</f>
        <v>1</v>
      </c>
    </row>
    <row r="698" spans="1:39" ht="13.8" x14ac:dyDescent="0.25">
      <c r="A698">
        <v>45</v>
      </c>
      <c r="B698" t="str" cm="1">
        <f t="array" ref="B698">_xlfn.IFS(Table1[[#This Row],[Age]]&lt;30,"Under 30",Table1[[#This Row],[Age]]&lt;=40,"30-40",Table1[[#This Row],[Age]]&lt;=50,"41-50",Table1[[#This Row],[Age]]&gt;50,"Over 50")</f>
        <v>41-50</v>
      </c>
      <c r="C698" t="s">
        <v>43</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t="str" cm="1">
        <f t="array" ref="AH698">_xlfn.IFS(Table1[[#This Row],[YearsAtCompany]]&lt;=2,"0-2 years",Table1[[#This Row],[YearsAtCompany]]&lt;=5,"3-5 years",Table1[[#This Row],[YearsAtCompany]]&lt;=10,"6-10 years",Table1[[#This Row],[YearsAtCompany]]&gt;10,"10+ years")</f>
        <v>6-10 years</v>
      </c>
      <c r="AI698">
        <v>7</v>
      </c>
      <c r="AJ698">
        <v>0</v>
      </c>
      <c r="AK698">
        <v>8</v>
      </c>
      <c r="AL698" t="str" cm="1">
        <f t="array" ref="AL698">_xlfn.IFS(Table1[[#This Row],[JobSatisfaction]]=1,"Low",Table1[[#This Row],[JobSatisfaction]]=2,"Medium",Table1[[#This Row],[JobSatisfaction]]=3,"High",Table1[[#This Row],[JobSatisfaction]]=4,"Very High")</f>
        <v>Medium</v>
      </c>
      <c r="AM698">
        <f>IF(Table1[[#This Row],[Attrition]]="Yes",1,0)</f>
        <v>0</v>
      </c>
    </row>
    <row r="699" spans="1:39" ht="13.8" x14ac:dyDescent="0.25">
      <c r="A699">
        <v>29</v>
      </c>
      <c r="B699" t="str" cm="1">
        <f t="array" ref="B699">_xlfn.IFS(Table1[[#This Row],[Age]]&lt;30,"Under 30",Table1[[#This Row],[Age]]&lt;=40,"30-40",Table1[[#This Row],[Age]]&lt;=50,"41-50",Table1[[#This Row],[Age]]&gt;50,"Over 50")</f>
        <v>Under 30</v>
      </c>
      <c r="C699" t="s">
        <v>43</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t="str" cm="1">
        <f t="array" ref="AH699">_xlfn.IFS(Table1[[#This Row],[YearsAtCompany]]&lt;=2,"0-2 years",Table1[[#This Row],[YearsAtCompany]]&lt;=5,"3-5 years",Table1[[#This Row],[YearsAtCompany]]&lt;=10,"6-10 years",Table1[[#This Row],[YearsAtCompany]]&gt;10,"10+ years")</f>
        <v>3-5 years</v>
      </c>
      <c r="AI699">
        <v>1</v>
      </c>
      <c r="AJ699">
        <v>0</v>
      </c>
      <c r="AK699">
        <v>2</v>
      </c>
      <c r="AL699" t="str" cm="1">
        <f t="array" ref="AL699">_xlfn.IFS(Table1[[#This Row],[JobSatisfaction]]=1,"Low",Table1[[#This Row],[JobSatisfaction]]=2,"Medium",Table1[[#This Row],[JobSatisfaction]]=3,"High",Table1[[#This Row],[JobSatisfaction]]=4,"Very High")</f>
        <v>Very High</v>
      </c>
      <c r="AM699">
        <f>IF(Table1[[#This Row],[Attrition]]="Yes",1,0)</f>
        <v>0</v>
      </c>
    </row>
    <row r="700" spans="1:39" ht="13.8" x14ac:dyDescent="0.25">
      <c r="A700">
        <v>35</v>
      </c>
      <c r="B700" t="str" cm="1">
        <f t="array" ref="B700">_xlfn.IFS(Table1[[#This Row],[Age]]&lt;30,"Under 30",Table1[[#This Row],[Age]]&lt;=40,"30-40",Table1[[#This Row],[Age]]&lt;=50,"41-50",Table1[[#This Row],[Age]]&gt;50,"Over 50")</f>
        <v>30-40</v>
      </c>
      <c r="C700" t="s">
        <v>43</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t="str" cm="1">
        <f t="array" ref="AH700">_xlfn.IFS(Table1[[#This Row],[YearsAtCompany]]&lt;=2,"0-2 years",Table1[[#This Row],[YearsAtCompany]]&lt;=5,"3-5 years",Table1[[#This Row],[YearsAtCompany]]&lt;=10,"6-10 years",Table1[[#This Row],[YearsAtCompany]]&gt;10,"10+ years")</f>
        <v>3-5 years</v>
      </c>
      <c r="AI700">
        <v>2</v>
      </c>
      <c r="AJ700">
        <v>1</v>
      </c>
      <c r="AK700">
        <v>0</v>
      </c>
      <c r="AL700" t="str" cm="1">
        <f t="array" ref="AL700">_xlfn.IFS(Table1[[#This Row],[JobSatisfaction]]=1,"Low",Table1[[#This Row],[JobSatisfaction]]=2,"Medium",Table1[[#This Row],[JobSatisfaction]]=3,"High",Table1[[#This Row],[JobSatisfaction]]=4,"Very High")</f>
        <v>High</v>
      </c>
      <c r="AM700">
        <f>IF(Table1[[#This Row],[Attrition]]="Yes",1,0)</f>
        <v>0</v>
      </c>
    </row>
    <row r="701" spans="1:39" ht="13.8" x14ac:dyDescent="0.25">
      <c r="A701">
        <v>52</v>
      </c>
      <c r="B701" t="str" cm="1">
        <f t="array" ref="B701">_xlfn.IFS(Table1[[#This Row],[Age]]&lt;30,"Under 30",Table1[[#This Row],[Age]]&lt;=40,"30-40",Table1[[#This Row],[Age]]&lt;=50,"41-50",Table1[[#This Row],[Age]]&gt;50,"Over 50")</f>
        <v>Over 50</v>
      </c>
      <c r="C701" t="s">
        <v>43</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t="str" cm="1">
        <f t="array" ref="AH701">_xlfn.IFS(Table1[[#This Row],[YearsAtCompany]]&lt;=2,"0-2 years",Table1[[#This Row],[YearsAtCompany]]&lt;=5,"3-5 years",Table1[[#This Row],[YearsAtCompany]]&lt;=10,"6-10 years",Table1[[#This Row],[YearsAtCompany]]&gt;10,"10+ years")</f>
        <v>6-10 years</v>
      </c>
      <c r="AI701">
        <v>8</v>
      </c>
      <c r="AJ701">
        <v>7</v>
      </c>
      <c r="AK701">
        <v>8</v>
      </c>
      <c r="AL701" t="str" cm="1">
        <f t="array" ref="AL701">_xlfn.IFS(Table1[[#This Row],[JobSatisfaction]]=1,"Low",Table1[[#This Row],[JobSatisfaction]]=2,"Medium",Table1[[#This Row],[JobSatisfaction]]=3,"High",Table1[[#This Row],[JobSatisfaction]]=4,"Very High")</f>
        <v>Very High</v>
      </c>
      <c r="AM701">
        <f>IF(Table1[[#This Row],[Attrition]]="Yes",1,0)</f>
        <v>0</v>
      </c>
    </row>
    <row r="702" spans="1:39" ht="13.8" x14ac:dyDescent="0.25">
      <c r="A702">
        <v>58</v>
      </c>
      <c r="B702" t="str" cm="1">
        <f t="array" ref="B702">_xlfn.IFS(Table1[[#This Row],[Age]]&lt;30,"Under 30",Table1[[#This Row],[Age]]&lt;=40,"30-40",Table1[[#This Row],[Age]]&lt;=50,"41-50",Table1[[#This Row],[Age]]&gt;50,"Over 50")</f>
        <v>Over 50</v>
      </c>
      <c r="C702" t="s">
        <v>35</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t="str" cm="1">
        <f t="array" ref="AH702">_xlfn.IFS(Table1[[#This Row],[YearsAtCompany]]&lt;=2,"0-2 years",Table1[[#This Row],[YearsAtCompany]]&lt;=5,"3-5 years",Table1[[#This Row],[YearsAtCompany]]&lt;=10,"6-10 years",Table1[[#This Row],[YearsAtCompany]]&gt;10,"10+ years")</f>
        <v>0-2 years</v>
      </c>
      <c r="AI702">
        <v>0</v>
      </c>
      <c r="AJ702">
        <v>0</v>
      </c>
      <c r="AK702">
        <v>0</v>
      </c>
      <c r="AL702" t="str" cm="1">
        <f t="array" ref="AL702">_xlfn.IFS(Table1[[#This Row],[JobSatisfaction]]=1,"Low",Table1[[#This Row],[JobSatisfaction]]=2,"Medium",Table1[[#This Row],[JobSatisfaction]]=3,"High",Table1[[#This Row],[JobSatisfaction]]=4,"Very High")</f>
        <v>High</v>
      </c>
      <c r="AM702">
        <f>IF(Table1[[#This Row],[Attrition]]="Yes",1,0)</f>
        <v>1</v>
      </c>
    </row>
    <row r="703" spans="1:39" ht="13.8" x14ac:dyDescent="0.25">
      <c r="A703">
        <v>53</v>
      </c>
      <c r="B703" t="str" cm="1">
        <f t="array" ref="B703">_xlfn.IFS(Table1[[#This Row],[Age]]&lt;30,"Under 30",Table1[[#This Row],[Age]]&lt;=40,"30-40",Table1[[#This Row],[Age]]&lt;=50,"41-50",Table1[[#This Row],[Age]]&gt;50,"Over 50")</f>
        <v>Over 50</v>
      </c>
      <c r="C703" t="s">
        <v>43</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t="str" cm="1">
        <f t="array" ref="AH703">_xlfn.IFS(Table1[[#This Row],[YearsAtCompany]]&lt;=2,"0-2 years",Table1[[#This Row],[YearsAtCompany]]&lt;=5,"3-5 years",Table1[[#This Row],[YearsAtCompany]]&lt;=10,"6-10 years",Table1[[#This Row],[YearsAtCompany]]&gt;10,"10+ years")</f>
        <v>10+ years</v>
      </c>
      <c r="AI703">
        <v>13</v>
      </c>
      <c r="AJ703">
        <v>15</v>
      </c>
      <c r="AK703">
        <v>2</v>
      </c>
      <c r="AL703" t="str" cm="1">
        <f t="array" ref="AL703">_xlfn.IFS(Table1[[#This Row],[JobSatisfaction]]=1,"Low",Table1[[#This Row],[JobSatisfaction]]=2,"Medium",Table1[[#This Row],[JobSatisfaction]]=3,"High",Table1[[#This Row],[JobSatisfaction]]=4,"Very High")</f>
        <v>High</v>
      </c>
      <c r="AM703">
        <f>IF(Table1[[#This Row],[Attrition]]="Yes",1,0)</f>
        <v>0</v>
      </c>
    </row>
    <row r="704" spans="1:39" ht="13.8" x14ac:dyDescent="0.25">
      <c r="A704">
        <v>30</v>
      </c>
      <c r="B704" t="str" cm="1">
        <f t="array" ref="B704">_xlfn.IFS(Table1[[#This Row],[Age]]&lt;30,"Under 30",Table1[[#This Row],[Age]]&lt;=40,"30-40",Table1[[#This Row],[Age]]&lt;=50,"41-50",Table1[[#This Row],[Age]]&gt;50,"Over 50")</f>
        <v>30-40</v>
      </c>
      <c r="C704" t="s">
        <v>43</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t="str" cm="1">
        <f t="array" ref="AH704">_xlfn.IFS(Table1[[#This Row],[YearsAtCompany]]&lt;=2,"0-2 years",Table1[[#This Row],[YearsAtCompany]]&lt;=5,"3-5 years",Table1[[#This Row],[YearsAtCompany]]&lt;=10,"6-10 years",Table1[[#This Row],[YearsAtCompany]]&gt;10,"10+ years")</f>
        <v>6-10 years</v>
      </c>
      <c r="AI704">
        <v>4</v>
      </c>
      <c r="AJ704">
        <v>7</v>
      </c>
      <c r="AK704">
        <v>7</v>
      </c>
      <c r="AL704" t="str" cm="1">
        <f t="array" ref="AL704">_xlfn.IFS(Table1[[#This Row],[JobSatisfaction]]=1,"Low",Table1[[#This Row],[JobSatisfaction]]=2,"Medium",Table1[[#This Row],[JobSatisfaction]]=3,"High",Table1[[#This Row],[JobSatisfaction]]=4,"Very High")</f>
        <v>High</v>
      </c>
      <c r="AM704">
        <f>IF(Table1[[#This Row],[Attrition]]="Yes",1,0)</f>
        <v>0</v>
      </c>
    </row>
    <row r="705" spans="1:39" ht="13.8" x14ac:dyDescent="0.25">
      <c r="A705">
        <v>38</v>
      </c>
      <c r="B705" t="str" cm="1">
        <f t="array" ref="B705">_xlfn.IFS(Table1[[#This Row],[Age]]&lt;30,"Under 30",Table1[[#This Row],[Age]]&lt;=40,"30-40",Table1[[#This Row],[Age]]&lt;=50,"41-50",Table1[[#This Row],[Age]]&gt;50,"Over 50")</f>
        <v>30-40</v>
      </c>
      <c r="C705" t="s">
        <v>43</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t="str" cm="1">
        <f t="array" ref="AH705">_xlfn.IFS(Table1[[#This Row],[YearsAtCompany]]&lt;=2,"0-2 years",Table1[[#This Row],[YearsAtCompany]]&lt;=5,"3-5 years",Table1[[#This Row],[YearsAtCompany]]&lt;=10,"6-10 years",Table1[[#This Row],[YearsAtCompany]]&gt;10,"10+ years")</f>
        <v>3-5 years</v>
      </c>
      <c r="AI705">
        <v>3</v>
      </c>
      <c r="AJ705">
        <v>1</v>
      </c>
      <c r="AK705">
        <v>3</v>
      </c>
      <c r="AL705" t="str" cm="1">
        <f t="array" ref="AL705">_xlfn.IFS(Table1[[#This Row],[JobSatisfaction]]=1,"Low",Table1[[#This Row],[JobSatisfaction]]=2,"Medium",Table1[[#This Row],[JobSatisfaction]]=3,"High",Table1[[#This Row],[JobSatisfaction]]=4,"Very High")</f>
        <v>Very High</v>
      </c>
      <c r="AM705">
        <f>IF(Table1[[#This Row],[Attrition]]="Yes",1,0)</f>
        <v>0</v>
      </c>
    </row>
    <row r="706" spans="1:39" ht="13.8" x14ac:dyDescent="0.25">
      <c r="A706">
        <v>35</v>
      </c>
      <c r="B706" t="str" cm="1">
        <f t="array" ref="B706">_xlfn.IFS(Table1[[#This Row],[Age]]&lt;30,"Under 30",Table1[[#This Row],[Age]]&lt;=40,"30-40",Table1[[#This Row],[Age]]&lt;=50,"41-50",Table1[[#This Row],[Age]]&gt;50,"Over 50")</f>
        <v>30-40</v>
      </c>
      <c r="C706" t="s">
        <v>43</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t="str" cm="1">
        <f t="array" ref="AH706">_xlfn.IFS(Table1[[#This Row],[YearsAtCompany]]&lt;=2,"0-2 years",Table1[[#This Row],[YearsAtCompany]]&lt;=5,"3-5 years",Table1[[#This Row],[YearsAtCompany]]&lt;=10,"6-10 years",Table1[[#This Row],[YearsAtCompany]]&gt;10,"10+ years")</f>
        <v>6-10 years</v>
      </c>
      <c r="AI706">
        <v>9</v>
      </c>
      <c r="AJ706">
        <v>0</v>
      </c>
      <c r="AK706">
        <v>8</v>
      </c>
      <c r="AL706" t="str" cm="1">
        <f t="array" ref="AL706">_xlfn.IFS(Table1[[#This Row],[JobSatisfaction]]=1,"Low",Table1[[#This Row],[JobSatisfaction]]=2,"Medium",Table1[[#This Row],[JobSatisfaction]]=3,"High",Table1[[#This Row],[JobSatisfaction]]=4,"Very High")</f>
        <v>Very High</v>
      </c>
      <c r="AM706">
        <f>IF(Table1[[#This Row],[Attrition]]="Yes",1,0)</f>
        <v>0</v>
      </c>
    </row>
    <row r="707" spans="1:39" ht="13.8" x14ac:dyDescent="0.25">
      <c r="A707">
        <v>39</v>
      </c>
      <c r="B707" t="str" cm="1">
        <f t="array" ref="B707">_xlfn.IFS(Table1[[#This Row],[Age]]&lt;30,"Under 30",Table1[[#This Row],[Age]]&lt;=40,"30-40",Table1[[#This Row],[Age]]&lt;=50,"41-50",Table1[[#This Row],[Age]]&gt;50,"Over 50")</f>
        <v>30-40</v>
      </c>
      <c r="C707" t="s">
        <v>43</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t="str" cm="1">
        <f t="array" ref="AH707">_xlfn.IFS(Table1[[#This Row],[YearsAtCompany]]&lt;=2,"0-2 years",Table1[[#This Row],[YearsAtCompany]]&lt;=5,"3-5 years",Table1[[#This Row],[YearsAtCompany]]&lt;=10,"6-10 years",Table1[[#This Row],[YearsAtCompany]]&gt;10,"10+ years")</f>
        <v>6-10 years</v>
      </c>
      <c r="AI707">
        <v>7</v>
      </c>
      <c r="AJ707">
        <v>0</v>
      </c>
      <c r="AK707">
        <v>7</v>
      </c>
      <c r="AL707" t="str" cm="1">
        <f t="array" ref="AL707">_xlfn.IFS(Table1[[#This Row],[JobSatisfaction]]=1,"Low",Table1[[#This Row],[JobSatisfaction]]=2,"Medium",Table1[[#This Row],[JobSatisfaction]]=3,"High",Table1[[#This Row],[JobSatisfaction]]=4,"Very High")</f>
        <v>High</v>
      </c>
      <c r="AM707">
        <f>IF(Table1[[#This Row],[Attrition]]="Yes",1,0)</f>
        <v>0</v>
      </c>
    </row>
    <row r="708" spans="1:39" ht="13.8" x14ac:dyDescent="0.25">
      <c r="A708">
        <v>40</v>
      </c>
      <c r="B708" t="str" cm="1">
        <f t="array" ref="B708">_xlfn.IFS(Table1[[#This Row],[Age]]&lt;30,"Under 30",Table1[[#This Row],[Age]]&lt;=40,"30-40",Table1[[#This Row],[Age]]&lt;=50,"41-50",Table1[[#This Row],[Age]]&gt;50,"Over 50")</f>
        <v>30-40</v>
      </c>
      <c r="C708" t="s">
        <v>35</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t="str" cm="1">
        <f t="array" ref="AH708">_xlfn.IFS(Table1[[#This Row],[YearsAtCompany]]&lt;=2,"0-2 years",Table1[[#This Row],[YearsAtCompany]]&lt;=5,"3-5 years",Table1[[#This Row],[YearsAtCompany]]&lt;=10,"6-10 years",Table1[[#This Row],[YearsAtCompany]]&gt;10,"10+ years")</f>
        <v>0-2 years</v>
      </c>
      <c r="AI708">
        <v>0</v>
      </c>
      <c r="AJ708">
        <v>0</v>
      </c>
      <c r="AK708">
        <v>0</v>
      </c>
      <c r="AL708" t="str" cm="1">
        <f t="array" ref="AL708">_xlfn.IFS(Table1[[#This Row],[JobSatisfaction]]=1,"Low",Table1[[#This Row],[JobSatisfaction]]=2,"Medium",Table1[[#This Row],[JobSatisfaction]]=3,"High",Table1[[#This Row],[JobSatisfaction]]=4,"Very High")</f>
        <v>Medium</v>
      </c>
      <c r="AM708">
        <f>IF(Table1[[#This Row],[Attrition]]="Yes",1,0)</f>
        <v>1</v>
      </c>
    </row>
    <row r="709" spans="1:39" ht="13.8" x14ac:dyDescent="0.25">
      <c r="A709">
        <v>47</v>
      </c>
      <c r="B709" t="str" cm="1">
        <f t="array" ref="B709">_xlfn.IFS(Table1[[#This Row],[Age]]&lt;30,"Under 30",Table1[[#This Row],[Age]]&lt;=40,"30-40",Table1[[#This Row],[Age]]&lt;=50,"41-50",Table1[[#This Row],[Age]]&gt;50,"Over 50")</f>
        <v>41-50</v>
      </c>
      <c r="C709" t="s">
        <v>43</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t="str" cm="1">
        <f t="array" ref="AH709">_xlfn.IFS(Table1[[#This Row],[YearsAtCompany]]&lt;=2,"0-2 years",Table1[[#This Row],[YearsAtCompany]]&lt;=5,"3-5 years",Table1[[#This Row],[YearsAtCompany]]&lt;=10,"6-10 years",Table1[[#This Row],[YearsAtCompany]]&gt;10,"10+ years")</f>
        <v>10+ years</v>
      </c>
      <c r="AI709">
        <v>10</v>
      </c>
      <c r="AJ709">
        <v>2</v>
      </c>
      <c r="AK709">
        <v>7</v>
      </c>
      <c r="AL709" t="str" cm="1">
        <f t="array" ref="AL709">_xlfn.IFS(Table1[[#This Row],[JobSatisfaction]]=1,"Low",Table1[[#This Row],[JobSatisfaction]]=2,"Medium",Table1[[#This Row],[JobSatisfaction]]=3,"High",Table1[[#This Row],[JobSatisfaction]]=4,"Very High")</f>
        <v>High</v>
      </c>
      <c r="AM709">
        <f>IF(Table1[[#This Row],[Attrition]]="Yes",1,0)</f>
        <v>0</v>
      </c>
    </row>
    <row r="710" spans="1:39" ht="13.8" x14ac:dyDescent="0.25">
      <c r="A710">
        <v>36</v>
      </c>
      <c r="B710" t="str" cm="1">
        <f t="array" ref="B710">_xlfn.IFS(Table1[[#This Row],[Age]]&lt;30,"Under 30",Table1[[#This Row],[Age]]&lt;=40,"30-40",Table1[[#This Row],[Age]]&lt;=50,"41-50",Table1[[#This Row],[Age]]&gt;50,"Over 50")</f>
        <v>30-40</v>
      </c>
      <c r="C710" t="s">
        <v>43</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t="str" cm="1">
        <f t="array" ref="AH710">_xlfn.IFS(Table1[[#This Row],[YearsAtCompany]]&lt;=2,"0-2 years",Table1[[#This Row],[YearsAtCompany]]&lt;=5,"3-5 years",Table1[[#This Row],[YearsAtCompany]]&lt;=10,"6-10 years",Table1[[#This Row],[YearsAtCompany]]&gt;10,"10+ years")</f>
        <v>6-10 years</v>
      </c>
      <c r="AI710">
        <v>7</v>
      </c>
      <c r="AJ710">
        <v>0</v>
      </c>
      <c r="AK710">
        <v>7</v>
      </c>
      <c r="AL710" t="str" cm="1">
        <f t="array" ref="AL710">_xlfn.IFS(Table1[[#This Row],[JobSatisfaction]]=1,"Low",Table1[[#This Row],[JobSatisfaction]]=2,"Medium",Table1[[#This Row],[JobSatisfaction]]=3,"High",Table1[[#This Row],[JobSatisfaction]]=4,"Very High")</f>
        <v>Very High</v>
      </c>
      <c r="AM710">
        <f>IF(Table1[[#This Row],[Attrition]]="Yes",1,0)</f>
        <v>0</v>
      </c>
    </row>
    <row r="711" spans="1:39" ht="13.8" x14ac:dyDescent="0.25">
      <c r="A711">
        <v>31</v>
      </c>
      <c r="B711" t="str" cm="1">
        <f t="array" ref="B711">_xlfn.IFS(Table1[[#This Row],[Age]]&lt;30,"Under 30",Table1[[#This Row],[Age]]&lt;=40,"30-40",Table1[[#This Row],[Age]]&lt;=50,"41-50",Table1[[#This Row],[Age]]&gt;50,"Over 50")</f>
        <v>30-40</v>
      </c>
      <c r="C711" t="s">
        <v>35</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t="str" cm="1">
        <f t="array" ref="AH711">_xlfn.IFS(Table1[[#This Row],[YearsAtCompany]]&lt;=2,"0-2 years",Table1[[#This Row],[YearsAtCompany]]&lt;=5,"3-5 years",Table1[[#This Row],[YearsAtCompany]]&lt;=10,"6-10 years",Table1[[#This Row],[YearsAtCompany]]&gt;10,"10+ years")</f>
        <v>3-5 years</v>
      </c>
      <c r="AI711">
        <v>2</v>
      </c>
      <c r="AJ711">
        <v>1</v>
      </c>
      <c r="AK711">
        <v>2</v>
      </c>
      <c r="AL711" t="str" cm="1">
        <f t="array" ref="AL711">_xlfn.IFS(Table1[[#This Row],[JobSatisfaction]]=1,"Low",Table1[[#This Row],[JobSatisfaction]]=2,"Medium",Table1[[#This Row],[JobSatisfaction]]=3,"High",Table1[[#This Row],[JobSatisfaction]]=4,"Very High")</f>
        <v>Low</v>
      </c>
      <c r="AM711">
        <f>IF(Table1[[#This Row],[Attrition]]="Yes",1,0)</f>
        <v>1</v>
      </c>
    </row>
    <row r="712" spans="1:39" ht="13.8" x14ac:dyDescent="0.25">
      <c r="A712">
        <v>33</v>
      </c>
      <c r="B712" t="str" cm="1">
        <f t="array" ref="B712">_xlfn.IFS(Table1[[#This Row],[Age]]&lt;30,"Under 30",Table1[[#This Row],[Age]]&lt;=40,"30-40",Table1[[#This Row],[Age]]&lt;=50,"41-50",Table1[[#This Row],[Age]]&gt;50,"Over 50")</f>
        <v>30-40</v>
      </c>
      <c r="C712" t="s">
        <v>43</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t="str" cm="1">
        <f t="array" ref="AH712">_xlfn.IFS(Table1[[#This Row],[YearsAtCompany]]&lt;=2,"0-2 years",Table1[[#This Row],[YearsAtCompany]]&lt;=5,"3-5 years",Table1[[#This Row],[YearsAtCompany]]&lt;=10,"6-10 years",Table1[[#This Row],[YearsAtCompany]]&gt;10,"10+ years")</f>
        <v>6-10 years</v>
      </c>
      <c r="AI712">
        <v>8</v>
      </c>
      <c r="AJ712">
        <v>6</v>
      </c>
      <c r="AK712">
        <v>0</v>
      </c>
      <c r="AL712" t="str" cm="1">
        <f t="array" ref="AL712">_xlfn.IFS(Table1[[#This Row],[JobSatisfaction]]=1,"Low",Table1[[#This Row],[JobSatisfaction]]=2,"Medium",Table1[[#This Row],[JobSatisfaction]]=3,"High",Table1[[#This Row],[JobSatisfaction]]=4,"Very High")</f>
        <v>High</v>
      </c>
      <c r="AM712">
        <f>IF(Table1[[#This Row],[Attrition]]="Yes",1,0)</f>
        <v>0</v>
      </c>
    </row>
    <row r="713" spans="1:39" ht="13.8" x14ac:dyDescent="0.25">
      <c r="A713">
        <v>29</v>
      </c>
      <c r="B713" t="str" cm="1">
        <f t="array" ref="B713">_xlfn.IFS(Table1[[#This Row],[Age]]&lt;30,"Under 30",Table1[[#This Row],[Age]]&lt;=40,"30-40",Table1[[#This Row],[Age]]&lt;=50,"41-50",Table1[[#This Row],[Age]]&gt;50,"Over 50")</f>
        <v>Under 30</v>
      </c>
      <c r="C713" t="s">
        <v>35</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t="str" cm="1">
        <f t="array" ref="AH713">_xlfn.IFS(Table1[[#This Row],[YearsAtCompany]]&lt;=2,"0-2 years",Table1[[#This Row],[YearsAtCompany]]&lt;=5,"3-5 years",Table1[[#This Row],[YearsAtCompany]]&lt;=10,"6-10 years",Table1[[#This Row],[YearsAtCompany]]&gt;10,"10+ years")</f>
        <v>0-2 years</v>
      </c>
      <c r="AI713">
        <v>0</v>
      </c>
      <c r="AJ713">
        <v>0</v>
      </c>
      <c r="AK713">
        <v>0</v>
      </c>
      <c r="AL713" t="str" cm="1">
        <f t="array" ref="AL713">_xlfn.IFS(Table1[[#This Row],[JobSatisfaction]]=1,"Low",Table1[[#This Row],[JobSatisfaction]]=2,"Medium",Table1[[#This Row],[JobSatisfaction]]=3,"High",Table1[[#This Row],[JobSatisfaction]]=4,"Very High")</f>
        <v>Low</v>
      </c>
      <c r="AM713">
        <f>IF(Table1[[#This Row],[Attrition]]="Yes",1,0)</f>
        <v>1</v>
      </c>
    </row>
    <row r="714" spans="1:39" ht="13.8" x14ac:dyDescent="0.25">
      <c r="A714">
        <v>33</v>
      </c>
      <c r="B714" t="str" cm="1">
        <f t="array" ref="B714">_xlfn.IFS(Table1[[#This Row],[Age]]&lt;30,"Under 30",Table1[[#This Row],[Age]]&lt;=40,"30-40",Table1[[#This Row],[Age]]&lt;=50,"41-50",Table1[[#This Row],[Age]]&gt;50,"Over 50")</f>
        <v>30-40</v>
      </c>
      <c r="C714" t="s">
        <v>43</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t="str" cm="1">
        <f t="array" ref="AH714">_xlfn.IFS(Table1[[#This Row],[YearsAtCompany]]&lt;=2,"0-2 years",Table1[[#This Row],[YearsAtCompany]]&lt;=5,"3-5 years",Table1[[#This Row],[YearsAtCompany]]&lt;=10,"6-10 years",Table1[[#This Row],[YearsAtCompany]]&gt;10,"10+ years")</f>
        <v>3-5 years</v>
      </c>
      <c r="AI714">
        <v>2</v>
      </c>
      <c r="AJ714">
        <v>0</v>
      </c>
      <c r="AK714">
        <v>2</v>
      </c>
      <c r="AL714" t="str" cm="1">
        <f t="array" ref="AL714">_xlfn.IFS(Table1[[#This Row],[JobSatisfaction]]=1,"Low",Table1[[#This Row],[JobSatisfaction]]=2,"Medium",Table1[[#This Row],[JobSatisfaction]]=3,"High",Table1[[#This Row],[JobSatisfaction]]=4,"Very High")</f>
        <v>Very High</v>
      </c>
      <c r="AM714">
        <f>IF(Table1[[#This Row],[Attrition]]="Yes",1,0)</f>
        <v>0</v>
      </c>
    </row>
    <row r="715" spans="1:39" ht="13.8" x14ac:dyDescent="0.25">
      <c r="A715">
        <v>45</v>
      </c>
      <c r="B715" t="str" cm="1">
        <f t="array" ref="B715">_xlfn.IFS(Table1[[#This Row],[Age]]&lt;30,"Under 30",Table1[[#This Row],[Age]]&lt;=40,"30-40",Table1[[#This Row],[Age]]&lt;=50,"41-50",Table1[[#This Row],[Age]]&gt;50,"Over 50")</f>
        <v>41-50</v>
      </c>
      <c r="C715" t="s">
        <v>43</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t="str" cm="1">
        <f t="array" ref="AH715">_xlfn.IFS(Table1[[#This Row],[YearsAtCompany]]&lt;=2,"0-2 years",Table1[[#This Row],[YearsAtCompany]]&lt;=5,"3-5 years",Table1[[#This Row],[YearsAtCompany]]&lt;=10,"6-10 years",Table1[[#This Row],[YearsAtCompany]]&gt;10,"10+ years")</f>
        <v>3-5 years</v>
      </c>
      <c r="AI715">
        <v>3</v>
      </c>
      <c r="AJ715">
        <v>0</v>
      </c>
      <c r="AK715">
        <v>2</v>
      </c>
      <c r="AL715" t="str" cm="1">
        <f t="array" ref="AL715">_xlfn.IFS(Table1[[#This Row],[JobSatisfaction]]=1,"Low",Table1[[#This Row],[JobSatisfaction]]=2,"Medium",Table1[[#This Row],[JobSatisfaction]]=3,"High",Table1[[#This Row],[JobSatisfaction]]=4,"Very High")</f>
        <v>Very High</v>
      </c>
      <c r="AM715">
        <f>IF(Table1[[#This Row],[Attrition]]="Yes",1,0)</f>
        <v>0</v>
      </c>
    </row>
    <row r="716" spans="1:39" ht="13.8" x14ac:dyDescent="0.25">
      <c r="A716">
        <v>50</v>
      </c>
      <c r="B716" t="str" cm="1">
        <f t="array" ref="B716">_xlfn.IFS(Table1[[#This Row],[Age]]&lt;30,"Under 30",Table1[[#This Row],[Age]]&lt;=40,"30-40",Table1[[#This Row],[Age]]&lt;=50,"41-50",Table1[[#This Row],[Age]]&gt;50,"Over 50")</f>
        <v>41-50</v>
      </c>
      <c r="C716" t="s">
        <v>43</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t="str" cm="1">
        <f t="array" ref="AH716">_xlfn.IFS(Table1[[#This Row],[YearsAtCompany]]&lt;=2,"0-2 years",Table1[[#This Row],[YearsAtCompany]]&lt;=5,"3-5 years",Table1[[#This Row],[YearsAtCompany]]&lt;=10,"6-10 years",Table1[[#This Row],[YearsAtCompany]]&gt;10,"10+ years")</f>
        <v>3-5 years</v>
      </c>
      <c r="AI716">
        <v>4</v>
      </c>
      <c r="AJ716">
        <v>1</v>
      </c>
      <c r="AK716">
        <v>3</v>
      </c>
      <c r="AL716" t="str" cm="1">
        <f t="array" ref="AL716">_xlfn.IFS(Table1[[#This Row],[JobSatisfaction]]=1,"Low",Table1[[#This Row],[JobSatisfaction]]=2,"Medium",Table1[[#This Row],[JobSatisfaction]]=3,"High",Table1[[#This Row],[JobSatisfaction]]=4,"Very High")</f>
        <v>Very High</v>
      </c>
      <c r="AM716">
        <f>IF(Table1[[#This Row],[Attrition]]="Yes",1,0)</f>
        <v>0</v>
      </c>
    </row>
    <row r="717" spans="1:39" ht="13.8" x14ac:dyDescent="0.25">
      <c r="A717">
        <v>33</v>
      </c>
      <c r="B717" t="str" cm="1">
        <f t="array" ref="B717">_xlfn.IFS(Table1[[#This Row],[Age]]&lt;30,"Under 30",Table1[[#This Row],[Age]]&lt;=40,"30-40",Table1[[#This Row],[Age]]&lt;=50,"41-50",Table1[[#This Row],[Age]]&gt;50,"Over 50")</f>
        <v>30-40</v>
      </c>
      <c r="C717" t="s">
        <v>43</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t="str" cm="1">
        <f t="array" ref="AH717">_xlfn.IFS(Table1[[#This Row],[YearsAtCompany]]&lt;=2,"0-2 years",Table1[[#This Row],[YearsAtCompany]]&lt;=5,"3-5 years",Table1[[#This Row],[YearsAtCompany]]&lt;=10,"6-10 years",Table1[[#This Row],[YearsAtCompany]]&gt;10,"10+ years")</f>
        <v>6-10 years</v>
      </c>
      <c r="AI717">
        <v>5</v>
      </c>
      <c r="AJ717">
        <v>1</v>
      </c>
      <c r="AK717">
        <v>2</v>
      </c>
      <c r="AL717" t="str" cm="1">
        <f t="array" ref="AL717">_xlfn.IFS(Table1[[#This Row],[JobSatisfaction]]=1,"Low",Table1[[#This Row],[JobSatisfaction]]=2,"Medium",Table1[[#This Row],[JobSatisfaction]]=3,"High",Table1[[#This Row],[JobSatisfaction]]=4,"Very High")</f>
        <v>Medium</v>
      </c>
      <c r="AM717">
        <f>IF(Table1[[#This Row],[Attrition]]="Yes",1,0)</f>
        <v>0</v>
      </c>
    </row>
    <row r="718" spans="1:39" ht="13.8" x14ac:dyDescent="0.25">
      <c r="A718">
        <v>41</v>
      </c>
      <c r="B718" t="str" cm="1">
        <f t="array" ref="B718">_xlfn.IFS(Table1[[#This Row],[Age]]&lt;30,"Under 30",Table1[[#This Row],[Age]]&lt;=40,"30-40",Table1[[#This Row],[Age]]&lt;=50,"41-50",Table1[[#This Row],[Age]]&gt;50,"Over 50")</f>
        <v>41-50</v>
      </c>
      <c r="C718" t="s">
        <v>43</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t="str" cm="1">
        <f t="array" ref="AH718">_xlfn.IFS(Table1[[#This Row],[YearsAtCompany]]&lt;=2,"0-2 years",Table1[[#This Row],[YearsAtCompany]]&lt;=5,"3-5 years",Table1[[#This Row],[YearsAtCompany]]&lt;=10,"6-10 years",Table1[[#This Row],[YearsAtCompany]]&gt;10,"10+ years")</f>
        <v>10+ years</v>
      </c>
      <c r="AI718">
        <v>16</v>
      </c>
      <c r="AJ718">
        <v>0</v>
      </c>
      <c r="AK718">
        <v>11</v>
      </c>
      <c r="AL718" t="str" cm="1">
        <f t="array" ref="AL718">_xlfn.IFS(Table1[[#This Row],[JobSatisfaction]]=1,"Low",Table1[[#This Row],[JobSatisfaction]]=2,"Medium",Table1[[#This Row],[JobSatisfaction]]=3,"High",Table1[[#This Row],[JobSatisfaction]]=4,"Very High")</f>
        <v>High</v>
      </c>
      <c r="AM718">
        <f>IF(Table1[[#This Row],[Attrition]]="Yes",1,0)</f>
        <v>0</v>
      </c>
    </row>
    <row r="719" spans="1:39" ht="13.8" x14ac:dyDescent="0.25">
      <c r="A719">
        <v>27</v>
      </c>
      <c r="B719" t="str" cm="1">
        <f t="array" ref="B719">_xlfn.IFS(Table1[[#This Row],[Age]]&lt;30,"Under 30",Table1[[#This Row],[Age]]&lt;=40,"30-40",Table1[[#This Row],[Age]]&lt;=50,"41-50",Table1[[#This Row],[Age]]&gt;50,"Over 50")</f>
        <v>Under 30</v>
      </c>
      <c r="C719" t="s">
        <v>43</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t="str" cm="1">
        <f t="array" ref="AH719">_xlfn.IFS(Table1[[#This Row],[YearsAtCompany]]&lt;=2,"0-2 years",Table1[[#This Row],[YearsAtCompany]]&lt;=5,"3-5 years",Table1[[#This Row],[YearsAtCompany]]&lt;=10,"6-10 years",Table1[[#This Row],[YearsAtCompany]]&gt;10,"10+ years")</f>
        <v>0-2 years</v>
      </c>
      <c r="AI719">
        <v>2</v>
      </c>
      <c r="AJ719">
        <v>2</v>
      </c>
      <c r="AK719">
        <v>2</v>
      </c>
      <c r="AL719" t="str" cm="1">
        <f t="array" ref="AL719">_xlfn.IFS(Table1[[#This Row],[JobSatisfaction]]=1,"Low",Table1[[#This Row],[JobSatisfaction]]=2,"Medium",Table1[[#This Row],[JobSatisfaction]]=3,"High",Table1[[#This Row],[JobSatisfaction]]=4,"Very High")</f>
        <v>Medium</v>
      </c>
      <c r="AM719">
        <f>IF(Table1[[#This Row],[Attrition]]="Yes",1,0)</f>
        <v>0</v>
      </c>
    </row>
    <row r="720" spans="1:39" ht="13.8" x14ac:dyDescent="0.25">
      <c r="A720">
        <v>45</v>
      </c>
      <c r="B720" t="str" cm="1">
        <f t="array" ref="B720">_xlfn.IFS(Table1[[#This Row],[Age]]&lt;30,"Under 30",Table1[[#This Row],[Age]]&lt;=40,"30-40",Table1[[#This Row],[Age]]&lt;=50,"41-50",Table1[[#This Row],[Age]]&gt;50,"Over 50")</f>
        <v>41-50</v>
      </c>
      <c r="C720" t="s">
        <v>43</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t="str" cm="1">
        <f t="array" ref="AH720">_xlfn.IFS(Table1[[#This Row],[YearsAtCompany]]&lt;=2,"0-2 years",Table1[[#This Row],[YearsAtCompany]]&lt;=5,"3-5 years",Table1[[#This Row],[YearsAtCompany]]&lt;=10,"6-10 years",Table1[[#This Row],[YearsAtCompany]]&gt;10,"10+ years")</f>
        <v>6-10 years</v>
      </c>
      <c r="AI720">
        <v>8</v>
      </c>
      <c r="AJ720">
        <v>0</v>
      </c>
      <c r="AK720">
        <v>8</v>
      </c>
      <c r="AL720" t="str" cm="1">
        <f t="array" ref="AL720">_xlfn.IFS(Table1[[#This Row],[JobSatisfaction]]=1,"Low",Table1[[#This Row],[JobSatisfaction]]=2,"Medium",Table1[[#This Row],[JobSatisfaction]]=3,"High",Table1[[#This Row],[JobSatisfaction]]=4,"Very High")</f>
        <v>Low</v>
      </c>
      <c r="AM720">
        <f>IF(Table1[[#This Row],[Attrition]]="Yes",1,0)</f>
        <v>0</v>
      </c>
    </row>
    <row r="721" spans="1:39" ht="13.8" x14ac:dyDescent="0.25">
      <c r="A721">
        <v>47</v>
      </c>
      <c r="B721" t="str" cm="1">
        <f t="array" ref="B721">_xlfn.IFS(Table1[[#This Row],[Age]]&lt;30,"Under 30",Table1[[#This Row],[Age]]&lt;=40,"30-40",Table1[[#This Row],[Age]]&lt;=50,"41-50",Table1[[#This Row],[Age]]&gt;50,"Over 50")</f>
        <v>41-50</v>
      </c>
      <c r="C721" t="s">
        <v>43</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t="str" cm="1">
        <f t="array" ref="AH721">_xlfn.IFS(Table1[[#This Row],[YearsAtCompany]]&lt;=2,"0-2 years",Table1[[#This Row],[YearsAtCompany]]&lt;=5,"3-5 years",Table1[[#This Row],[YearsAtCompany]]&lt;=10,"6-10 years",Table1[[#This Row],[YearsAtCompany]]&gt;10,"10+ years")</f>
        <v>6-10 years</v>
      </c>
      <c r="AI721">
        <v>0</v>
      </c>
      <c r="AJ721">
        <v>0</v>
      </c>
      <c r="AK721">
        <v>7</v>
      </c>
      <c r="AL721" t="str" cm="1">
        <f t="array" ref="AL721">_xlfn.IFS(Table1[[#This Row],[JobSatisfaction]]=1,"Low",Table1[[#This Row],[JobSatisfaction]]=2,"Medium",Table1[[#This Row],[JobSatisfaction]]=3,"High",Table1[[#This Row],[JobSatisfaction]]=4,"Very High")</f>
        <v>Very High</v>
      </c>
      <c r="AM721">
        <f>IF(Table1[[#This Row],[Attrition]]="Yes",1,0)</f>
        <v>0</v>
      </c>
    </row>
    <row r="722" spans="1:39" ht="13.8" x14ac:dyDescent="0.25">
      <c r="A722">
        <v>30</v>
      </c>
      <c r="B722" t="str" cm="1">
        <f t="array" ref="B722">_xlfn.IFS(Table1[[#This Row],[Age]]&lt;30,"Under 30",Table1[[#This Row],[Age]]&lt;=40,"30-40",Table1[[#This Row],[Age]]&lt;=50,"41-50",Table1[[#This Row],[Age]]&gt;50,"Over 50")</f>
        <v>30-40</v>
      </c>
      <c r="C722" t="s">
        <v>35</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t="str" cm="1">
        <f t="array" ref="AH722">_xlfn.IFS(Table1[[#This Row],[YearsAtCompany]]&lt;=2,"0-2 years",Table1[[#This Row],[YearsAtCompany]]&lt;=5,"3-5 years",Table1[[#This Row],[YearsAtCompany]]&lt;=10,"6-10 years",Table1[[#This Row],[YearsAtCompany]]&gt;10,"10+ years")</f>
        <v>3-5 years</v>
      </c>
      <c r="AI722">
        <v>2</v>
      </c>
      <c r="AJ722">
        <v>0</v>
      </c>
      <c r="AK722">
        <v>1</v>
      </c>
      <c r="AL722" t="str" cm="1">
        <f t="array" ref="AL722">_xlfn.IFS(Table1[[#This Row],[JobSatisfaction]]=1,"Low",Table1[[#This Row],[JobSatisfaction]]=2,"Medium",Table1[[#This Row],[JobSatisfaction]]=3,"High",Table1[[#This Row],[JobSatisfaction]]=4,"Very High")</f>
        <v>High</v>
      </c>
      <c r="AM722">
        <f>IF(Table1[[#This Row],[Attrition]]="Yes",1,0)</f>
        <v>1</v>
      </c>
    </row>
    <row r="723" spans="1:39" ht="13.8" x14ac:dyDescent="0.25">
      <c r="A723">
        <v>50</v>
      </c>
      <c r="B723" t="str" cm="1">
        <f t="array" ref="B723">_xlfn.IFS(Table1[[#This Row],[Age]]&lt;30,"Under 30",Table1[[#This Row],[Age]]&lt;=40,"30-40",Table1[[#This Row],[Age]]&lt;=50,"41-50",Table1[[#This Row],[Age]]&gt;50,"Over 50")</f>
        <v>41-50</v>
      </c>
      <c r="C723" t="s">
        <v>43</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t="str" cm="1">
        <f t="array" ref="AH723">_xlfn.IFS(Table1[[#This Row],[YearsAtCompany]]&lt;=2,"0-2 years",Table1[[#This Row],[YearsAtCompany]]&lt;=5,"3-5 years",Table1[[#This Row],[YearsAtCompany]]&lt;=10,"6-10 years",Table1[[#This Row],[YearsAtCompany]]&gt;10,"10+ years")</f>
        <v>10+ years</v>
      </c>
      <c r="AI723">
        <v>11</v>
      </c>
      <c r="AJ723">
        <v>1</v>
      </c>
      <c r="AK723">
        <v>5</v>
      </c>
      <c r="AL723" t="str" cm="1">
        <f t="array" ref="AL723">_xlfn.IFS(Table1[[#This Row],[JobSatisfaction]]=1,"Low",Table1[[#This Row],[JobSatisfaction]]=2,"Medium",Table1[[#This Row],[JobSatisfaction]]=3,"High",Table1[[#This Row],[JobSatisfaction]]=4,"Very High")</f>
        <v>High</v>
      </c>
      <c r="AM723">
        <f>IF(Table1[[#This Row],[Attrition]]="Yes",1,0)</f>
        <v>0</v>
      </c>
    </row>
    <row r="724" spans="1:39" ht="13.8" x14ac:dyDescent="0.25">
      <c r="A724">
        <v>38</v>
      </c>
      <c r="B724" t="str" cm="1">
        <f t="array" ref="B724">_xlfn.IFS(Table1[[#This Row],[Age]]&lt;30,"Under 30",Table1[[#This Row],[Age]]&lt;=40,"30-40",Table1[[#This Row],[Age]]&lt;=50,"41-50",Table1[[#This Row],[Age]]&gt;50,"Over 50")</f>
        <v>30-40</v>
      </c>
      <c r="C724" t="s">
        <v>43</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t="str" cm="1">
        <f t="array" ref="AH724">_xlfn.IFS(Table1[[#This Row],[YearsAtCompany]]&lt;=2,"0-2 years",Table1[[#This Row],[YearsAtCompany]]&lt;=5,"3-5 years",Table1[[#This Row],[YearsAtCompany]]&lt;=10,"6-10 years",Table1[[#This Row],[YearsAtCompany]]&gt;10,"10+ years")</f>
        <v>0-2 years</v>
      </c>
      <c r="AI724">
        <v>1</v>
      </c>
      <c r="AJ724">
        <v>0</v>
      </c>
      <c r="AK724">
        <v>2</v>
      </c>
      <c r="AL724" t="str" cm="1">
        <f t="array" ref="AL724">_xlfn.IFS(Table1[[#This Row],[JobSatisfaction]]=1,"Low",Table1[[#This Row],[JobSatisfaction]]=2,"Medium",Table1[[#This Row],[JobSatisfaction]]=3,"High",Table1[[#This Row],[JobSatisfaction]]=4,"Very High")</f>
        <v>High</v>
      </c>
      <c r="AM724">
        <f>IF(Table1[[#This Row],[Attrition]]="Yes",1,0)</f>
        <v>0</v>
      </c>
    </row>
    <row r="725" spans="1:39" ht="13.8" x14ac:dyDescent="0.25">
      <c r="A725">
        <v>46</v>
      </c>
      <c r="B725" t="str" cm="1">
        <f t="array" ref="B725">_xlfn.IFS(Table1[[#This Row],[Age]]&lt;30,"Under 30",Table1[[#This Row],[Age]]&lt;=40,"30-40",Table1[[#This Row],[Age]]&lt;=50,"41-50",Table1[[#This Row],[Age]]&gt;50,"Over 50")</f>
        <v>41-50</v>
      </c>
      <c r="C725" t="s">
        <v>43</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t="str" cm="1">
        <f t="array" ref="AH725">_xlfn.IFS(Table1[[#This Row],[YearsAtCompany]]&lt;=2,"0-2 years",Table1[[#This Row],[YearsAtCompany]]&lt;=5,"3-5 years",Table1[[#This Row],[YearsAtCompany]]&lt;=10,"6-10 years",Table1[[#This Row],[YearsAtCompany]]&gt;10,"10+ years")</f>
        <v>6-10 years</v>
      </c>
      <c r="AI725">
        <v>7</v>
      </c>
      <c r="AJ725">
        <v>0</v>
      </c>
      <c r="AK725">
        <v>7</v>
      </c>
      <c r="AL725" t="str" cm="1">
        <f t="array" ref="AL725">_xlfn.IFS(Table1[[#This Row],[JobSatisfaction]]=1,"Low",Table1[[#This Row],[JobSatisfaction]]=2,"Medium",Table1[[#This Row],[JobSatisfaction]]=3,"High",Table1[[#This Row],[JobSatisfaction]]=4,"Very High")</f>
        <v>High</v>
      </c>
      <c r="AM725">
        <f>IF(Table1[[#This Row],[Attrition]]="Yes",1,0)</f>
        <v>0</v>
      </c>
    </row>
    <row r="726" spans="1:39" ht="13.8" x14ac:dyDescent="0.25">
      <c r="A726">
        <v>24</v>
      </c>
      <c r="B726" t="str" cm="1">
        <f t="array" ref="B726">_xlfn.IFS(Table1[[#This Row],[Age]]&lt;30,"Under 30",Table1[[#This Row],[Age]]&lt;=40,"30-40",Table1[[#This Row],[Age]]&lt;=50,"41-50",Table1[[#This Row],[Age]]&gt;50,"Over 50")</f>
        <v>Under 30</v>
      </c>
      <c r="C726" t="s">
        <v>43</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t="str" cm="1">
        <f t="array" ref="AH726">_xlfn.IFS(Table1[[#This Row],[YearsAtCompany]]&lt;=2,"0-2 years",Table1[[#This Row],[YearsAtCompany]]&lt;=5,"3-5 years",Table1[[#This Row],[YearsAtCompany]]&lt;=10,"6-10 years",Table1[[#This Row],[YearsAtCompany]]&gt;10,"10+ years")</f>
        <v>3-5 years</v>
      </c>
      <c r="AI726">
        <v>2</v>
      </c>
      <c r="AJ726">
        <v>3</v>
      </c>
      <c r="AK726">
        <v>2</v>
      </c>
      <c r="AL726" t="str" cm="1">
        <f t="array" ref="AL726">_xlfn.IFS(Table1[[#This Row],[JobSatisfaction]]=1,"Low",Table1[[#This Row],[JobSatisfaction]]=2,"Medium",Table1[[#This Row],[JobSatisfaction]]=3,"High",Table1[[#This Row],[JobSatisfaction]]=4,"Very High")</f>
        <v>High</v>
      </c>
      <c r="AM726">
        <f>IF(Table1[[#This Row],[Attrition]]="Yes",1,0)</f>
        <v>0</v>
      </c>
    </row>
    <row r="727" spans="1:39" ht="13.8" x14ac:dyDescent="0.25">
      <c r="A727">
        <v>35</v>
      </c>
      <c r="B727" t="str" cm="1">
        <f t="array" ref="B727">_xlfn.IFS(Table1[[#This Row],[Age]]&lt;30,"Under 30",Table1[[#This Row],[Age]]&lt;=40,"30-40",Table1[[#This Row],[Age]]&lt;=50,"41-50",Table1[[#This Row],[Age]]&gt;50,"Over 50")</f>
        <v>30-40</v>
      </c>
      <c r="C727" t="s">
        <v>35</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t="str" cm="1">
        <f t="array" ref="AH727">_xlfn.IFS(Table1[[#This Row],[YearsAtCompany]]&lt;=2,"0-2 years",Table1[[#This Row],[YearsAtCompany]]&lt;=5,"3-5 years",Table1[[#This Row],[YearsAtCompany]]&lt;=10,"6-10 years",Table1[[#This Row],[YearsAtCompany]]&gt;10,"10+ years")</f>
        <v>3-5 years</v>
      </c>
      <c r="AI727">
        <v>2</v>
      </c>
      <c r="AJ727">
        <v>0</v>
      </c>
      <c r="AK727">
        <v>2</v>
      </c>
      <c r="AL727" t="str" cm="1">
        <f t="array" ref="AL727">_xlfn.IFS(Table1[[#This Row],[JobSatisfaction]]=1,"Low",Table1[[#This Row],[JobSatisfaction]]=2,"Medium",Table1[[#This Row],[JobSatisfaction]]=3,"High",Table1[[#This Row],[JobSatisfaction]]=4,"Very High")</f>
        <v>Medium</v>
      </c>
      <c r="AM727">
        <f>IF(Table1[[#This Row],[Attrition]]="Yes",1,0)</f>
        <v>1</v>
      </c>
    </row>
    <row r="728" spans="1:39" ht="13.8" x14ac:dyDescent="0.25">
      <c r="A728">
        <v>31</v>
      </c>
      <c r="B728" t="str" cm="1">
        <f t="array" ref="B728">_xlfn.IFS(Table1[[#This Row],[Age]]&lt;30,"Under 30",Table1[[#This Row],[Age]]&lt;=40,"30-40",Table1[[#This Row],[Age]]&lt;=50,"41-50",Table1[[#This Row],[Age]]&gt;50,"Over 50")</f>
        <v>30-40</v>
      </c>
      <c r="C728" t="s">
        <v>43</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t="str" cm="1">
        <f t="array" ref="AH728">_xlfn.IFS(Table1[[#This Row],[YearsAtCompany]]&lt;=2,"0-2 years",Table1[[#This Row],[YearsAtCompany]]&lt;=5,"3-5 years",Table1[[#This Row],[YearsAtCompany]]&lt;=10,"6-10 years",Table1[[#This Row],[YearsAtCompany]]&gt;10,"10+ years")</f>
        <v>3-5 years</v>
      </c>
      <c r="AI728">
        <v>3</v>
      </c>
      <c r="AJ728">
        <v>0</v>
      </c>
      <c r="AK728">
        <v>3</v>
      </c>
      <c r="AL728" t="str" cm="1">
        <f t="array" ref="AL728">_xlfn.IFS(Table1[[#This Row],[JobSatisfaction]]=1,"Low",Table1[[#This Row],[JobSatisfaction]]=2,"Medium",Table1[[#This Row],[JobSatisfaction]]=3,"High",Table1[[#This Row],[JobSatisfaction]]=4,"Very High")</f>
        <v>Low</v>
      </c>
      <c r="AM728">
        <f>IF(Table1[[#This Row],[Attrition]]="Yes",1,0)</f>
        <v>0</v>
      </c>
    </row>
    <row r="729" spans="1:39" ht="13.8" x14ac:dyDescent="0.25">
      <c r="A729">
        <v>18</v>
      </c>
      <c r="B729" t="str" cm="1">
        <f t="array" ref="B729">_xlfn.IFS(Table1[[#This Row],[Age]]&lt;30,"Under 30",Table1[[#This Row],[Age]]&lt;=40,"30-40",Table1[[#This Row],[Age]]&lt;=50,"41-50",Table1[[#This Row],[Age]]&gt;50,"Over 50")</f>
        <v>Under 30</v>
      </c>
      <c r="C729" t="s">
        <v>43</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t="str" cm="1">
        <f t="array" ref="AH729">_xlfn.IFS(Table1[[#This Row],[YearsAtCompany]]&lt;=2,"0-2 years",Table1[[#This Row],[YearsAtCompany]]&lt;=5,"3-5 years",Table1[[#This Row],[YearsAtCompany]]&lt;=10,"6-10 years",Table1[[#This Row],[YearsAtCompany]]&gt;10,"10+ years")</f>
        <v>0-2 years</v>
      </c>
      <c r="AI729">
        <v>0</v>
      </c>
      <c r="AJ729">
        <v>0</v>
      </c>
      <c r="AK729">
        <v>0</v>
      </c>
      <c r="AL729" t="str" cm="1">
        <f t="array" ref="AL729">_xlfn.IFS(Table1[[#This Row],[JobSatisfaction]]=1,"Low",Table1[[#This Row],[JobSatisfaction]]=2,"Medium",Table1[[#This Row],[JobSatisfaction]]=3,"High",Table1[[#This Row],[JobSatisfaction]]=4,"Very High")</f>
        <v>Very High</v>
      </c>
      <c r="AM729">
        <f>IF(Table1[[#This Row],[Attrition]]="Yes",1,0)</f>
        <v>0</v>
      </c>
    </row>
    <row r="730" spans="1:39" ht="13.8" x14ac:dyDescent="0.25">
      <c r="A730">
        <v>54</v>
      </c>
      <c r="B730" t="str" cm="1">
        <f t="array" ref="B730">_xlfn.IFS(Table1[[#This Row],[Age]]&lt;30,"Under 30",Table1[[#This Row],[Age]]&lt;=40,"30-40",Table1[[#This Row],[Age]]&lt;=50,"41-50",Table1[[#This Row],[Age]]&gt;50,"Over 50")</f>
        <v>Over 50</v>
      </c>
      <c r="C730" t="s">
        <v>43</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t="str" cm="1">
        <f t="array" ref="AH730">_xlfn.IFS(Table1[[#This Row],[YearsAtCompany]]&lt;=2,"0-2 years",Table1[[#This Row],[YearsAtCompany]]&lt;=5,"3-5 years",Table1[[#This Row],[YearsAtCompany]]&lt;=10,"6-10 years",Table1[[#This Row],[YearsAtCompany]]&gt;10,"10+ years")</f>
        <v>6-10 years</v>
      </c>
      <c r="AI730">
        <v>7</v>
      </c>
      <c r="AJ730">
        <v>0</v>
      </c>
      <c r="AK730">
        <v>8</v>
      </c>
      <c r="AL730" t="str" cm="1">
        <f t="array" ref="AL730">_xlfn.IFS(Table1[[#This Row],[JobSatisfaction]]=1,"Low",Table1[[#This Row],[JobSatisfaction]]=2,"Medium",Table1[[#This Row],[JobSatisfaction]]=3,"High",Table1[[#This Row],[JobSatisfaction]]=4,"Very High")</f>
        <v>High</v>
      </c>
      <c r="AM730">
        <f>IF(Table1[[#This Row],[Attrition]]="Yes",1,0)</f>
        <v>0</v>
      </c>
    </row>
    <row r="731" spans="1:39" ht="13.8" x14ac:dyDescent="0.25">
      <c r="A731">
        <v>35</v>
      </c>
      <c r="B731" t="str" cm="1">
        <f t="array" ref="B731">_xlfn.IFS(Table1[[#This Row],[Age]]&lt;30,"Under 30",Table1[[#This Row],[Age]]&lt;=40,"30-40",Table1[[#This Row],[Age]]&lt;=50,"41-50",Table1[[#This Row],[Age]]&gt;50,"Over 50")</f>
        <v>30-40</v>
      </c>
      <c r="C731" t="s">
        <v>43</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t="str" cm="1">
        <f t="array" ref="AH731">_xlfn.IFS(Table1[[#This Row],[YearsAtCompany]]&lt;=2,"0-2 years",Table1[[#This Row],[YearsAtCompany]]&lt;=5,"3-5 years",Table1[[#This Row],[YearsAtCompany]]&lt;=10,"6-10 years",Table1[[#This Row],[YearsAtCompany]]&gt;10,"10+ years")</f>
        <v>10+ years</v>
      </c>
      <c r="AI731">
        <v>10</v>
      </c>
      <c r="AJ731">
        <v>10</v>
      </c>
      <c r="AK731">
        <v>1</v>
      </c>
      <c r="AL731" t="str" cm="1">
        <f t="array" ref="AL731">_xlfn.IFS(Table1[[#This Row],[JobSatisfaction]]=1,"Low",Table1[[#This Row],[JobSatisfaction]]=2,"Medium",Table1[[#This Row],[JobSatisfaction]]=3,"High",Table1[[#This Row],[JobSatisfaction]]=4,"Very High")</f>
        <v>High</v>
      </c>
      <c r="AM731">
        <f>IF(Table1[[#This Row],[Attrition]]="Yes",1,0)</f>
        <v>0</v>
      </c>
    </row>
    <row r="732" spans="1:39" ht="13.8" x14ac:dyDescent="0.25">
      <c r="A732">
        <v>30</v>
      </c>
      <c r="B732" t="str" cm="1">
        <f t="array" ref="B732">_xlfn.IFS(Table1[[#This Row],[Age]]&lt;30,"Under 30",Table1[[#This Row],[Age]]&lt;=40,"30-40",Table1[[#This Row],[Age]]&lt;=50,"41-50",Table1[[#This Row],[Age]]&gt;50,"Over 50")</f>
        <v>30-40</v>
      </c>
      <c r="C732" t="s">
        <v>43</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t="str" cm="1">
        <f t="array" ref="AH732">_xlfn.IFS(Table1[[#This Row],[YearsAtCompany]]&lt;=2,"0-2 years",Table1[[#This Row],[YearsAtCompany]]&lt;=5,"3-5 years",Table1[[#This Row],[YearsAtCompany]]&lt;=10,"6-10 years",Table1[[#This Row],[YearsAtCompany]]&gt;10,"10+ years")</f>
        <v>6-10 years</v>
      </c>
      <c r="AI732">
        <v>7</v>
      </c>
      <c r="AJ732">
        <v>1</v>
      </c>
      <c r="AK732">
        <v>7</v>
      </c>
      <c r="AL732" t="str" cm="1">
        <f t="array" ref="AL732">_xlfn.IFS(Table1[[#This Row],[JobSatisfaction]]=1,"Low",Table1[[#This Row],[JobSatisfaction]]=2,"Medium",Table1[[#This Row],[JobSatisfaction]]=3,"High",Table1[[#This Row],[JobSatisfaction]]=4,"Very High")</f>
        <v>Low</v>
      </c>
      <c r="AM732">
        <f>IF(Table1[[#This Row],[Attrition]]="Yes",1,0)</f>
        <v>0</v>
      </c>
    </row>
    <row r="733" spans="1:39" ht="13.8" x14ac:dyDescent="0.25">
      <c r="A733">
        <v>20</v>
      </c>
      <c r="B733" t="str" cm="1">
        <f t="array" ref="B733">_xlfn.IFS(Table1[[#This Row],[Age]]&lt;30,"Under 30",Table1[[#This Row],[Age]]&lt;=40,"30-40",Table1[[#This Row],[Age]]&lt;=50,"41-50",Table1[[#This Row],[Age]]&gt;50,"Over 50")</f>
        <v>Under 30</v>
      </c>
      <c r="C733" t="s">
        <v>35</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t="str" cm="1">
        <f t="array" ref="AH733">_xlfn.IFS(Table1[[#This Row],[YearsAtCompany]]&lt;=2,"0-2 years",Table1[[#This Row],[YearsAtCompany]]&lt;=5,"3-5 years",Table1[[#This Row],[YearsAtCompany]]&lt;=10,"6-10 years",Table1[[#This Row],[YearsAtCompany]]&gt;10,"10+ years")</f>
        <v>0-2 years</v>
      </c>
      <c r="AI733">
        <v>0</v>
      </c>
      <c r="AJ733">
        <v>0</v>
      </c>
      <c r="AK733">
        <v>0</v>
      </c>
      <c r="AL733" t="str" cm="1">
        <f t="array" ref="AL733">_xlfn.IFS(Table1[[#This Row],[JobSatisfaction]]=1,"Low",Table1[[#This Row],[JobSatisfaction]]=2,"Medium",Table1[[#This Row],[JobSatisfaction]]=3,"High",Table1[[#This Row],[JobSatisfaction]]=4,"Very High")</f>
        <v>Low</v>
      </c>
      <c r="AM733">
        <f>IF(Table1[[#This Row],[Attrition]]="Yes",1,0)</f>
        <v>1</v>
      </c>
    </row>
    <row r="734" spans="1:39" ht="13.8" x14ac:dyDescent="0.25">
      <c r="A734">
        <v>30</v>
      </c>
      <c r="B734" t="str" cm="1">
        <f t="array" ref="B734">_xlfn.IFS(Table1[[#This Row],[Age]]&lt;30,"Under 30",Table1[[#This Row],[Age]]&lt;=40,"30-40",Table1[[#This Row],[Age]]&lt;=50,"41-50",Table1[[#This Row],[Age]]&gt;50,"Over 50")</f>
        <v>30-40</v>
      </c>
      <c r="C734" t="s">
        <v>35</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t="str" cm="1">
        <f t="array" ref="AH734">_xlfn.IFS(Table1[[#This Row],[YearsAtCompany]]&lt;=2,"0-2 years",Table1[[#This Row],[YearsAtCompany]]&lt;=5,"3-5 years",Table1[[#This Row],[YearsAtCompany]]&lt;=10,"6-10 years",Table1[[#This Row],[YearsAtCompany]]&gt;10,"10+ years")</f>
        <v>3-5 years</v>
      </c>
      <c r="AI734">
        <v>2</v>
      </c>
      <c r="AJ734">
        <v>1</v>
      </c>
      <c r="AK734">
        <v>2</v>
      </c>
      <c r="AL734" t="str" cm="1">
        <f t="array" ref="AL734">_xlfn.IFS(Table1[[#This Row],[JobSatisfaction]]=1,"Low",Table1[[#This Row],[JobSatisfaction]]=2,"Medium",Table1[[#This Row],[JobSatisfaction]]=3,"High",Table1[[#This Row],[JobSatisfaction]]=4,"Very High")</f>
        <v>Medium</v>
      </c>
      <c r="AM734">
        <f>IF(Table1[[#This Row],[Attrition]]="Yes",1,0)</f>
        <v>1</v>
      </c>
    </row>
    <row r="735" spans="1:39" ht="13.8" x14ac:dyDescent="0.25">
      <c r="A735">
        <v>26</v>
      </c>
      <c r="B735" t="str" cm="1">
        <f t="array" ref="B735">_xlfn.IFS(Table1[[#This Row],[Age]]&lt;30,"Under 30",Table1[[#This Row],[Age]]&lt;=40,"30-40",Table1[[#This Row],[Age]]&lt;=50,"41-50",Table1[[#This Row],[Age]]&gt;50,"Over 50")</f>
        <v>Under 30</v>
      </c>
      <c r="C735" t="s">
        <v>43</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t="str" cm="1">
        <f t="array" ref="AH735">_xlfn.IFS(Table1[[#This Row],[YearsAtCompany]]&lt;=2,"0-2 years",Table1[[#This Row],[YearsAtCompany]]&lt;=5,"3-5 years",Table1[[#This Row],[YearsAtCompany]]&lt;=10,"6-10 years",Table1[[#This Row],[YearsAtCompany]]&gt;10,"10+ years")</f>
        <v>6-10 years</v>
      </c>
      <c r="AI735">
        <v>7</v>
      </c>
      <c r="AJ735">
        <v>1</v>
      </c>
      <c r="AK735">
        <v>3</v>
      </c>
      <c r="AL735" t="str" cm="1">
        <f t="array" ref="AL735">_xlfn.IFS(Table1[[#This Row],[JobSatisfaction]]=1,"Low",Table1[[#This Row],[JobSatisfaction]]=2,"Medium",Table1[[#This Row],[JobSatisfaction]]=3,"High",Table1[[#This Row],[JobSatisfaction]]=4,"Very High")</f>
        <v>Very High</v>
      </c>
      <c r="AM735">
        <f>IF(Table1[[#This Row],[Attrition]]="Yes",1,0)</f>
        <v>0</v>
      </c>
    </row>
    <row r="736" spans="1:39" ht="13.8" x14ac:dyDescent="0.25">
      <c r="A736">
        <v>22</v>
      </c>
      <c r="B736" t="str" cm="1">
        <f t="array" ref="B736">_xlfn.IFS(Table1[[#This Row],[Age]]&lt;30,"Under 30",Table1[[#This Row],[Age]]&lt;=40,"30-40",Table1[[#This Row],[Age]]&lt;=50,"41-50",Table1[[#This Row],[Age]]&gt;50,"Over 50")</f>
        <v>Under 30</v>
      </c>
      <c r="C736" t="s">
        <v>43</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t="str" cm="1">
        <f t="array" ref="AH736">_xlfn.IFS(Table1[[#This Row],[YearsAtCompany]]&lt;=2,"0-2 years",Table1[[#This Row],[YearsAtCompany]]&lt;=5,"3-5 years",Table1[[#This Row],[YearsAtCompany]]&lt;=10,"6-10 years",Table1[[#This Row],[YearsAtCompany]]&gt;10,"10+ years")</f>
        <v>3-5 years</v>
      </c>
      <c r="AI736">
        <v>3</v>
      </c>
      <c r="AJ736">
        <v>1</v>
      </c>
      <c r="AK736">
        <v>1</v>
      </c>
      <c r="AL736" t="str" cm="1">
        <f t="array" ref="AL736">_xlfn.IFS(Table1[[#This Row],[JobSatisfaction]]=1,"Low",Table1[[#This Row],[JobSatisfaction]]=2,"Medium",Table1[[#This Row],[JobSatisfaction]]=3,"High",Table1[[#This Row],[JobSatisfaction]]=4,"Very High")</f>
        <v>Low</v>
      </c>
      <c r="AM736">
        <f>IF(Table1[[#This Row],[Attrition]]="Yes",1,0)</f>
        <v>0</v>
      </c>
    </row>
    <row r="737" spans="1:39" ht="13.8" x14ac:dyDescent="0.25">
      <c r="A737">
        <v>48</v>
      </c>
      <c r="B737" t="str" cm="1">
        <f t="array" ref="B737">_xlfn.IFS(Table1[[#This Row],[Age]]&lt;30,"Under 30",Table1[[#This Row],[Age]]&lt;=40,"30-40",Table1[[#This Row],[Age]]&lt;=50,"41-50",Table1[[#This Row],[Age]]&gt;50,"Over 50")</f>
        <v>41-50</v>
      </c>
      <c r="C737" t="s">
        <v>43</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t="str" cm="1">
        <f t="array" ref="AH737">_xlfn.IFS(Table1[[#This Row],[YearsAtCompany]]&lt;=2,"0-2 years",Table1[[#This Row],[YearsAtCompany]]&lt;=5,"3-5 years",Table1[[#This Row],[YearsAtCompany]]&lt;=10,"6-10 years",Table1[[#This Row],[YearsAtCompany]]&gt;10,"10+ years")</f>
        <v>0-2 years</v>
      </c>
      <c r="AI737">
        <v>2</v>
      </c>
      <c r="AJ737">
        <v>2</v>
      </c>
      <c r="AK737">
        <v>2</v>
      </c>
      <c r="AL737" t="str" cm="1">
        <f t="array" ref="AL737">_xlfn.IFS(Table1[[#This Row],[JobSatisfaction]]=1,"Low",Table1[[#This Row],[JobSatisfaction]]=2,"Medium",Table1[[#This Row],[JobSatisfaction]]=3,"High",Table1[[#This Row],[JobSatisfaction]]=4,"Very High")</f>
        <v>High</v>
      </c>
      <c r="AM737">
        <f>IF(Table1[[#This Row],[Attrition]]="Yes",1,0)</f>
        <v>0</v>
      </c>
    </row>
    <row r="738" spans="1:39" ht="13.8" x14ac:dyDescent="0.25">
      <c r="A738">
        <v>48</v>
      </c>
      <c r="B738" t="str" cm="1">
        <f t="array" ref="B738">_xlfn.IFS(Table1[[#This Row],[Age]]&lt;30,"Under 30",Table1[[#This Row],[Age]]&lt;=40,"30-40",Table1[[#This Row],[Age]]&lt;=50,"41-50",Table1[[#This Row],[Age]]&gt;50,"Over 50")</f>
        <v>41-50</v>
      </c>
      <c r="C738" t="s">
        <v>43</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t="str" cm="1">
        <f t="array" ref="AH738">_xlfn.IFS(Table1[[#This Row],[YearsAtCompany]]&lt;=2,"0-2 years",Table1[[#This Row],[YearsAtCompany]]&lt;=5,"3-5 years",Table1[[#This Row],[YearsAtCompany]]&lt;=10,"6-10 years",Table1[[#This Row],[YearsAtCompany]]&gt;10,"10+ years")</f>
        <v>10+ years</v>
      </c>
      <c r="AI738">
        <v>11</v>
      </c>
      <c r="AJ738">
        <v>4</v>
      </c>
      <c r="AK738">
        <v>8</v>
      </c>
      <c r="AL738" t="str" cm="1">
        <f t="array" ref="AL738">_xlfn.IFS(Table1[[#This Row],[JobSatisfaction]]=1,"Low",Table1[[#This Row],[JobSatisfaction]]=2,"Medium",Table1[[#This Row],[JobSatisfaction]]=3,"High",Table1[[#This Row],[JobSatisfaction]]=4,"Very High")</f>
        <v>High</v>
      </c>
      <c r="AM738">
        <f>IF(Table1[[#This Row],[Attrition]]="Yes",1,0)</f>
        <v>0</v>
      </c>
    </row>
    <row r="739" spans="1:39" ht="13.8" x14ac:dyDescent="0.25">
      <c r="A739">
        <v>41</v>
      </c>
      <c r="B739" t="str" cm="1">
        <f t="array" ref="B739">_xlfn.IFS(Table1[[#This Row],[Age]]&lt;30,"Under 30",Table1[[#This Row],[Age]]&lt;=40,"30-40",Table1[[#This Row],[Age]]&lt;=50,"41-50",Table1[[#This Row],[Age]]&gt;50,"Over 50")</f>
        <v>41-50</v>
      </c>
      <c r="C739" t="s">
        <v>43</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t="str" cm="1">
        <f t="array" ref="AH739">_xlfn.IFS(Table1[[#This Row],[YearsAtCompany]]&lt;=2,"0-2 years",Table1[[#This Row],[YearsAtCompany]]&lt;=5,"3-5 years",Table1[[#This Row],[YearsAtCompany]]&lt;=10,"6-10 years",Table1[[#This Row],[YearsAtCompany]]&gt;10,"10+ years")</f>
        <v>0-2 years</v>
      </c>
      <c r="AI739">
        <v>2</v>
      </c>
      <c r="AJ739">
        <v>2</v>
      </c>
      <c r="AK739">
        <v>1</v>
      </c>
      <c r="AL739" t="str" cm="1">
        <f t="array" ref="AL739">_xlfn.IFS(Table1[[#This Row],[JobSatisfaction]]=1,"Low",Table1[[#This Row],[JobSatisfaction]]=2,"Medium",Table1[[#This Row],[JobSatisfaction]]=3,"High",Table1[[#This Row],[JobSatisfaction]]=4,"Very High")</f>
        <v>High</v>
      </c>
      <c r="AM739">
        <f>IF(Table1[[#This Row],[Attrition]]="Yes",1,0)</f>
        <v>0</v>
      </c>
    </row>
    <row r="740" spans="1:39" ht="13.8" x14ac:dyDescent="0.25">
      <c r="A740">
        <v>39</v>
      </c>
      <c r="B740" t="str" cm="1">
        <f t="array" ref="B740">_xlfn.IFS(Table1[[#This Row],[Age]]&lt;30,"Under 30",Table1[[#This Row],[Age]]&lt;=40,"30-40",Table1[[#This Row],[Age]]&lt;=50,"41-50",Table1[[#This Row],[Age]]&gt;50,"Over 50")</f>
        <v>30-40</v>
      </c>
      <c r="C740" t="s">
        <v>43</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t="str" cm="1">
        <f t="array" ref="AH740">_xlfn.IFS(Table1[[#This Row],[YearsAtCompany]]&lt;=2,"0-2 years",Table1[[#This Row],[YearsAtCompany]]&lt;=5,"3-5 years",Table1[[#This Row],[YearsAtCompany]]&lt;=10,"6-10 years",Table1[[#This Row],[YearsAtCompany]]&gt;10,"10+ years")</f>
        <v>10+ years</v>
      </c>
      <c r="AI740">
        <v>6</v>
      </c>
      <c r="AJ740">
        <v>11</v>
      </c>
      <c r="AK740">
        <v>8</v>
      </c>
      <c r="AL740" t="str" cm="1">
        <f t="array" ref="AL740">_xlfn.IFS(Table1[[#This Row],[JobSatisfaction]]=1,"Low",Table1[[#This Row],[JobSatisfaction]]=2,"Medium",Table1[[#This Row],[JobSatisfaction]]=3,"High",Table1[[#This Row],[JobSatisfaction]]=4,"Very High")</f>
        <v>Very High</v>
      </c>
      <c r="AM740">
        <f>IF(Table1[[#This Row],[Attrition]]="Yes",1,0)</f>
        <v>0</v>
      </c>
    </row>
    <row r="741" spans="1:39" ht="13.8" x14ac:dyDescent="0.25">
      <c r="A741">
        <v>27</v>
      </c>
      <c r="B741" t="str" cm="1">
        <f t="array" ref="B741">_xlfn.IFS(Table1[[#This Row],[Age]]&lt;30,"Under 30",Table1[[#This Row],[Age]]&lt;=40,"30-40",Table1[[#This Row],[Age]]&lt;=50,"41-50",Table1[[#This Row],[Age]]&gt;50,"Over 50")</f>
        <v>Under 30</v>
      </c>
      <c r="C741" t="s">
        <v>43</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t="str" cm="1">
        <f t="array" ref="AH741">_xlfn.IFS(Table1[[#This Row],[YearsAtCompany]]&lt;=2,"0-2 years",Table1[[#This Row],[YearsAtCompany]]&lt;=5,"3-5 years",Table1[[#This Row],[YearsAtCompany]]&lt;=10,"6-10 years",Table1[[#This Row],[YearsAtCompany]]&gt;10,"10+ years")</f>
        <v>3-5 years</v>
      </c>
      <c r="AI741">
        <v>2</v>
      </c>
      <c r="AJ741">
        <v>2</v>
      </c>
      <c r="AK741">
        <v>2</v>
      </c>
      <c r="AL741" t="str" cm="1">
        <f t="array" ref="AL741">_xlfn.IFS(Table1[[#This Row],[JobSatisfaction]]=1,"Low",Table1[[#This Row],[JobSatisfaction]]=2,"Medium",Table1[[#This Row],[JobSatisfaction]]=3,"High",Table1[[#This Row],[JobSatisfaction]]=4,"Very High")</f>
        <v>Very High</v>
      </c>
      <c r="AM741">
        <f>IF(Table1[[#This Row],[Attrition]]="Yes",1,0)</f>
        <v>0</v>
      </c>
    </row>
    <row r="742" spans="1:39" ht="13.8" x14ac:dyDescent="0.25">
      <c r="A742">
        <v>35</v>
      </c>
      <c r="B742" t="str" cm="1">
        <f t="array" ref="B742">_xlfn.IFS(Table1[[#This Row],[Age]]&lt;30,"Under 30",Table1[[#This Row],[Age]]&lt;=40,"30-40",Table1[[#This Row],[Age]]&lt;=50,"41-50",Table1[[#This Row],[Age]]&gt;50,"Over 50")</f>
        <v>30-40</v>
      </c>
      <c r="C742" t="s">
        <v>43</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t="str" cm="1">
        <f t="array" ref="AH742">_xlfn.IFS(Table1[[#This Row],[YearsAtCompany]]&lt;=2,"0-2 years",Table1[[#This Row],[YearsAtCompany]]&lt;=5,"3-5 years",Table1[[#This Row],[YearsAtCompany]]&lt;=10,"6-10 years",Table1[[#This Row],[YearsAtCompany]]&gt;10,"10+ years")</f>
        <v>3-5 years</v>
      </c>
      <c r="AI742">
        <v>2</v>
      </c>
      <c r="AJ742">
        <v>1</v>
      </c>
      <c r="AK742">
        <v>2</v>
      </c>
      <c r="AL742" t="str" cm="1">
        <f t="array" ref="AL742">_xlfn.IFS(Table1[[#This Row],[JobSatisfaction]]=1,"Low",Table1[[#This Row],[JobSatisfaction]]=2,"Medium",Table1[[#This Row],[JobSatisfaction]]=3,"High",Table1[[#This Row],[JobSatisfaction]]=4,"Very High")</f>
        <v>Very High</v>
      </c>
      <c r="AM742">
        <f>IF(Table1[[#This Row],[Attrition]]="Yes",1,0)</f>
        <v>0</v>
      </c>
    </row>
    <row r="743" spans="1:39" ht="13.8" x14ac:dyDescent="0.25">
      <c r="A743">
        <v>42</v>
      </c>
      <c r="B743" t="str" cm="1">
        <f t="array" ref="B743">_xlfn.IFS(Table1[[#This Row],[Age]]&lt;30,"Under 30",Table1[[#This Row],[Age]]&lt;=40,"30-40",Table1[[#This Row],[Age]]&lt;=50,"41-50",Table1[[#This Row],[Age]]&gt;50,"Over 50")</f>
        <v>41-50</v>
      </c>
      <c r="C743" t="s">
        <v>43</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t="str" cm="1">
        <f t="array" ref="AH743">_xlfn.IFS(Table1[[#This Row],[YearsAtCompany]]&lt;=2,"0-2 years",Table1[[#This Row],[YearsAtCompany]]&lt;=5,"3-5 years",Table1[[#This Row],[YearsAtCompany]]&lt;=10,"6-10 years",Table1[[#This Row],[YearsAtCompany]]&gt;10,"10+ years")</f>
        <v>0-2 years</v>
      </c>
      <c r="AI743">
        <v>0</v>
      </c>
      <c r="AJ743">
        <v>0</v>
      </c>
      <c r="AK743">
        <v>0</v>
      </c>
      <c r="AL743" t="str" cm="1">
        <f t="array" ref="AL743">_xlfn.IFS(Table1[[#This Row],[JobSatisfaction]]=1,"Low",Table1[[#This Row],[JobSatisfaction]]=2,"Medium",Table1[[#This Row],[JobSatisfaction]]=3,"High",Table1[[#This Row],[JobSatisfaction]]=4,"Very High")</f>
        <v>High</v>
      </c>
      <c r="AM743">
        <f>IF(Table1[[#This Row],[Attrition]]="Yes",1,0)</f>
        <v>0</v>
      </c>
    </row>
    <row r="744" spans="1:39" ht="13.8" x14ac:dyDescent="0.25">
      <c r="A744">
        <v>50</v>
      </c>
      <c r="B744" t="str" cm="1">
        <f t="array" ref="B744">_xlfn.IFS(Table1[[#This Row],[Age]]&lt;30,"Under 30",Table1[[#This Row],[Age]]&lt;=40,"30-40",Table1[[#This Row],[Age]]&lt;=50,"41-50",Table1[[#This Row],[Age]]&gt;50,"Over 50")</f>
        <v>41-50</v>
      </c>
      <c r="C744" t="s">
        <v>43</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t="str" cm="1">
        <f t="array" ref="AH744">_xlfn.IFS(Table1[[#This Row],[YearsAtCompany]]&lt;=2,"0-2 years",Table1[[#This Row],[YearsAtCompany]]&lt;=5,"3-5 years",Table1[[#This Row],[YearsAtCompany]]&lt;=10,"6-10 years",Table1[[#This Row],[YearsAtCompany]]&gt;10,"10+ years")</f>
        <v>0-2 years</v>
      </c>
      <c r="AI744">
        <v>0</v>
      </c>
      <c r="AJ744">
        <v>0</v>
      </c>
      <c r="AK744">
        <v>0</v>
      </c>
      <c r="AL744" t="str" cm="1">
        <f t="array" ref="AL744">_xlfn.IFS(Table1[[#This Row],[JobSatisfaction]]=1,"Low",Table1[[#This Row],[JobSatisfaction]]=2,"Medium",Table1[[#This Row],[JobSatisfaction]]=3,"High",Table1[[#This Row],[JobSatisfaction]]=4,"Very High")</f>
        <v>Very High</v>
      </c>
      <c r="AM744">
        <f>IF(Table1[[#This Row],[Attrition]]="Yes",1,0)</f>
        <v>0</v>
      </c>
    </row>
    <row r="745" spans="1:39" ht="13.8" x14ac:dyDescent="0.25">
      <c r="A745">
        <v>59</v>
      </c>
      <c r="B745" t="str" cm="1">
        <f t="array" ref="B745">_xlfn.IFS(Table1[[#This Row],[Age]]&lt;30,"Under 30",Table1[[#This Row],[Age]]&lt;=40,"30-40",Table1[[#This Row],[Age]]&lt;=50,"41-50",Table1[[#This Row],[Age]]&gt;50,"Over 50")</f>
        <v>Over 50</v>
      </c>
      <c r="C745" t="s">
        <v>43</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t="str" cm="1">
        <f t="array" ref="AH745">_xlfn.IFS(Table1[[#This Row],[YearsAtCompany]]&lt;=2,"0-2 years",Table1[[#This Row],[YearsAtCompany]]&lt;=5,"3-5 years",Table1[[#This Row],[YearsAtCompany]]&lt;=10,"6-10 years",Table1[[#This Row],[YearsAtCompany]]&gt;10,"10+ years")</f>
        <v>3-5 years</v>
      </c>
      <c r="AI745">
        <v>3</v>
      </c>
      <c r="AJ745">
        <v>4</v>
      </c>
      <c r="AK745">
        <v>3</v>
      </c>
      <c r="AL745" t="str" cm="1">
        <f t="array" ref="AL745">_xlfn.IFS(Table1[[#This Row],[JobSatisfaction]]=1,"Low",Table1[[#This Row],[JobSatisfaction]]=2,"Medium",Table1[[#This Row],[JobSatisfaction]]=3,"High",Table1[[#This Row],[JobSatisfaction]]=4,"Very High")</f>
        <v>Very High</v>
      </c>
      <c r="AM745">
        <f>IF(Table1[[#This Row],[Attrition]]="Yes",1,0)</f>
        <v>0</v>
      </c>
    </row>
    <row r="746" spans="1:39" ht="13.8" x14ac:dyDescent="0.25">
      <c r="A746">
        <v>37</v>
      </c>
      <c r="B746" t="str" cm="1">
        <f t="array" ref="B746">_xlfn.IFS(Table1[[#This Row],[Age]]&lt;30,"Under 30",Table1[[#This Row],[Age]]&lt;=40,"30-40",Table1[[#This Row],[Age]]&lt;=50,"41-50",Table1[[#This Row],[Age]]&gt;50,"Over 50")</f>
        <v>30-40</v>
      </c>
      <c r="C746" t="s">
        <v>35</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t="str" cm="1">
        <f t="array" ref="AH746">_xlfn.IFS(Table1[[#This Row],[YearsAtCompany]]&lt;=2,"0-2 years",Table1[[#This Row],[YearsAtCompany]]&lt;=5,"3-5 years",Table1[[#This Row],[YearsAtCompany]]&lt;=10,"6-10 years",Table1[[#This Row],[YearsAtCompany]]&gt;10,"10+ years")</f>
        <v>0-2 years</v>
      </c>
      <c r="AI746">
        <v>0</v>
      </c>
      <c r="AJ746">
        <v>0</v>
      </c>
      <c r="AK746">
        <v>0</v>
      </c>
      <c r="AL746" t="str" cm="1">
        <f t="array" ref="AL746">_xlfn.IFS(Table1[[#This Row],[JobSatisfaction]]=1,"Low",Table1[[#This Row],[JobSatisfaction]]=2,"Medium",Table1[[#This Row],[JobSatisfaction]]=3,"High",Table1[[#This Row],[JobSatisfaction]]=4,"Very High")</f>
        <v>Medium</v>
      </c>
      <c r="AM746">
        <f>IF(Table1[[#This Row],[Attrition]]="Yes",1,0)</f>
        <v>1</v>
      </c>
    </row>
    <row r="747" spans="1:39" ht="13.8" x14ac:dyDescent="0.25">
      <c r="A747">
        <v>55</v>
      </c>
      <c r="B747" t="str" cm="1">
        <f t="array" ref="B747">_xlfn.IFS(Table1[[#This Row],[Age]]&lt;30,"Under 30",Table1[[#This Row],[Age]]&lt;=40,"30-40",Table1[[#This Row],[Age]]&lt;=50,"41-50",Table1[[#This Row],[Age]]&gt;50,"Over 50")</f>
        <v>Over 50</v>
      </c>
      <c r="C747" t="s">
        <v>43</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t="str" cm="1">
        <f t="array" ref="AH747">_xlfn.IFS(Table1[[#This Row],[YearsAtCompany]]&lt;=2,"0-2 years",Table1[[#This Row],[YearsAtCompany]]&lt;=5,"3-5 years",Table1[[#This Row],[YearsAtCompany]]&lt;=10,"6-10 years",Table1[[#This Row],[YearsAtCompany]]&gt;10,"10+ years")</f>
        <v>6-10 years</v>
      </c>
      <c r="AI747">
        <v>7</v>
      </c>
      <c r="AJ747">
        <v>6</v>
      </c>
      <c r="AK747">
        <v>7</v>
      </c>
      <c r="AL747" t="str" cm="1">
        <f t="array" ref="AL747">_xlfn.IFS(Table1[[#This Row],[JobSatisfaction]]=1,"Low",Table1[[#This Row],[JobSatisfaction]]=2,"Medium",Table1[[#This Row],[JobSatisfaction]]=3,"High",Table1[[#This Row],[JobSatisfaction]]=4,"Very High")</f>
        <v>Medium</v>
      </c>
      <c r="AM747">
        <f>IF(Table1[[#This Row],[Attrition]]="Yes",1,0)</f>
        <v>0</v>
      </c>
    </row>
    <row r="748" spans="1:39" ht="13.8" x14ac:dyDescent="0.25">
      <c r="A748">
        <v>41</v>
      </c>
      <c r="B748" t="str" cm="1">
        <f t="array" ref="B748">_xlfn.IFS(Table1[[#This Row],[Age]]&lt;30,"Under 30",Table1[[#This Row],[Age]]&lt;=40,"30-40",Table1[[#This Row],[Age]]&lt;=50,"41-50",Table1[[#This Row],[Age]]&gt;50,"Over 50")</f>
        <v>41-50</v>
      </c>
      <c r="C748" t="s">
        <v>43</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t="str" cm="1">
        <f t="array" ref="AH748">_xlfn.IFS(Table1[[#This Row],[YearsAtCompany]]&lt;=2,"0-2 years",Table1[[#This Row],[YearsAtCompany]]&lt;=5,"3-5 years",Table1[[#This Row],[YearsAtCompany]]&lt;=10,"6-10 years",Table1[[#This Row],[YearsAtCompany]]&gt;10,"10+ years")</f>
        <v>10+ years</v>
      </c>
      <c r="AI748">
        <v>16</v>
      </c>
      <c r="AJ748">
        <v>5</v>
      </c>
      <c r="AK748">
        <v>10</v>
      </c>
      <c r="AL748" t="str" cm="1">
        <f t="array" ref="AL748">_xlfn.IFS(Table1[[#This Row],[JobSatisfaction]]=1,"Low",Table1[[#This Row],[JobSatisfaction]]=2,"Medium",Table1[[#This Row],[JobSatisfaction]]=3,"High",Table1[[#This Row],[JobSatisfaction]]=4,"Very High")</f>
        <v>High</v>
      </c>
      <c r="AM748">
        <f>IF(Table1[[#This Row],[Attrition]]="Yes",1,0)</f>
        <v>0</v>
      </c>
    </row>
    <row r="749" spans="1:39" ht="13.8" x14ac:dyDescent="0.25">
      <c r="A749">
        <v>38</v>
      </c>
      <c r="B749" t="str" cm="1">
        <f t="array" ref="B749">_xlfn.IFS(Table1[[#This Row],[Age]]&lt;30,"Under 30",Table1[[#This Row],[Age]]&lt;=40,"30-40",Table1[[#This Row],[Age]]&lt;=50,"41-50",Table1[[#This Row],[Age]]&gt;50,"Over 50")</f>
        <v>30-40</v>
      </c>
      <c r="C749" t="s">
        <v>43</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t="str" cm="1">
        <f t="array" ref="AH749">_xlfn.IFS(Table1[[#This Row],[YearsAtCompany]]&lt;=2,"0-2 years",Table1[[#This Row],[YearsAtCompany]]&lt;=5,"3-5 years",Table1[[#This Row],[YearsAtCompany]]&lt;=10,"6-10 years",Table1[[#This Row],[YearsAtCompany]]&gt;10,"10+ years")</f>
        <v>0-2 years</v>
      </c>
      <c r="AI749">
        <v>0</v>
      </c>
      <c r="AJ749">
        <v>0</v>
      </c>
      <c r="AK749">
        <v>0</v>
      </c>
      <c r="AL749" t="str" cm="1">
        <f t="array" ref="AL749">_xlfn.IFS(Table1[[#This Row],[JobSatisfaction]]=1,"Low",Table1[[#This Row],[JobSatisfaction]]=2,"Medium",Table1[[#This Row],[JobSatisfaction]]=3,"High",Table1[[#This Row],[JobSatisfaction]]=4,"Very High")</f>
        <v>Very High</v>
      </c>
      <c r="AM749">
        <f>IF(Table1[[#This Row],[Attrition]]="Yes",1,0)</f>
        <v>0</v>
      </c>
    </row>
    <row r="750" spans="1:39" ht="13.8" x14ac:dyDescent="0.25">
      <c r="A750">
        <v>26</v>
      </c>
      <c r="B750" t="str" cm="1">
        <f t="array" ref="B750">_xlfn.IFS(Table1[[#This Row],[Age]]&lt;30,"Under 30",Table1[[#This Row],[Age]]&lt;=40,"30-40",Table1[[#This Row],[Age]]&lt;=50,"41-50",Table1[[#This Row],[Age]]&gt;50,"Over 50")</f>
        <v>Under 30</v>
      </c>
      <c r="C750" t="s">
        <v>35</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t="str" cm="1">
        <f t="array" ref="AH750">_xlfn.IFS(Table1[[#This Row],[YearsAtCompany]]&lt;=2,"0-2 years",Table1[[#This Row],[YearsAtCompany]]&lt;=5,"3-5 years",Table1[[#This Row],[YearsAtCompany]]&lt;=10,"6-10 years",Table1[[#This Row],[YearsAtCompany]]&gt;10,"10+ years")</f>
        <v>0-2 years</v>
      </c>
      <c r="AI750">
        <v>2</v>
      </c>
      <c r="AJ750">
        <v>2</v>
      </c>
      <c r="AK750">
        <v>2</v>
      </c>
      <c r="AL750" t="str" cm="1">
        <f t="array" ref="AL750">_xlfn.IFS(Table1[[#This Row],[JobSatisfaction]]=1,"Low",Table1[[#This Row],[JobSatisfaction]]=2,"Medium",Table1[[#This Row],[JobSatisfaction]]=3,"High",Table1[[#This Row],[JobSatisfaction]]=4,"Very High")</f>
        <v>Low</v>
      </c>
      <c r="AM750">
        <f>IF(Table1[[#This Row],[Attrition]]="Yes",1,0)</f>
        <v>1</v>
      </c>
    </row>
    <row r="751" spans="1:39" ht="13.8" x14ac:dyDescent="0.25">
      <c r="A751">
        <v>52</v>
      </c>
      <c r="B751" t="str" cm="1">
        <f t="array" ref="B751">_xlfn.IFS(Table1[[#This Row],[Age]]&lt;30,"Under 30",Table1[[#This Row],[Age]]&lt;=40,"30-40",Table1[[#This Row],[Age]]&lt;=50,"41-50",Table1[[#This Row],[Age]]&gt;50,"Over 50")</f>
        <v>Over 50</v>
      </c>
      <c r="C751" t="s">
        <v>35</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t="str" cm="1">
        <f t="array" ref="AH751">_xlfn.IFS(Table1[[#This Row],[YearsAtCompany]]&lt;=2,"0-2 years",Table1[[#This Row],[YearsAtCompany]]&lt;=5,"3-5 years",Table1[[#This Row],[YearsAtCompany]]&lt;=10,"6-10 years",Table1[[#This Row],[YearsAtCompany]]&gt;10,"10+ years")</f>
        <v>10+ years</v>
      </c>
      <c r="AI751">
        <v>14</v>
      </c>
      <c r="AJ751">
        <v>6</v>
      </c>
      <c r="AK751">
        <v>9</v>
      </c>
      <c r="AL751" t="str" cm="1">
        <f t="array" ref="AL751">_xlfn.IFS(Table1[[#This Row],[JobSatisfaction]]=1,"Low",Table1[[#This Row],[JobSatisfaction]]=2,"Medium",Table1[[#This Row],[JobSatisfaction]]=3,"High",Table1[[#This Row],[JobSatisfaction]]=4,"Very High")</f>
        <v>Very High</v>
      </c>
      <c r="AM751">
        <f>IF(Table1[[#This Row],[Attrition]]="Yes",1,0)</f>
        <v>1</v>
      </c>
    </row>
    <row r="752" spans="1:39" ht="13.8" x14ac:dyDescent="0.25">
      <c r="A752">
        <v>44</v>
      </c>
      <c r="B752" t="str" cm="1">
        <f t="array" ref="B752">_xlfn.IFS(Table1[[#This Row],[Age]]&lt;30,"Under 30",Table1[[#This Row],[Age]]&lt;=40,"30-40",Table1[[#This Row],[Age]]&lt;=50,"41-50",Table1[[#This Row],[Age]]&gt;50,"Over 50")</f>
        <v>41-50</v>
      </c>
      <c r="C752" t="s">
        <v>43</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t="str" cm="1">
        <f t="array" ref="AH752">_xlfn.IFS(Table1[[#This Row],[YearsAtCompany]]&lt;=2,"0-2 years",Table1[[#This Row],[YearsAtCompany]]&lt;=5,"3-5 years",Table1[[#This Row],[YearsAtCompany]]&lt;=10,"6-10 years",Table1[[#This Row],[YearsAtCompany]]&gt;10,"10+ years")</f>
        <v>10+ years</v>
      </c>
      <c r="AI752">
        <v>11</v>
      </c>
      <c r="AJ752">
        <v>11</v>
      </c>
      <c r="AK752">
        <v>11</v>
      </c>
      <c r="AL752" t="str" cm="1">
        <f t="array" ref="AL752">_xlfn.IFS(Table1[[#This Row],[JobSatisfaction]]=1,"Low",Table1[[#This Row],[JobSatisfaction]]=2,"Medium",Table1[[#This Row],[JobSatisfaction]]=3,"High",Table1[[#This Row],[JobSatisfaction]]=4,"Very High")</f>
        <v>Very High</v>
      </c>
      <c r="AM752">
        <f>IF(Table1[[#This Row],[Attrition]]="Yes",1,0)</f>
        <v>0</v>
      </c>
    </row>
    <row r="753" spans="1:39" ht="13.8" x14ac:dyDescent="0.25">
      <c r="A753">
        <v>50</v>
      </c>
      <c r="B753" t="str" cm="1">
        <f t="array" ref="B753">_xlfn.IFS(Table1[[#This Row],[Age]]&lt;30,"Under 30",Table1[[#This Row],[Age]]&lt;=40,"30-40",Table1[[#This Row],[Age]]&lt;=50,"41-50",Table1[[#This Row],[Age]]&gt;50,"Over 50")</f>
        <v>41-50</v>
      </c>
      <c r="C753" t="s">
        <v>43</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t="str" cm="1">
        <f t="array" ref="AH753">_xlfn.IFS(Table1[[#This Row],[YearsAtCompany]]&lt;=2,"0-2 years",Table1[[#This Row],[YearsAtCompany]]&lt;=5,"3-5 years",Table1[[#This Row],[YearsAtCompany]]&lt;=10,"6-10 years",Table1[[#This Row],[YearsAtCompany]]&gt;10,"10+ years")</f>
        <v>10+ years</v>
      </c>
      <c r="AI753">
        <v>7</v>
      </c>
      <c r="AJ753">
        <v>0</v>
      </c>
      <c r="AK753">
        <v>13</v>
      </c>
      <c r="AL753" t="str" cm="1">
        <f t="array" ref="AL753">_xlfn.IFS(Table1[[#This Row],[JobSatisfaction]]=1,"Low",Table1[[#This Row],[JobSatisfaction]]=2,"Medium",Table1[[#This Row],[JobSatisfaction]]=3,"High",Table1[[#This Row],[JobSatisfaction]]=4,"Very High")</f>
        <v>High</v>
      </c>
      <c r="AM753">
        <f>IF(Table1[[#This Row],[Attrition]]="Yes",1,0)</f>
        <v>0</v>
      </c>
    </row>
    <row r="754" spans="1:39" ht="13.8" x14ac:dyDescent="0.25">
      <c r="A754">
        <v>36</v>
      </c>
      <c r="B754" t="str" cm="1">
        <f t="array" ref="B754">_xlfn.IFS(Table1[[#This Row],[Age]]&lt;30,"Under 30",Table1[[#This Row],[Age]]&lt;=40,"30-40",Table1[[#This Row],[Age]]&lt;=50,"41-50",Table1[[#This Row],[Age]]&gt;50,"Over 50")</f>
        <v>30-40</v>
      </c>
      <c r="C754" t="s">
        <v>35</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t="str" cm="1">
        <f t="array" ref="AH754">_xlfn.IFS(Table1[[#This Row],[YearsAtCompany]]&lt;=2,"0-2 years",Table1[[#This Row],[YearsAtCompany]]&lt;=5,"3-5 years",Table1[[#This Row],[YearsAtCompany]]&lt;=10,"6-10 years",Table1[[#This Row],[YearsAtCompany]]&gt;10,"10+ years")</f>
        <v>10+ years</v>
      </c>
      <c r="AI754">
        <v>13</v>
      </c>
      <c r="AJ754">
        <v>15</v>
      </c>
      <c r="AK754">
        <v>14</v>
      </c>
      <c r="AL754" t="str" cm="1">
        <f t="array" ref="AL754">_xlfn.IFS(Table1[[#This Row],[JobSatisfaction]]=1,"Low",Table1[[#This Row],[JobSatisfaction]]=2,"Medium",Table1[[#This Row],[JobSatisfaction]]=3,"High",Table1[[#This Row],[JobSatisfaction]]=4,"Very High")</f>
        <v>Low</v>
      </c>
      <c r="AM754">
        <f>IF(Table1[[#This Row],[Attrition]]="Yes",1,0)</f>
        <v>1</v>
      </c>
    </row>
    <row r="755" spans="1:39" ht="13.8" x14ac:dyDescent="0.25">
      <c r="A755">
        <v>39</v>
      </c>
      <c r="B755" t="str" cm="1">
        <f t="array" ref="B755">_xlfn.IFS(Table1[[#This Row],[Age]]&lt;30,"Under 30",Table1[[#This Row],[Age]]&lt;=40,"30-40",Table1[[#This Row],[Age]]&lt;=50,"41-50",Table1[[#This Row],[Age]]&gt;50,"Over 50")</f>
        <v>30-40</v>
      </c>
      <c r="C755" t="s">
        <v>43</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t="str" cm="1">
        <f t="array" ref="AH755">_xlfn.IFS(Table1[[#This Row],[YearsAtCompany]]&lt;=2,"0-2 years",Table1[[#This Row],[YearsAtCompany]]&lt;=5,"3-5 years",Table1[[#This Row],[YearsAtCompany]]&lt;=10,"6-10 years",Table1[[#This Row],[YearsAtCompany]]&gt;10,"10+ years")</f>
        <v>10+ years</v>
      </c>
      <c r="AI755">
        <v>6</v>
      </c>
      <c r="AJ755">
        <v>2</v>
      </c>
      <c r="AK755">
        <v>8</v>
      </c>
      <c r="AL755" t="str" cm="1">
        <f t="array" ref="AL755">_xlfn.IFS(Table1[[#This Row],[JobSatisfaction]]=1,"Low",Table1[[#This Row],[JobSatisfaction]]=2,"Medium",Table1[[#This Row],[JobSatisfaction]]=3,"High",Table1[[#This Row],[JobSatisfaction]]=4,"Very High")</f>
        <v>Low</v>
      </c>
      <c r="AM755">
        <f>IF(Table1[[#This Row],[Attrition]]="Yes",1,0)</f>
        <v>0</v>
      </c>
    </row>
    <row r="756" spans="1:39" ht="13.8" x14ac:dyDescent="0.25">
      <c r="A756">
        <v>33</v>
      </c>
      <c r="B756" t="str" cm="1">
        <f t="array" ref="B756">_xlfn.IFS(Table1[[#This Row],[Age]]&lt;30,"Under 30",Table1[[#This Row],[Age]]&lt;=40,"30-40",Table1[[#This Row],[Age]]&lt;=50,"41-50",Table1[[#This Row],[Age]]&gt;50,"Over 50")</f>
        <v>30-40</v>
      </c>
      <c r="C756" t="s">
        <v>43</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t="str" cm="1">
        <f t="array" ref="AH756">_xlfn.IFS(Table1[[#This Row],[YearsAtCompany]]&lt;=2,"0-2 years",Table1[[#This Row],[YearsAtCompany]]&lt;=5,"3-5 years",Table1[[#This Row],[YearsAtCompany]]&lt;=10,"6-10 years",Table1[[#This Row],[YearsAtCompany]]&gt;10,"10+ years")</f>
        <v>0-2 years</v>
      </c>
      <c r="AI756">
        <v>2</v>
      </c>
      <c r="AJ756">
        <v>2</v>
      </c>
      <c r="AK756">
        <v>2</v>
      </c>
      <c r="AL756" t="str" cm="1">
        <f t="array" ref="AL756">_xlfn.IFS(Table1[[#This Row],[JobSatisfaction]]=1,"Low",Table1[[#This Row],[JobSatisfaction]]=2,"Medium",Table1[[#This Row],[JobSatisfaction]]=3,"High",Table1[[#This Row],[JobSatisfaction]]=4,"Very High")</f>
        <v>Very High</v>
      </c>
      <c r="AM756">
        <f>IF(Table1[[#This Row],[Attrition]]="Yes",1,0)</f>
        <v>0</v>
      </c>
    </row>
    <row r="757" spans="1:39" ht="13.8" x14ac:dyDescent="0.25">
      <c r="A757">
        <v>45</v>
      </c>
      <c r="B757" t="str" cm="1">
        <f t="array" ref="B757">_xlfn.IFS(Table1[[#This Row],[Age]]&lt;30,"Under 30",Table1[[#This Row],[Age]]&lt;=40,"30-40",Table1[[#This Row],[Age]]&lt;=50,"41-50",Table1[[#This Row],[Age]]&gt;50,"Over 50")</f>
        <v>41-50</v>
      </c>
      <c r="C757" t="s">
        <v>43</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t="str" cm="1">
        <f t="array" ref="AH757">_xlfn.IFS(Table1[[#This Row],[YearsAtCompany]]&lt;=2,"0-2 years",Table1[[#This Row],[YearsAtCompany]]&lt;=5,"3-5 years",Table1[[#This Row],[YearsAtCompany]]&lt;=10,"6-10 years",Table1[[#This Row],[YearsAtCompany]]&gt;10,"10+ years")</f>
        <v>6-10 years</v>
      </c>
      <c r="AI757">
        <v>3</v>
      </c>
      <c r="AJ757">
        <v>1</v>
      </c>
      <c r="AK757">
        <v>1</v>
      </c>
      <c r="AL757" t="str" cm="1">
        <f t="array" ref="AL757">_xlfn.IFS(Table1[[#This Row],[JobSatisfaction]]=1,"Low",Table1[[#This Row],[JobSatisfaction]]=2,"Medium",Table1[[#This Row],[JobSatisfaction]]=3,"High",Table1[[#This Row],[JobSatisfaction]]=4,"Very High")</f>
        <v>Very High</v>
      </c>
      <c r="AM757">
        <f>IF(Table1[[#This Row],[Attrition]]="Yes",1,0)</f>
        <v>0</v>
      </c>
    </row>
    <row r="758" spans="1:39" ht="13.8" x14ac:dyDescent="0.25">
      <c r="A758">
        <v>32</v>
      </c>
      <c r="B758" t="str" cm="1">
        <f t="array" ref="B758">_xlfn.IFS(Table1[[#This Row],[Age]]&lt;30,"Under 30",Table1[[#This Row],[Age]]&lt;=40,"30-40",Table1[[#This Row],[Age]]&lt;=50,"41-50",Table1[[#This Row],[Age]]&gt;50,"Over 50")</f>
        <v>30-40</v>
      </c>
      <c r="C758" t="s">
        <v>43</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t="str" cm="1">
        <f t="array" ref="AH758">_xlfn.IFS(Table1[[#This Row],[YearsAtCompany]]&lt;=2,"0-2 years",Table1[[#This Row],[YearsAtCompany]]&lt;=5,"3-5 years",Table1[[#This Row],[YearsAtCompany]]&lt;=10,"6-10 years",Table1[[#This Row],[YearsAtCompany]]&gt;10,"10+ years")</f>
        <v>6-10 years</v>
      </c>
      <c r="AI758">
        <v>7</v>
      </c>
      <c r="AJ758">
        <v>7</v>
      </c>
      <c r="AK758">
        <v>7</v>
      </c>
      <c r="AL758" t="str" cm="1">
        <f t="array" ref="AL758">_xlfn.IFS(Table1[[#This Row],[JobSatisfaction]]=1,"Low",Table1[[#This Row],[JobSatisfaction]]=2,"Medium",Table1[[#This Row],[JobSatisfaction]]=3,"High",Table1[[#This Row],[JobSatisfaction]]=4,"Very High")</f>
        <v>High</v>
      </c>
      <c r="AM758">
        <f>IF(Table1[[#This Row],[Attrition]]="Yes",1,0)</f>
        <v>0</v>
      </c>
    </row>
    <row r="759" spans="1:39" ht="13.8" x14ac:dyDescent="0.25">
      <c r="A759">
        <v>34</v>
      </c>
      <c r="B759" t="str" cm="1">
        <f t="array" ref="B759">_xlfn.IFS(Table1[[#This Row],[Age]]&lt;30,"Under 30",Table1[[#This Row],[Age]]&lt;=40,"30-40",Table1[[#This Row],[Age]]&lt;=50,"41-50",Table1[[#This Row],[Age]]&gt;50,"Over 50")</f>
        <v>30-40</v>
      </c>
      <c r="C759" t="s">
        <v>43</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t="str" cm="1">
        <f t="array" ref="AH759">_xlfn.IFS(Table1[[#This Row],[YearsAtCompany]]&lt;=2,"0-2 years",Table1[[#This Row],[YearsAtCompany]]&lt;=5,"3-5 years",Table1[[#This Row],[YearsAtCompany]]&lt;=10,"6-10 years",Table1[[#This Row],[YearsAtCompany]]&gt;10,"10+ years")</f>
        <v>10+ years</v>
      </c>
      <c r="AI759">
        <v>1</v>
      </c>
      <c r="AJ759">
        <v>0</v>
      </c>
      <c r="AK759">
        <v>9</v>
      </c>
      <c r="AL759" t="str" cm="1">
        <f t="array" ref="AL759">_xlfn.IFS(Table1[[#This Row],[JobSatisfaction]]=1,"Low",Table1[[#This Row],[JobSatisfaction]]=2,"Medium",Table1[[#This Row],[JobSatisfaction]]=3,"High",Table1[[#This Row],[JobSatisfaction]]=4,"Very High")</f>
        <v>Very High</v>
      </c>
      <c r="AM759">
        <f>IF(Table1[[#This Row],[Attrition]]="Yes",1,0)</f>
        <v>0</v>
      </c>
    </row>
    <row r="760" spans="1:39" ht="13.8" x14ac:dyDescent="0.25">
      <c r="A760">
        <v>59</v>
      </c>
      <c r="B760" t="str" cm="1">
        <f t="array" ref="B760">_xlfn.IFS(Table1[[#This Row],[Age]]&lt;30,"Under 30",Table1[[#This Row],[Age]]&lt;=40,"30-40",Table1[[#This Row],[Age]]&lt;=50,"41-50",Table1[[#This Row],[Age]]&gt;50,"Over 50")</f>
        <v>Over 50</v>
      </c>
      <c r="C760" t="s">
        <v>43</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t="str" cm="1">
        <f t="array" ref="AH760">_xlfn.IFS(Table1[[#This Row],[YearsAtCompany]]&lt;=2,"0-2 years",Table1[[#This Row],[YearsAtCompany]]&lt;=5,"3-5 years",Table1[[#This Row],[YearsAtCompany]]&lt;=10,"6-10 years",Table1[[#This Row],[YearsAtCompany]]&gt;10,"10+ years")</f>
        <v>6-10 years</v>
      </c>
      <c r="AI760">
        <v>4</v>
      </c>
      <c r="AJ760">
        <v>0</v>
      </c>
      <c r="AK760">
        <v>4</v>
      </c>
      <c r="AL760" t="str" cm="1">
        <f t="array" ref="AL760">_xlfn.IFS(Table1[[#This Row],[JobSatisfaction]]=1,"Low",Table1[[#This Row],[JobSatisfaction]]=2,"Medium",Table1[[#This Row],[JobSatisfaction]]=3,"High",Table1[[#This Row],[JobSatisfaction]]=4,"Very High")</f>
        <v>Very High</v>
      </c>
      <c r="AM760">
        <f>IF(Table1[[#This Row],[Attrition]]="Yes",1,0)</f>
        <v>0</v>
      </c>
    </row>
    <row r="761" spans="1:39" ht="13.8" x14ac:dyDescent="0.25">
      <c r="A761">
        <v>45</v>
      </c>
      <c r="B761" t="str" cm="1">
        <f t="array" ref="B761">_xlfn.IFS(Table1[[#This Row],[Age]]&lt;30,"Under 30",Table1[[#This Row],[Age]]&lt;=40,"30-40",Table1[[#This Row],[Age]]&lt;=50,"41-50",Table1[[#This Row],[Age]]&gt;50,"Over 50")</f>
        <v>41-50</v>
      </c>
      <c r="C761" t="s">
        <v>43</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t="str" cm="1">
        <f t="array" ref="AH761">_xlfn.IFS(Table1[[#This Row],[YearsAtCompany]]&lt;=2,"0-2 years",Table1[[#This Row],[YearsAtCompany]]&lt;=5,"3-5 years",Table1[[#This Row],[YearsAtCompany]]&lt;=10,"6-10 years",Table1[[#This Row],[YearsAtCompany]]&gt;10,"10+ years")</f>
        <v>6-10 years</v>
      </c>
      <c r="AI761">
        <v>3</v>
      </c>
      <c r="AJ761">
        <v>0</v>
      </c>
      <c r="AK761">
        <v>4</v>
      </c>
      <c r="AL761" t="str" cm="1">
        <f t="array" ref="AL761">_xlfn.IFS(Table1[[#This Row],[JobSatisfaction]]=1,"Low",Table1[[#This Row],[JobSatisfaction]]=2,"Medium",Table1[[#This Row],[JobSatisfaction]]=3,"High",Table1[[#This Row],[JobSatisfaction]]=4,"Very High")</f>
        <v>Medium</v>
      </c>
      <c r="AM761">
        <f>IF(Table1[[#This Row],[Attrition]]="Yes",1,0)</f>
        <v>0</v>
      </c>
    </row>
    <row r="762" spans="1:39" ht="13.8" x14ac:dyDescent="0.25">
      <c r="A762">
        <v>53</v>
      </c>
      <c r="B762" t="str" cm="1">
        <f t="array" ref="B762">_xlfn.IFS(Table1[[#This Row],[Age]]&lt;30,"Under 30",Table1[[#This Row],[Age]]&lt;=40,"30-40",Table1[[#This Row],[Age]]&lt;=50,"41-50",Table1[[#This Row],[Age]]&gt;50,"Over 50")</f>
        <v>Over 50</v>
      </c>
      <c r="C762" t="s">
        <v>43</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t="str" cm="1">
        <f t="array" ref="AH762">_xlfn.IFS(Table1[[#This Row],[YearsAtCompany]]&lt;=2,"0-2 years",Table1[[#This Row],[YearsAtCompany]]&lt;=5,"3-5 years",Table1[[#This Row],[YearsAtCompany]]&lt;=10,"6-10 years",Table1[[#This Row],[YearsAtCompany]]&gt;10,"10+ years")</f>
        <v>10+ years</v>
      </c>
      <c r="AI762">
        <v>7</v>
      </c>
      <c r="AJ762">
        <v>6</v>
      </c>
      <c r="AK762">
        <v>12</v>
      </c>
      <c r="AL762" t="str" cm="1">
        <f t="array" ref="AL762">_xlfn.IFS(Table1[[#This Row],[JobSatisfaction]]=1,"Low",Table1[[#This Row],[JobSatisfaction]]=2,"Medium",Table1[[#This Row],[JobSatisfaction]]=3,"High",Table1[[#This Row],[JobSatisfaction]]=4,"Very High")</f>
        <v>Medium</v>
      </c>
      <c r="AM762">
        <f>IF(Table1[[#This Row],[Attrition]]="Yes",1,0)</f>
        <v>0</v>
      </c>
    </row>
    <row r="763" spans="1:39" ht="13.8" x14ac:dyDescent="0.25">
      <c r="A763">
        <v>36</v>
      </c>
      <c r="B763" t="str" cm="1">
        <f t="array" ref="B763">_xlfn.IFS(Table1[[#This Row],[Age]]&lt;30,"Under 30",Table1[[#This Row],[Age]]&lt;=40,"30-40",Table1[[#This Row],[Age]]&lt;=50,"41-50",Table1[[#This Row],[Age]]&gt;50,"Over 50")</f>
        <v>30-40</v>
      </c>
      <c r="C763" t="s">
        <v>35</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t="str" cm="1">
        <f t="array" ref="AH763">_xlfn.IFS(Table1[[#This Row],[YearsAtCompany]]&lt;=2,"0-2 years",Table1[[#This Row],[YearsAtCompany]]&lt;=5,"3-5 years",Table1[[#This Row],[YearsAtCompany]]&lt;=10,"6-10 years",Table1[[#This Row],[YearsAtCompany]]&gt;10,"10+ years")</f>
        <v>0-2 years</v>
      </c>
      <c r="AI763">
        <v>0</v>
      </c>
      <c r="AJ763">
        <v>0</v>
      </c>
      <c r="AK763">
        <v>0</v>
      </c>
      <c r="AL763" t="str" cm="1">
        <f t="array" ref="AL763">_xlfn.IFS(Table1[[#This Row],[JobSatisfaction]]=1,"Low",Table1[[#This Row],[JobSatisfaction]]=2,"Medium",Table1[[#This Row],[JobSatisfaction]]=3,"High",Table1[[#This Row],[JobSatisfaction]]=4,"Very High")</f>
        <v>High</v>
      </c>
      <c r="AM763">
        <f>IF(Table1[[#This Row],[Attrition]]="Yes",1,0)</f>
        <v>1</v>
      </c>
    </row>
    <row r="764" spans="1:39" ht="13.8" x14ac:dyDescent="0.25">
      <c r="A764">
        <v>26</v>
      </c>
      <c r="B764" t="str" cm="1">
        <f t="array" ref="B764">_xlfn.IFS(Table1[[#This Row],[Age]]&lt;30,"Under 30",Table1[[#This Row],[Age]]&lt;=40,"30-40",Table1[[#This Row],[Age]]&lt;=50,"41-50",Table1[[#This Row],[Age]]&gt;50,"Over 50")</f>
        <v>Under 30</v>
      </c>
      <c r="C764" t="s">
        <v>35</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t="str" cm="1">
        <f t="array" ref="AH764">_xlfn.IFS(Table1[[#This Row],[YearsAtCompany]]&lt;=2,"0-2 years",Table1[[#This Row],[YearsAtCompany]]&lt;=5,"3-5 years",Table1[[#This Row],[YearsAtCompany]]&lt;=10,"6-10 years",Table1[[#This Row],[YearsAtCompany]]&gt;10,"10+ years")</f>
        <v>3-5 years</v>
      </c>
      <c r="AI764">
        <v>2</v>
      </c>
      <c r="AJ764">
        <v>1</v>
      </c>
      <c r="AK764">
        <v>2</v>
      </c>
      <c r="AL764" t="str" cm="1">
        <f t="array" ref="AL764">_xlfn.IFS(Table1[[#This Row],[JobSatisfaction]]=1,"Low",Table1[[#This Row],[JobSatisfaction]]=2,"Medium",Table1[[#This Row],[JobSatisfaction]]=3,"High",Table1[[#This Row],[JobSatisfaction]]=4,"Very High")</f>
        <v>Low</v>
      </c>
      <c r="AM764">
        <f>IF(Table1[[#This Row],[Attrition]]="Yes",1,0)</f>
        <v>1</v>
      </c>
    </row>
    <row r="765" spans="1:39" ht="13.8" x14ac:dyDescent="0.25">
      <c r="A765">
        <v>34</v>
      </c>
      <c r="B765" t="str" cm="1">
        <f t="array" ref="B765">_xlfn.IFS(Table1[[#This Row],[Age]]&lt;30,"Under 30",Table1[[#This Row],[Age]]&lt;=40,"30-40",Table1[[#This Row],[Age]]&lt;=50,"41-50",Table1[[#This Row],[Age]]&gt;50,"Over 50")</f>
        <v>30-40</v>
      </c>
      <c r="C765" t="s">
        <v>43</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t="str" cm="1">
        <f t="array" ref="AH765">_xlfn.IFS(Table1[[#This Row],[YearsAtCompany]]&lt;=2,"0-2 years",Table1[[#This Row],[YearsAtCompany]]&lt;=5,"3-5 years",Table1[[#This Row],[YearsAtCompany]]&lt;=10,"6-10 years",Table1[[#This Row],[YearsAtCompany]]&gt;10,"10+ years")</f>
        <v>0-2 years</v>
      </c>
      <c r="AI765">
        <v>1</v>
      </c>
      <c r="AJ765">
        <v>0</v>
      </c>
      <c r="AK765">
        <v>0</v>
      </c>
      <c r="AL765" t="str" cm="1">
        <f t="array" ref="AL765">_xlfn.IFS(Table1[[#This Row],[JobSatisfaction]]=1,"Low",Table1[[#This Row],[JobSatisfaction]]=2,"Medium",Table1[[#This Row],[JobSatisfaction]]=3,"High",Table1[[#This Row],[JobSatisfaction]]=4,"Very High")</f>
        <v>High</v>
      </c>
      <c r="AM765">
        <f>IF(Table1[[#This Row],[Attrition]]="Yes",1,0)</f>
        <v>0</v>
      </c>
    </row>
    <row r="766" spans="1:39" ht="13.8" x14ac:dyDescent="0.25">
      <c r="A766">
        <v>28</v>
      </c>
      <c r="B766" t="str" cm="1">
        <f t="array" ref="B766">_xlfn.IFS(Table1[[#This Row],[Age]]&lt;30,"Under 30",Table1[[#This Row],[Age]]&lt;=40,"30-40",Table1[[#This Row],[Age]]&lt;=50,"41-50",Table1[[#This Row],[Age]]&gt;50,"Over 50")</f>
        <v>Under 30</v>
      </c>
      <c r="C766" t="s">
        <v>43</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t="str" cm="1">
        <f t="array" ref="AH766">_xlfn.IFS(Table1[[#This Row],[YearsAtCompany]]&lt;=2,"0-2 years",Table1[[#This Row],[YearsAtCompany]]&lt;=5,"3-5 years",Table1[[#This Row],[YearsAtCompany]]&lt;=10,"6-10 years",Table1[[#This Row],[YearsAtCompany]]&gt;10,"10+ years")</f>
        <v>0-2 years</v>
      </c>
      <c r="AI766">
        <v>0</v>
      </c>
      <c r="AJ766">
        <v>0</v>
      </c>
      <c r="AK766">
        <v>0</v>
      </c>
      <c r="AL766" t="str" cm="1">
        <f t="array" ref="AL766">_xlfn.IFS(Table1[[#This Row],[JobSatisfaction]]=1,"Low",Table1[[#This Row],[JobSatisfaction]]=2,"Medium",Table1[[#This Row],[JobSatisfaction]]=3,"High",Table1[[#This Row],[JobSatisfaction]]=4,"Very High")</f>
        <v>Medium</v>
      </c>
      <c r="AM766">
        <f>IF(Table1[[#This Row],[Attrition]]="Yes",1,0)</f>
        <v>0</v>
      </c>
    </row>
    <row r="767" spans="1:39" ht="13.8" x14ac:dyDescent="0.25">
      <c r="A767">
        <v>38</v>
      </c>
      <c r="B767" t="str" cm="1">
        <f t="array" ref="B767">_xlfn.IFS(Table1[[#This Row],[Age]]&lt;30,"Under 30",Table1[[#This Row],[Age]]&lt;=40,"30-40",Table1[[#This Row],[Age]]&lt;=50,"41-50",Table1[[#This Row],[Age]]&gt;50,"Over 50")</f>
        <v>30-40</v>
      </c>
      <c r="C767" t="s">
        <v>43</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t="str" cm="1">
        <f t="array" ref="AH767">_xlfn.IFS(Table1[[#This Row],[YearsAtCompany]]&lt;=2,"0-2 years",Table1[[#This Row],[YearsAtCompany]]&lt;=5,"3-5 years",Table1[[#This Row],[YearsAtCompany]]&lt;=10,"6-10 years",Table1[[#This Row],[YearsAtCompany]]&gt;10,"10+ years")</f>
        <v>0-2 years</v>
      </c>
      <c r="AI767">
        <v>2</v>
      </c>
      <c r="AJ767">
        <v>2</v>
      </c>
      <c r="AK767">
        <v>2</v>
      </c>
      <c r="AL767" t="str" cm="1">
        <f t="array" ref="AL767">_xlfn.IFS(Table1[[#This Row],[JobSatisfaction]]=1,"Low",Table1[[#This Row],[JobSatisfaction]]=2,"Medium",Table1[[#This Row],[JobSatisfaction]]=3,"High",Table1[[#This Row],[JobSatisfaction]]=4,"Very High")</f>
        <v>High</v>
      </c>
      <c r="AM767">
        <f>IF(Table1[[#This Row],[Attrition]]="Yes",1,0)</f>
        <v>0</v>
      </c>
    </row>
    <row r="768" spans="1:39" ht="13.8" x14ac:dyDescent="0.25">
      <c r="A768">
        <v>50</v>
      </c>
      <c r="B768" t="str" cm="1">
        <f t="array" ref="B768">_xlfn.IFS(Table1[[#This Row],[Age]]&lt;30,"Under 30",Table1[[#This Row],[Age]]&lt;=40,"30-40",Table1[[#This Row],[Age]]&lt;=50,"41-50",Table1[[#This Row],[Age]]&gt;50,"Over 50")</f>
        <v>41-50</v>
      </c>
      <c r="C768" t="s">
        <v>43</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t="str" cm="1">
        <f t="array" ref="AH768">_xlfn.IFS(Table1[[#This Row],[YearsAtCompany]]&lt;=2,"0-2 years",Table1[[#This Row],[YearsAtCompany]]&lt;=5,"3-5 years",Table1[[#This Row],[YearsAtCompany]]&lt;=10,"6-10 years",Table1[[#This Row],[YearsAtCompany]]&gt;10,"10+ years")</f>
        <v>6-10 years</v>
      </c>
      <c r="AI768">
        <v>1</v>
      </c>
      <c r="AJ768">
        <v>7</v>
      </c>
      <c r="AK768">
        <v>7</v>
      </c>
      <c r="AL768" t="str" cm="1">
        <f t="array" ref="AL768">_xlfn.IFS(Table1[[#This Row],[JobSatisfaction]]=1,"Low",Table1[[#This Row],[JobSatisfaction]]=2,"Medium",Table1[[#This Row],[JobSatisfaction]]=3,"High",Table1[[#This Row],[JobSatisfaction]]=4,"Very High")</f>
        <v>High</v>
      </c>
      <c r="AM768">
        <f>IF(Table1[[#This Row],[Attrition]]="Yes",1,0)</f>
        <v>0</v>
      </c>
    </row>
    <row r="769" spans="1:39" ht="13.8" x14ac:dyDescent="0.25">
      <c r="A769">
        <v>37</v>
      </c>
      <c r="B769" t="str" cm="1">
        <f t="array" ref="B769">_xlfn.IFS(Table1[[#This Row],[Age]]&lt;30,"Under 30",Table1[[#This Row],[Age]]&lt;=40,"30-40",Table1[[#This Row],[Age]]&lt;=50,"41-50",Table1[[#This Row],[Age]]&gt;50,"Over 50")</f>
        <v>30-40</v>
      </c>
      <c r="C769" t="s">
        <v>43</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t="str" cm="1">
        <f t="array" ref="AH769">_xlfn.IFS(Table1[[#This Row],[YearsAtCompany]]&lt;=2,"0-2 years",Table1[[#This Row],[YearsAtCompany]]&lt;=5,"3-5 years",Table1[[#This Row],[YearsAtCompany]]&lt;=10,"6-10 years",Table1[[#This Row],[YearsAtCompany]]&gt;10,"10+ years")</f>
        <v>3-5 years</v>
      </c>
      <c r="AI769">
        <v>3</v>
      </c>
      <c r="AJ769">
        <v>0</v>
      </c>
      <c r="AK769">
        <v>1</v>
      </c>
      <c r="AL769" t="str" cm="1">
        <f t="array" ref="AL769">_xlfn.IFS(Table1[[#This Row],[JobSatisfaction]]=1,"Low",Table1[[#This Row],[JobSatisfaction]]=2,"Medium",Table1[[#This Row],[JobSatisfaction]]=3,"High",Table1[[#This Row],[JobSatisfaction]]=4,"Very High")</f>
        <v>Medium</v>
      </c>
      <c r="AM769">
        <f>IF(Table1[[#This Row],[Attrition]]="Yes",1,0)</f>
        <v>0</v>
      </c>
    </row>
    <row r="770" spans="1:39" ht="13.8" x14ac:dyDescent="0.25">
      <c r="A770">
        <v>40</v>
      </c>
      <c r="B770" t="str" cm="1">
        <f t="array" ref="B770">_xlfn.IFS(Table1[[#This Row],[Age]]&lt;30,"Under 30",Table1[[#This Row],[Age]]&lt;=40,"30-40",Table1[[#This Row],[Age]]&lt;=50,"41-50",Table1[[#This Row],[Age]]&gt;50,"Over 50")</f>
        <v>30-40</v>
      </c>
      <c r="C770" t="s">
        <v>43</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t="str" cm="1">
        <f t="array" ref="AH770">_xlfn.IFS(Table1[[#This Row],[YearsAtCompany]]&lt;=2,"0-2 years",Table1[[#This Row],[YearsAtCompany]]&lt;=5,"3-5 years",Table1[[#This Row],[YearsAtCompany]]&lt;=10,"6-10 years",Table1[[#This Row],[YearsAtCompany]]&gt;10,"10+ years")</f>
        <v>6-10 years</v>
      </c>
      <c r="AI770">
        <v>7</v>
      </c>
      <c r="AJ770">
        <v>7</v>
      </c>
      <c r="AK770">
        <v>5</v>
      </c>
      <c r="AL770" t="str" cm="1">
        <f t="array" ref="AL770">_xlfn.IFS(Table1[[#This Row],[JobSatisfaction]]=1,"Low",Table1[[#This Row],[JobSatisfaction]]=2,"Medium",Table1[[#This Row],[JobSatisfaction]]=3,"High",Table1[[#This Row],[JobSatisfaction]]=4,"Very High")</f>
        <v>Low</v>
      </c>
      <c r="AM770">
        <f>IF(Table1[[#This Row],[Attrition]]="Yes",1,0)</f>
        <v>0</v>
      </c>
    </row>
    <row r="771" spans="1:39" ht="13.8" x14ac:dyDescent="0.25">
      <c r="A771">
        <v>26</v>
      </c>
      <c r="B771" t="str" cm="1">
        <f t="array" ref="B771">_xlfn.IFS(Table1[[#This Row],[Age]]&lt;30,"Under 30",Table1[[#This Row],[Age]]&lt;=40,"30-40",Table1[[#This Row],[Age]]&lt;=50,"41-50",Table1[[#This Row],[Age]]&gt;50,"Over 50")</f>
        <v>Under 30</v>
      </c>
      <c r="C771" t="s">
        <v>43</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t="str" cm="1">
        <f t="array" ref="AH771">_xlfn.IFS(Table1[[#This Row],[YearsAtCompany]]&lt;=2,"0-2 years",Table1[[#This Row],[YearsAtCompany]]&lt;=5,"3-5 years",Table1[[#This Row],[YearsAtCompany]]&lt;=10,"6-10 years",Table1[[#This Row],[YearsAtCompany]]&gt;10,"10+ years")</f>
        <v>3-5 years</v>
      </c>
      <c r="AI771">
        <v>3</v>
      </c>
      <c r="AJ771">
        <v>1</v>
      </c>
      <c r="AK771">
        <v>3</v>
      </c>
      <c r="AL771" t="str" cm="1">
        <f t="array" ref="AL771">_xlfn.IFS(Table1[[#This Row],[JobSatisfaction]]=1,"Low",Table1[[#This Row],[JobSatisfaction]]=2,"Medium",Table1[[#This Row],[JobSatisfaction]]=3,"High",Table1[[#This Row],[JobSatisfaction]]=4,"Very High")</f>
        <v>High</v>
      </c>
      <c r="AM771">
        <f>IF(Table1[[#This Row],[Attrition]]="Yes",1,0)</f>
        <v>0</v>
      </c>
    </row>
    <row r="772" spans="1:39" ht="13.8" x14ac:dyDescent="0.25">
      <c r="A772">
        <v>46</v>
      </c>
      <c r="B772" t="str" cm="1">
        <f t="array" ref="B772">_xlfn.IFS(Table1[[#This Row],[Age]]&lt;30,"Under 30",Table1[[#This Row],[Age]]&lt;=40,"30-40",Table1[[#This Row],[Age]]&lt;=50,"41-50",Table1[[#This Row],[Age]]&gt;50,"Over 50")</f>
        <v>41-50</v>
      </c>
      <c r="C772" t="s">
        <v>43</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t="str" cm="1">
        <f t="array" ref="AH772">_xlfn.IFS(Table1[[#This Row],[YearsAtCompany]]&lt;=2,"0-2 years",Table1[[#This Row],[YearsAtCompany]]&lt;=5,"3-5 years",Table1[[#This Row],[YearsAtCompany]]&lt;=10,"6-10 years",Table1[[#This Row],[YearsAtCompany]]&gt;10,"10+ years")</f>
        <v>0-2 years</v>
      </c>
      <c r="AI772">
        <v>2</v>
      </c>
      <c r="AJ772">
        <v>2</v>
      </c>
      <c r="AK772">
        <v>2</v>
      </c>
      <c r="AL772" t="str" cm="1">
        <f t="array" ref="AL772">_xlfn.IFS(Table1[[#This Row],[JobSatisfaction]]=1,"Low",Table1[[#This Row],[JobSatisfaction]]=2,"Medium",Table1[[#This Row],[JobSatisfaction]]=3,"High",Table1[[#This Row],[JobSatisfaction]]=4,"Very High")</f>
        <v>Very High</v>
      </c>
      <c r="AM772">
        <f>IF(Table1[[#This Row],[Attrition]]="Yes",1,0)</f>
        <v>0</v>
      </c>
    </row>
    <row r="773" spans="1:39" ht="13.8" x14ac:dyDescent="0.25">
      <c r="A773">
        <v>54</v>
      </c>
      <c r="B773" t="str" cm="1">
        <f t="array" ref="B773">_xlfn.IFS(Table1[[#This Row],[Age]]&lt;30,"Under 30",Table1[[#This Row],[Age]]&lt;=40,"30-40",Table1[[#This Row],[Age]]&lt;=50,"41-50",Table1[[#This Row],[Age]]&gt;50,"Over 50")</f>
        <v>Over 50</v>
      </c>
      <c r="C773" t="s">
        <v>43</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t="str" cm="1">
        <f t="array" ref="AH773">_xlfn.IFS(Table1[[#This Row],[YearsAtCompany]]&lt;=2,"0-2 years",Table1[[#This Row],[YearsAtCompany]]&lt;=5,"3-5 years",Table1[[#This Row],[YearsAtCompany]]&lt;=10,"6-10 years",Table1[[#This Row],[YearsAtCompany]]&gt;10,"10+ years")</f>
        <v>6-10 years</v>
      </c>
      <c r="AI773">
        <v>4</v>
      </c>
      <c r="AJ773">
        <v>7</v>
      </c>
      <c r="AK773">
        <v>0</v>
      </c>
      <c r="AL773" t="str" cm="1">
        <f t="array" ref="AL773">_xlfn.IFS(Table1[[#This Row],[JobSatisfaction]]=1,"Low",Table1[[#This Row],[JobSatisfaction]]=2,"Medium",Table1[[#This Row],[JobSatisfaction]]=3,"High",Table1[[#This Row],[JobSatisfaction]]=4,"Very High")</f>
        <v>High</v>
      </c>
      <c r="AM773">
        <f>IF(Table1[[#This Row],[Attrition]]="Yes",1,0)</f>
        <v>0</v>
      </c>
    </row>
    <row r="774" spans="1:39" ht="13.8" x14ac:dyDescent="0.25">
      <c r="A774">
        <v>56</v>
      </c>
      <c r="B774" t="str" cm="1">
        <f t="array" ref="B774">_xlfn.IFS(Table1[[#This Row],[Age]]&lt;30,"Under 30",Table1[[#This Row],[Age]]&lt;=40,"30-40",Table1[[#This Row],[Age]]&lt;=50,"41-50",Table1[[#This Row],[Age]]&gt;50,"Over 50")</f>
        <v>Over 50</v>
      </c>
      <c r="C774" t="s">
        <v>43</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t="str" cm="1">
        <f t="array" ref="AH774">_xlfn.IFS(Table1[[#This Row],[YearsAtCompany]]&lt;=2,"0-2 years",Table1[[#This Row],[YearsAtCompany]]&lt;=5,"3-5 years",Table1[[#This Row],[YearsAtCompany]]&lt;=10,"6-10 years",Table1[[#This Row],[YearsAtCompany]]&gt;10,"10+ years")</f>
        <v>3-5 years</v>
      </c>
      <c r="AI774">
        <v>4</v>
      </c>
      <c r="AJ774">
        <v>0</v>
      </c>
      <c r="AK774">
        <v>3</v>
      </c>
      <c r="AL774" t="str" cm="1">
        <f t="array" ref="AL774">_xlfn.IFS(Table1[[#This Row],[JobSatisfaction]]=1,"Low",Table1[[#This Row],[JobSatisfaction]]=2,"Medium",Table1[[#This Row],[JobSatisfaction]]=3,"High",Table1[[#This Row],[JobSatisfaction]]=4,"Very High")</f>
        <v>High</v>
      </c>
      <c r="AM774">
        <f>IF(Table1[[#This Row],[Attrition]]="Yes",1,0)</f>
        <v>0</v>
      </c>
    </row>
    <row r="775" spans="1:39" ht="13.8" x14ac:dyDescent="0.25">
      <c r="A775">
        <v>36</v>
      </c>
      <c r="B775" t="str" cm="1">
        <f t="array" ref="B775">_xlfn.IFS(Table1[[#This Row],[Age]]&lt;30,"Under 30",Table1[[#This Row],[Age]]&lt;=40,"30-40",Table1[[#This Row],[Age]]&lt;=50,"41-50",Table1[[#This Row],[Age]]&gt;50,"Over 50")</f>
        <v>30-40</v>
      </c>
      <c r="C775" t="s">
        <v>43</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t="str" cm="1">
        <f t="array" ref="AH775">_xlfn.IFS(Table1[[#This Row],[YearsAtCompany]]&lt;=2,"0-2 years",Table1[[#This Row],[YearsAtCompany]]&lt;=5,"3-5 years",Table1[[#This Row],[YearsAtCompany]]&lt;=10,"6-10 years",Table1[[#This Row],[YearsAtCompany]]&gt;10,"10+ years")</f>
        <v>10+ years</v>
      </c>
      <c r="AI775">
        <v>8</v>
      </c>
      <c r="AJ775">
        <v>7</v>
      </c>
      <c r="AK775">
        <v>8</v>
      </c>
      <c r="AL775" t="str" cm="1">
        <f t="array" ref="AL775">_xlfn.IFS(Table1[[#This Row],[JobSatisfaction]]=1,"Low",Table1[[#This Row],[JobSatisfaction]]=2,"Medium",Table1[[#This Row],[JobSatisfaction]]=3,"High",Table1[[#This Row],[JobSatisfaction]]=4,"Very High")</f>
        <v>Very High</v>
      </c>
      <c r="AM775">
        <f>IF(Table1[[#This Row],[Attrition]]="Yes",1,0)</f>
        <v>0</v>
      </c>
    </row>
    <row r="776" spans="1:39" ht="13.8" x14ac:dyDescent="0.25">
      <c r="A776">
        <v>55</v>
      </c>
      <c r="B776" t="str" cm="1">
        <f t="array" ref="B776">_xlfn.IFS(Table1[[#This Row],[Age]]&lt;30,"Under 30",Table1[[#This Row],[Age]]&lt;=40,"30-40",Table1[[#This Row],[Age]]&lt;=50,"41-50",Table1[[#This Row],[Age]]&gt;50,"Over 50")</f>
        <v>Over 50</v>
      </c>
      <c r="C776" t="s">
        <v>43</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t="str" cm="1">
        <f t="array" ref="AH776">_xlfn.IFS(Table1[[#This Row],[YearsAtCompany]]&lt;=2,"0-2 years",Table1[[#This Row],[YearsAtCompany]]&lt;=5,"3-5 years",Table1[[#This Row],[YearsAtCompany]]&lt;=10,"6-10 years",Table1[[#This Row],[YearsAtCompany]]&gt;10,"10+ years")</f>
        <v>6-10 years</v>
      </c>
      <c r="AI776">
        <v>7</v>
      </c>
      <c r="AJ776">
        <v>6</v>
      </c>
      <c r="AK776">
        <v>2</v>
      </c>
      <c r="AL776" t="str" cm="1">
        <f t="array" ref="AL776">_xlfn.IFS(Table1[[#This Row],[JobSatisfaction]]=1,"Low",Table1[[#This Row],[JobSatisfaction]]=2,"Medium",Table1[[#This Row],[JobSatisfaction]]=3,"High",Table1[[#This Row],[JobSatisfaction]]=4,"Very High")</f>
        <v>Low</v>
      </c>
      <c r="AM776">
        <f>IF(Table1[[#This Row],[Attrition]]="Yes",1,0)</f>
        <v>0</v>
      </c>
    </row>
    <row r="777" spans="1:39" ht="13.8" x14ac:dyDescent="0.25">
      <c r="A777">
        <v>43</v>
      </c>
      <c r="B777" t="str" cm="1">
        <f t="array" ref="B777">_xlfn.IFS(Table1[[#This Row],[Age]]&lt;30,"Under 30",Table1[[#This Row],[Age]]&lt;=40,"30-40",Table1[[#This Row],[Age]]&lt;=50,"41-50",Table1[[#This Row],[Age]]&gt;50,"Over 50")</f>
        <v>41-50</v>
      </c>
      <c r="C777" t="s">
        <v>43</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t="str" cm="1">
        <f t="array" ref="AH777">_xlfn.IFS(Table1[[#This Row],[YearsAtCompany]]&lt;=2,"0-2 years",Table1[[#This Row],[YearsAtCompany]]&lt;=5,"3-5 years",Table1[[#This Row],[YearsAtCompany]]&lt;=10,"6-10 years",Table1[[#This Row],[YearsAtCompany]]&gt;10,"10+ years")</f>
        <v>0-2 years</v>
      </c>
      <c r="AI777">
        <v>0</v>
      </c>
      <c r="AJ777">
        <v>0</v>
      </c>
      <c r="AK777">
        <v>0</v>
      </c>
      <c r="AL777" t="str" cm="1">
        <f t="array" ref="AL777">_xlfn.IFS(Table1[[#This Row],[JobSatisfaction]]=1,"Low",Table1[[#This Row],[JobSatisfaction]]=2,"Medium",Table1[[#This Row],[JobSatisfaction]]=3,"High",Table1[[#This Row],[JobSatisfaction]]=4,"Very High")</f>
        <v>Very High</v>
      </c>
      <c r="AM777">
        <f>IF(Table1[[#This Row],[Attrition]]="Yes",1,0)</f>
        <v>0</v>
      </c>
    </row>
    <row r="778" spans="1:39" ht="13.8" x14ac:dyDescent="0.25">
      <c r="A778">
        <v>20</v>
      </c>
      <c r="B778" t="str" cm="1">
        <f t="array" ref="B778">_xlfn.IFS(Table1[[#This Row],[Age]]&lt;30,"Under 30",Table1[[#This Row],[Age]]&lt;=40,"30-40",Table1[[#This Row],[Age]]&lt;=50,"41-50",Table1[[#This Row],[Age]]&gt;50,"Over 50")</f>
        <v>Under 30</v>
      </c>
      <c r="C778" t="s">
        <v>35</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t="str" cm="1">
        <f t="array" ref="AH778">_xlfn.IFS(Table1[[#This Row],[YearsAtCompany]]&lt;=2,"0-2 years",Table1[[#This Row],[YearsAtCompany]]&lt;=5,"3-5 years",Table1[[#This Row],[YearsAtCompany]]&lt;=10,"6-10 years",Table1[[#This Row],[YearsAtCompany]]&gt;10,"10+ years")</f>
        <v>0-2 years</v>
      </c>
      <c r="AI778">
        <v>2</v>
      </c>
      <c r="AJ778">
        <v>0</v>
      </c>
      <c r="AK778">
        <v>2</v>
      </c>
      <c r="AL778" t="str" cm="1">
        <f t="array" ref="AL778">_xlfn.IFS(Table1[[#This Row],[JobSatisfaction]]=1,"Low",Table1[[#This Row],[JobSatisfaction]]=2,"Medium",Table1[[#This Row],[JobSatisfaction]]=3,"High",Table1[[#This Row],[JobSatisfaction]]=4,"Very High")</f>
        <v>Very High</v>
      </c>
      <c r="AM778">
        <f>IF(Table1[[#This Row],[Attrition]]="Yes",1,0)</f>
        <v>1</v>
      </c>
    </row>
    <row r="779" spans="1:39" ht="13.8" x14ac:dyDescent="0.25">
      <c r="A779">
        <v>21</v>
      </c>
      <c r="B779" t="str" cm="1">
        <f t="array" ref="B779">_xlfn.IFS(Table1[[#This Row],[Age]]&lt;30,"Under 30",Table1[[#This Row],[Age]]&lt;=40,"30-40",Table1[[#This Row],[Age]]&lt;=50,"41-50",Table1[[#This Row],[Age]]&gt;50,"Over 50")</f>
        <v>Under 30</v>
      </c>
      <c r="C779" t="s">
        <v>35</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t="str" cm="1">
        <f t="array" ref="AH779">_xlfn.IFS(Table1[[#This Row],[YearsAtCompany]]&lt;=2,"0-2 years",Table1[[#This Row],[YearsAtCompany]]&lt;=5,"3-5 years",Table1[[#This Row],[YearsAtCompany]]&lt;=10,"6-10 years",Table1[[#This Row],[YearsAtCompany]]&gt;10,"10+ years")</f>
        <v>0-2 years</v>
      </c>
      <c r="AI779">
        <v>0</v>
      </c>
      <c r="AJ779">
        <v>1</v>
      </c>
      <c r="AK779">
        <v>0</v>
      </c>
      <c r="AL779" t="str" cm="1">
        <f t="array" ref="AL779">_xlfn.IFS(Table1[[#This Row],[JobSatisfaction]]=1,"Low",Table1[[#This Row],[JobSatisfaction]]=2,"Medium",Table1[[#This Row],[JobSatisfaction]]=3,"High",Table1[[#This Row],[JobSatisfaction]]=4,"Very High")</f>
        <v>Low</v>
      </c>
      <c r="AM779">
        <f>IF(Table1[[#This Row],[Attrition]]="Yes",1,0)</f>
        <v>1</v>
      </c>
    </row>
    <row r="780" spans="1:39" ht="13.8" x14ac:dyDescent="0.25">
      <c r="A780">
        <v>46</v>
      </c>
      <c r="B780" t="str" cm="1">
        <f t="array" ref="B780">_xlfn.IFS(Table1[[#This Row],[Age]]&lt;30,"Under 30",Table1[[#This Row],[Age]]&lt;=40,"30-40",Table1[[#This Row],[Age]]&lt;=50,"41-50",Table1[[#This Row],[Age]]&gt;50,"Over 50")</f>
        <v>41-50</v>
      </c>
      <c r="C780" t="s">
        <v>43</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t="str" cm="1">
        <f t="array" ref="AH780">_xlfn.IFS(Table1[[#This Row],[YearsAtCompany]]&lt;=2,"0-2 years",Table1[[#This Row],[YearsAtCompany]]&lt;=5,"3-5 years",Table1[[#This Row],[YearsAtCompany]]&lt;=10,"6-10 years",Table1[[#This Row],[YearsAtCompany]]&gt;10,"10+ years")</f>
        <v>10+ years</v>
      </c>
      <c r="AI780">
        <v>13</v>
      </c>
      <c r="AJ780">
        <v>1</v>
      </c>
      <c r="AK780">
        <v>7</v>
      </c>
      <c r="AL780" t="str" cm="1">
        <f t="array" ref="AL780">_xlfn.IFS(Table1[[#This Row],[JobSatisfaction]]=1,"Low",Table1[[#This Row],[JobSatisfaction]]=2,"Medium",Table1[[#This Row],[JobSatisfaction]]=3,"High",Table1[[#This Row],[JobSatisfaction]]=4,"Very High")</f>
        <v>Low</v>
      </c>
      <c r="AM780">
        <f>IF(Table1[[#This Row],[Attrition]]="Yes",1,0)</f>
        <v>0</v>
      </c>
    </row>
    <row r="781" spans="1:39" ht="13.8" x14ac:dyDescent="0.25">
      <c r="A781">
        <v>51</v>
      </c>
      <c r="B781" t="str" cm="1">
        <f t="array" ref="B781">_xlfn.IFS(Table1[[#This Row],[Age]]&lt;30,"Under 30",Table1[[#This Row],[Age]]&lt;=40,"30-40",Table1[[#This Row],[Age]]&lt;=50,"41-50",Table1[[#This Row],[Age]]&gt;50,"Over 50")</f>
        <v>Over 50</v>
      </c>
      <c r="C781" t="s">
        <v>35</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t="str" cm="1">
        <f t="array" ref="AH781">_xlfn.IFS(Table1[[#This Row],[YearsAtCompany]]&lt;=2,"0-2 years",Table1[[#This Row],[YearsAtCompany]]&lt;=5,"3-5 years",Table1[[#This Row],[YearsAtCompany]]&lt;=10,"6-10 years",Table1[[#This Row],[YearsAtCompany]]&gt;10,"10+ years")</f>
        <v>6-10 years</v>
      </c>
      <c r="AI781">
        <v>0</v>
      </c>
      <c r="AJ781">
        <v>2</v>
      </c>
      <c r="AK781">
        <v>7</v>
      </c>
      <c r="AL781" t="str" cm="1">
        <f t="array" ref="AL781">_xlfn.IFS(Table1[[#This Row],[JobSatisfaction]]=1,"Low",Table1[[#This Row],[JobSatisfaction]]=2,"Medium",Table1[[#This Row],[JobSatisfaction]]=3,"High",Table1[[#This Row],[JobSatisfaction]]=4,"Very High")</f>
        <v>High</v>
      </c>
      <c r="AM781">
        <f>IF(Table1[[#This Row],[Attrition]]="Yes",1,0)</f>
        <v>1</v>
      </c>
    </row>
    <row r="782" spans="1:39" ht="13.8" x14ac:dyDescent="0.25">
      <c r="A782">
        <v>28</v>
      </c>
      <c r="B782" t="str" cm="1">
        <f t="array" ref="B782">_xlfn.IFS(Table1[[#This Row],[Age]]&lt;30,"Under 30",Table1[[#This Row],[Age]]&lt;=40,"30-40",Table1[[#This Row],[Age]]&lt;=50,"41-50",Table1[[#This Row],[Age]]&gt;50,"Over 50")</f>
        <v>Under 30</v>
      </c>
      <c r="C782" t="s">
        <v>35</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t="str" cm="1">
        <f t="array" ref="AH782">_xlfn.IFS(Table1[[#This Row],[YearsAtCompany]]&lt;=2,"0-2 years",Table1[[#This Row],[YearsAtCompany]]&lt;=5,"3-5 years",Table1[[#This Row],[YearsAtCompany]]&lt;=10,"6-10 years",Table1[[#This Row],[YearsAtCompany]]&gt;10,"10+ years")</f>
        <v>6-10 years</v>
      </c>
      <c r="AI782">
        <v>7</v>
      </c>
      <c r="AJ782">
        <v>1</v>
      </c>
      <c r="AK782">
        <v>9</v>
      </c>
      <c r="AL782" t="str" cm="1">
        <f t="array" ref="AL782">_xlfn.IFS(Table1[[#This Row],[JobSatisfaction]]=1,"Low",Table1[[#This Row],[JobSatisfaction]]=2,"Medium",Table1[[#This Row],[JobSatisfaction]]=3,"High",Table1[[#This Row],[JobSatisfaction]]=4,"Very High")</f>
        <v>Low</v>
      </c>
      <c r="AM782">
        <f>IF(Table1[[#This Row],[Attrition]]="Yes",1,0)</f>
        <v>1</v>
      </c>
    </row>
    <row r="783" spans="1:39" ht="13.8" x14ac:dyDescent="0.25">
      <c r="A783">
        <v>26</v>
      </c>
      <c r="B783" t="str" cm="1">
        <f t="array" ref="B783">_xlfn.IFS(Table1[[#This Row],[Age]]&lt;30,"Under 30",Table1[[#This Row],[Age]]&lt;=40,"30-40",Table1[[#This Row],[Age]]&lt;=50,"41-50",Table1[[#This Row],[Age]]&gt;50,"Over 50")</f>
        <v>Under 30</v>
      </c>
      <c r="C783" t="s">
        <v>43</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t="str" cm="1">
        <f t="array" ref="AH783">_xlfn.IFS(Table1[[#This Row],[YearsAtCompany]]&lt;=2,"0-2 years",Table1[[#This Row],[YearsAtCompany]]&lt;=5,"3-5 years",Table1[[#This Row],[YearsAtCompany]]&lt;=10,"6-10 years",Table1[[#This Row],[YearsAtCompany]]&gt;10,"10+ years")</f>
        <v>3-5 years</v>
      </c>
      <c r="AI783">
        <v>3</v>
      </c>
      <c r="AJ783">
        <v>1</v>
      </c>
      <c r="AK783">
        <v>3</v>
      </c>
      <c r="AL783" t="str" cm="1">
        <f t="array" ref="AL783">_xlfn.IFS(Table1[[#This Row],[JobSatisfaction]]=1,"Low",Table1[[#This Row],[JobSatisfaction]]=2,"Medium",Table1[[#This Row],[JobSatisfaction]]=3,"High",Table1[[#This Row],[JobSatisfaction]]=4,"Very High")</f>
        <v>Low</v>
      </c>
      <c r="AM783">
        <f>IF(Table1[[#This Row],[Attrition]]="Yes",1,0)</f>
        <v>0</v>
      </c>
    </row>
    <row r="784" spans="1:39" ht="13.8" x14ac:dyDescent="0.25">
      <c r="A784">
        <v>30</v>
      </c>
      <c r="B784" t="str" cm="1">
        <f t="array" ref="B784">_xlfn.IFS(Table1[[#This Row],[Age]]&lt;30,"Under 30",Table1[[#This Row],[Age]]&lt;=40,"30-40",Table1[[#This Row],[Age]]&lt;=50,"41-50",Table1[[#This Row],[Age]]&gt;50,"Over 50")</f>
        <v>30-40</v>
      </c>
      <c r="C784" t="s">
        <v>43</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t="str" cm="1">
        <f t="array" ref="AH784">_xlfn.IFS(Table1[[#This Row],[YearsAtCompany]]&lt;=2,"0-2 years",Table1[[#This Row],[YearsAtCompany]]&lt;=5,"3-5 years",Table1[[#This Row],[YearsAtCompany]]&lt;=10,"6-10 years",Table1[[#This Row],[YearsAtCompany]]&gt;10,"10+ years")</f>
        <v>6-10 years</v>
      </c>
      <c r="AI784">
        <v>2</v>
      </c>
      <c r="AJ784">
        <v>0</v>
      </c>
      <c r="AK784">
        <v>2</v>
      </c>
      <c r="AL784" t="str" cm="1">
        <f t="array" ref="AL784">_xlfn.IFS(Table1[[#This Row],[JobSatisfaction]]=1,"Low",Table1[[#This Row],[JobSatisfaction]]=2,"Medium",Table1[[#This Row],[JobSatisfaction]]=3,"High",Table1[[#This Row],[JobSatisfaction]]=4,"Very High")</f>
        <v>Low</v>
      </c>
      <c r="AM784">
        <f>IF(Table1[[#This Row],[Attrition]]="Yes",1,0)</f>
        <v>0</v>
      </c>
    </row>
    <row r="785" spans="1:39" ht="13.8" x14ac:dyDescent="0.25">
      <c r="A785">
        <v>41</v>
      </c>
      <c r="B785" t="str" cm="1">
        <f t="array" ref="B785">_xlfn.IFS(Table1[[#This Row],[Age]]&lt;30,"Under 30",Table1[[#This Row],[Age]]&lt;=40,"30-40",Table1[[#This Row],[Age]]&lt;=50,"41-50",Table1[[#This Row],[Age]]&gt;50,"Over 50")</f>
        <v>41-50</v>
      </c>
      <c r="C785" t="s">
        <v>43</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t="str" cm="1">
        <f t="array" ref="AH785">_xlfn.IFS(Table1[[#This Row],[YearsAtCompany]]&lt;=2,"0-2 years",Table1[[#This Row],[YearsAtCompany]]&lt;=5,"3-5 years",Table1[[#This Row],[YearsAtCompany]]&lt;=10,"6-10 years",Table1[[#This Row],[YearsAtCompany]]&gt;10,"10+ years")</f>
        <v>6-10 years</v>
      </c>
      <c r="AI785">
        <v>6</v>
      </c>
      <c r="AJ785">
        <v>0</v>
      </c>
      <c r="AK785">
        <v>8</v>
      </c>
      <c r="AL785" t="str" cm="1">
        <f t="array" ref="AL785">_xlfn.IFS(Table1[[#This Row],[JobSatisfaction]]=1,"Low",Table1[[#This Row],[JobSatisfaction]]=2,"Medium",Table1[[#This Row],[JobSatisfaction]]=3,"High",Table1[[#This Row],[JobSatisfaction]]=4,"Very High")</f>
        <v>High</v>
      </c>
      <c r="AM785">
        <f>IF(Table1[[#This Row],[Attrition]]="Yes",1,0)</f>
        <v>0</v>
      </c>
    </row>
    <row r="786" spans="1:39" ht="13.8" x14ac:dyDescent="0.25">
      <c r="A786">
        <v>38</v>
      </c>
      <c r="B786" t="str" cm="1">
        <f t="array" ref="B786">_xlfn.IFS(Table1[[#This Row],[Age]]&lt;30,"Under 30",Table1[[#This Row],[Age]]&lt;=40,"30-40",Table1[[#This Row],[Age]]&lt;=50,"41-50",Table1[[#This Row],[Age]]&gt;50,"Over 50")</f>
        <v>30-40</v>
      </c>
      <c r="C786" t="s">
        <v>43</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t="str" cm="1">
        <f t="array" ref="AH786">_xlfn.IFS(Table1[[#This Row],[YearsAtCompany]]&lt;=2,"0-2 years",Table1[[#This Row],[YearsAtCompany]]&lt;=5,"3-5 years",Table1[[#This Row],[YearsAtCompany]]&lt;=10,"6-10 years",Table1[[#This Row],[YearsAtCompany]]&gt;10,"10+ years")</f>
        <v>10+ years</v>
      </c>
      <c r="AI786">
        <v>9</v>
      </c>
      <c r="AJ786">
        <v>1</v>
      </c>
      <c r="AK786">
        <v>9</v>
      </c>
      <c r="AL786" t="str" cm="1">
        <f t="array" ref="AL786">_xlfn.IFS(Table1[[#This Row],[JobSatisfaction]]=1,"Low",Table1[[#This Row],[JobSatisfaction]]=2,"Medium",Table1[[#This Row],[JobSatisfaction]]=3,"High",Table1[[#This Row],[JobSatisfaction]]=4,"Very High")</f>
        <v>High</v>
      </c>
      <c r="AM786">
        <f>IF(Table1[[#This Row],[Attrition]]="Yes",1,0)</f>
        <v>0</v>
      </c>
    </row>
    <row r="787" spans="1:39" ht="13.8" x14ac:dyDescent="0.25">
      <c r="A787">
        <v>40</v>
      </c>
      <c r="B787" t="str" cm="1">
        <f t="array" ref="B787">_xlfn.IFS(Table1[[#This Row],[Age]]&lt;30,"Under 30",Table1[[#This Row],[Age]]&lt;=40,"30-40",Table1[[#This Row],[Age]]&lt;=50,"41-50",Table1[[#This Row],[Age]]&gt;50,"Over 50")</f>
        <v>30-40</v>
      </c>
      <c r="C787" t="s">
        <v>43</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t="str" cm="1">
        <f t="array" ref="AH787">_xlfn.IFS(Table1[[#This Row],[YearsAtCompany]]&lt;=2,"0-2 years",Table1[[#This Row],[YearsAtCompany]]&lt;=5,"3-5 years",Table1[[#This Row],[YearsAtCompany]]&lt;=10,"6-10 years",Table1[[#This Row],[YearsAtCompany]]&gt;10,"10+ years")</f>
        <v>10+ years</v>
      </c>
      <c r="AI787">
        <v>10</v>
      </c>
      <c r="AJ787">
        <v>11</v>
      </c>
      <c r="AK787">
        <v>1</v>
      </c>
      <c r="AL787" t="str" cm="1">
        <f t="array" ref="AL787">_xlfn.IFS(Table1[[#This Row],[JobSatisfaction]]=1,"Low",Table1[[#This Row],[JobSatisfaction]]=2,"Medium",Table1[[#This Row],[JobSatisfaction]]=3,"High",Table1[[#This Row],[JobSatisfaction]]=4,"Very High")</f>
        <v>Very High</v>
      </c>
      <c r="AM787">
        <f>IF(Table1[[#This Row],[Attrition]]="Yes",1,0)</f>
        <v>0</v>
      </c>
    </row>
    <row r="788" spans="1:39" ht="13.8" x14ac:dyDescent="0.25">
      <c r="A788">
        <v>27</v>
      </c>
      <c r="B788" t="str" cm="1">
        <f t="array" ref="B788">_xlfn.IFS(Table1[[#This Row],[Age]]&lt;30,"Under 30",Table1[[#This Row],[Age]]&lt;=40,"30-40",Table1[[#This Row],[Age]]&lt;=50,"41-50",Table1[[#This Row],[Age]]&gt;50,"Over 50")</f>
        <v>Under 30</v>
      </c>
      <c r="C788" t="s">
        <v>43</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t="str" cm="1">
        <f t="array" ref="AH788">_xlfn.IFS(Table1[[#This Row],[YearsAtCompany]]&lt;=2,"0-2 years",Table1[[#This Row],[YearsAtCompany]]&lt;=5,"3-5 years",Table1[[#This Row],[YearsAtCompany]]&lt;=10,"6-10 years",Table1[[#This Row],[YearsAtCompany]]&gt;10,"10+ years")</f>
        <v>3-5 years</v>
      </c>
      <c r="AI788">
        <v>2</v>
      </c>
      <c r="AJ788">
        <v>1</v>
      </c>
      <c r="AK788">
        <v>2</v>
      </c>
      <c r="AL788" t="str" cm="1">
        <f t="array" ref="AL788">_xlfn.IFS(Table1[[#This Row],[JobSatisfaction]]=1,"Low",Table1[[#This Row],[JobSatisfaction]]=2,"Medium",Table1[[#This Row],[JobSatisfaction]]=3,"High",Table1[[#This Row],[JobSatisfaction]]=4,"Very High")</f>
        <v>High</v>
      </c>
      <c r="AM788">
        <f>IF(Table1[[#This Row],[Attrition]]="Yes",1,0)</f>
        <v>0</v>
      </c>
    </row>
    <row r="789" spans="1:39" ht="13.8" x14ac:dyDescent="0.25">
      <c r="A789">
        <v>55</v>
      </c>
      <c r="B789" t="str" cm="1">
        <f t="array" ref="B789">_xlfn.IFS(Table1[[#This Row],[Age]]&lt;30,"Under 30",Table1[[#This Row],[Age]]&lt;=40,"30-40",Table1[[#This Row],[Age]]&lt;=50,"41-50",Table1[[#This Row],[Age]]&gt;50,"Over 50")</f>
        <v>Over 50</v>
      </c>
      <c r="C789" t="s">
        <v>43</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t="str" cm="1">
        <f t="array" ref="AH789">_xlfn.IFS(Table1[[#This Row],[YearsAtCompany]]&lt;=2,"0-2 years",Table1[[#This Row],[YearsAtCompany]]&lt;=5,"3-5 years",Table1[[#This Row],[YearsAtCompany]]&lt;=10,"6-10 years",Table1[[#This Row],[YearsAtCompany]]&gt;10,"10+ years")</f>
        <v>3-5 years</v>
      </c>
      <c r="AI789">
        <v>2</v>
      </c>
      <c r="AJ789">
        <v>1</v>
      </c>
      <c r="AK789">
        <v>2</v>
      </c>
      <c r="AL789" t="str" cm="1">
        <f t="array" ref="AL789">_xlfn.IFS(Table1[[#This Row],[JobSatisfaction]]=1,"Low",Table1[[#This Row],[JobSatisfaction]]=2,"Medium",Table1[[#This Row],[JobSatisfaction]]=3,"High",Table1[[#This Row],[JobSatisfaction]]=4,"Very High")</f>
        <v>Medium</v>
      </c>
      <c r="AM789">
        <f>IF(Table1[[#This Row],[Attrition]]="Yes",1,0)</f>
        <v>0</v>
      </c>
    </row>
    <row r="790" spans="1:39" ht="13.8" x14ac:dyDescent="0.25">
      <c r="A790">
        <v>28</v>
      </c>
      <c r="B790" t="str" cm="1">
        <f t="array" ref="B790">_xlfn.IFS(Table1[[#This Row],[Age]]&lt;30,"Under 30",Table1[[#This Row],[Age]]&lt;=40,"30-40",Table1[[#This Row],[Age]]&lt;=50,"41-50",Table1[[#This Row],[Age]]&gt;50,"Over 50")</f>
        <v>Under 30</v>
      </c>
      <c r="C790" t="s">
        <v>43</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t="str" cm="1">
        <f t="array" ref="AH790">_xlfn.IFS(Table1[[#This Row],[YearsAtCompany]]&lt;=2,"0-2 years",Table1[[#This Row],[YearsAtCompany]]&lt;=5,"3-5 years",Table1[[#This Row],[YearsAtCompany]]&lt;=10,"6-10 years",Table1[[#This Row],[YearsAtCompany]]&gt;10,"10+ years")</f>
        <v>6-10 years</v>
      </c>
      <c r="AI790">
        <v>7</v>
      </c>
      <c r="AJ790">
        <v>1</v>
      </c>
      <c r="AK790">
        <v>7</v>
      </c>
      <c r="AL790" t="str" cm="1">
        <f t="array" ref="AL790">_xlfn.IFS(Table1[[#This Row],[JobSatisfaction]]=1,"Low",Table1[[#This Row],[JobSatisfaction]]=2,"Medium",Table1[[#This Row],[JobSatisfaction]]=3,"High",Table1[[#This Row],[JobSatisfaction]]=4,"Very High")</f>
        <v>High</v>
      </c>
      <c r="AM790">
        <f>IF(Table1[[#This Row],[Attrition]]="Yes",1,0)</f>
        <v>0</v>
      </c>
    </row>
    <row r="791" spans="1:39" ht="13.8" x14ac:dyDescent="0.25">
      <c r="A791">
        <v>44</v>
      </c>
      <c r="B791" t="str" cm="1">
        <f t="array" ref="B791">_xlfn.IFS(Table1[[#This Row],[Age]]&lt;30,"Under 30",Table1[[#This Row],[Age]]&lt;=40,"30-40",Table1[[#This Row],[Age]]&lt;=50,"41-50",Table1[[#This Row],[Age]]&gt;50,"Over 50")</f>
        <v>41-50</v>
      </c>
      <c r="C791" t="s">
        <v>35</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t="str" cm="1">
        <f t="array" ref="AH791">_xlfn.IFS(Table1[[#This Row],[YearsAtCompany]]&lt;=2,"0-2 years",Table1[[#This Row],[YearsAtCompany]]&lt;=5,"3-5 years",Table1[[#This Row],[YearsAtCompany]]&lt;=10,"6-10 years",Table1[[#This Row],[YearsAtCompany]]&gt;10,"10+ years")</f>
        <v>10+ years</v>
      </c>
      <c r="AI791">
        <v>6</v>
      </c>
      <c r="AJ791">
        <v>3</v>
      </c>
      <c r="AK791">
        <v>6</v>
      </c>
      <c r="AL791" t="str" cm="1">
        <f t="array" ref="AL791">_xlfn.IFS(Table1[[#This Row],[JobSatisfaction]]=1,"Low",Table1[[#This Row],[JobSatisfaction]]=2,"Medium",Table1[[#This Row],[JobSatisfaction]]=3,"High",Table1[[#This Row],[JobSatisfaction]]=4,"Very High")</f>
        <v>Low</v>
      </c>
      <c r="AM791">
        <f>IF(Table1[[#This Row],[Attrition]]="Yes",1,0)</f>
        <v>1</v>
      </c>
    </row>
    <row r="792" spans="1:39" ht="13.8" x14ac:dyDescent="0.25">
      <c r="A792">
        <v>33</v>
      </c>
      <c r="B792" t="str" cm="1">
        <f t="array" ref="B792">_xlfn.IFS(Table1[[#This Row],[Age]]&lt;30,"Under 30",Table1[[#This Row],[Age]]&lt;=40,"30-40",Table1[[#This Row],[Age]]&lt;=50,"41-50",Table1[[#This Row],[Age]]&gt;50,"Over 50")</f>
        <v>30-40</v>
      </c>
      <c r="C792" t="s">
        <v>43</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t="str" cm="1">
        <f t="array" ref="AH792">_xlfn.IFS(Table1[[#This Row],[YearsAtCompany]]&lt;=2,"0-2 years",Table1[[#This Row],[YearsAtCompany]]&lt;=5,"3-5 years",Table1[[#This Row],[YearsAtCompany]]&lt;=10,"6-10 years",Table1[[#This Row],[YearsAtCompany]]&gt;10,"10+ years")</f>
        <v>3-5 years</v>
      </c>
      <c r="AI792">
        <v>2</v>
      </c>
      <c r="AJ792">
        <v>1</v>
      </c>
      <c r="AK792">
        <v>2</v>
      </c>
      <c r="AL792" t="str" cm="1">
        <f t="array" ref="AL792">_xlfn.IFS(Table1[[#This Row],[JobSatisfaction]]=1,"Low",Table1[[#This Row],[JobSatisfaction]]=2,"Medium",Table1[[#This Row],[JobSatisfaction]]=3,"High",Table1[[#This Row],[JobSatisfaction]]=4,"Very High")</f>
        <v>Very High</v>
      </c>
      <c r="AM792">
        <f>IF(Table1[[#This Row],[Attrition]]="Yes",1,0)</f>
        <v>0</v>
      </c>
    </row>
    <row r="793" spans="1:39" ht="13.8" x14ac:dyDescent="0.25">
      <c r="A793">
        <v>35</v>
      </c>
      <c r="B793" t="str" cm="1">
        <f t="array" ref="B793">_xlfn.IFS(Table1[[#This Row],[Age]]&lt;30,"Under 30",Table1[[#This Row],[Age]]&lt;=40,"30-40",Table1[[#This Row],[Age]]&lt;=50,"41-50",Table1[[#This Row],[Age]]&gt;50,"Over 50")</f>
        <v>30-40</v>
      </c>
      <c r="C793" t="s">
        <v>35</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t="str" cm="1">
        <f t="array" ref="AH793">_xlfn.IFS(Table1[[#This Row],[YearsAtCompany]]&lt;=2,"0-2 years",Table1[[#This Row],[YearsAtCompany]]&lt;=5,"3-5 years",Table1[[#This Row],[YearsAtCompany]]&lt;=10,"6-10 years",Table1[[#This Row],[YearsAtCompany]]&gt;10,"10+ years")</f>
        <v>6-10 years</v>
      </c>
      <c r="AI793">
        <v>7</v>
      </c>
      <c r="AJ793">
        <v>4</v>
      </c>
      <c r="AK793">
        <v>7</v>
      </c>
      <c r="AL793" t="str" cm="1">
        <f t="array" ref="AL793">_xlfn.IFS(Table1[[#This Row],[JobSatisfaction]]=1,"Low",Table1[[#This Row],[JobSatisfaction]]=2,"Medium",Table1[[#This Row],[JobSatisfaction]]=3,"High",Table1[[#This Row],[JobSatisfaction]]=4,"Very High")</f>
        <v>Low</v>
      </c>
      <c r="AM793">
        <f>IF(Table1[[#This Row],[Attrition]]="Yes",1,0)</f>
        <v>1</v>
      </c>
    </row>
    <row r="794" spans="1:39" ht="13.8" x14ac:dyDescent="0.25">
      <c r="A794">
        <v>33</v>
      </c>
      <c r="B794" t="str" cm="1">
        <f t="array" ref="B794">_xlfn.IFS(Table1[[#This Row],[Age]]&lt;30,"Under 30",Table1[[#This Row],[Age]]&lt;=40,"30-40",Table1[[#This Row],[Age]]&lt;=50,"41-50",Table1[[#This Row],[Age]]&gt;50,"Over 50")</f>
        <v>30-40</v>
      </c>
      <c r="C794" t="s">
        <v>35</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t="str" cm="1">
        <f t="array" ref="AH794">_xlfn.IFS(Table1[[#This Row],[YearsAtCompany]]&lt;=2,"0-2 years",Table1[[#This Row],[YearsAtCompany]]&lt;=5,"3-5 years",Table1[[#This Row],[YearsAtCompany]]&lt;=10,"6-10 years",Table1[[#This Row],[YearsAtCompany]]&gt;10,"10+ years")</f>
        <v>10+ years</v>
      </c>
      <c r="AI794">
        <v>7</v>
      </c>
      <c r="AJ794">
        <v>3</v>
      </c>
      <c r="AK794">
        <v>8</v>
      </c>
      <c r="AL794" t="str" cm="1">
        <f t="array" ref="AL794">_xlfn.IFS(Table1[[#This Row],[JobSatisfaction]]=1,"Low",Table1[[#This Row],[JobSatisfaction]]=2,"Medium",Table1[[#This Row],[JobSatisfaction]]=3,"High",Table1[[#This Row],[JobSatisfaction]]=4,"Very High")</f>
        <v>High</v>
      </c>
      <c r="AM794">
        <f>IF(Table1[[#This Row],[Attrition]]="Yes",1,0)</f>
        <v>1</v>
      </c>
    </row>
    <row r="795" spans="1:39" ht="13.8" x14ac:dyDescent="0.25">
      <c r="A795">
        <v>28</v>
      </c>
      <c r="B795" t="str" cm="1">
        <f t="array" ref="B795">_xlfn.IFS(Table1[[#This Row],[Age]]&lt;30,"Under 30",Table1[[#This Row],[Age]]&lt;=40,"30-40",Table1[[#This Row],[Age]]&lt;=50,"41-50",Table1[[#This Row],[Age]]&gt;50,"Over 50")</f>
        <v>Under 30</v>
      </c>
      <c r="C795" t="s">
        <v>43</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t="str" cm="1">
        <f t="array" ref="AH795">_xlfn.IFS(Table1[[#This Row],[YearsAtCompany]]&lt;=2,"0-2 years",Table1[[#This Row],[YearsAtCompany]]&lt;=5,"3-5 years",Table1[[#This Row],[YearsAtCompany]]&lt;=10,"6-10 years",Table1[[#This Row],[YearsAtCompany]]&gt;10,"10+ years")</f>
        <v>3-5 years</v>
      </c>
      <c r="AI795">
        <v>2</v>
      </c>
      <c r="AJ795">
        <v>2</v>
      </c>
      <c r="AK795">
        <v>2</v>
      </c>
      <c r="AL795" t="str" cm="1">
        <f t="array" ref="AL795">_xlfn.IFS(Table1[[#This Row],[JobSatisfaction]]=1,"Low",Table1[[#This Row],[JobSatisfaction]]=2,"Medium",Table1[[#This Row],[JobSatisfaction]]=3,"High",Table1[[#This Row],[JobSatisfaction]]=4,"Very High")</f>
        <v>High</v>
      </c>
      <c r="AM795">
        <f>IF(Table1[[#This Row],[Attrition]]="Yes",1,0)</f>
        <v>0</v>
      </c>
    </row>
    <row r="796" spans="1:39" ht="13.8" x14ac:dyDescent="0.25">
      <c r="A796">
        <v>34</v>
      </c>
      <c r="B796" t="str" cm="1">
        <f t="array" ref="B796">_xlfn.IFS(Table1[[#This Row],[Age]]&lt;30,"Under 30",Table1[[#This Row],[Age]]&lt;=40,"30-40",Table1[[#This Row],[Age]]&lt;=50,"41-50",Table1[[#This Row],[Age]]&gt;50,"Over 50")</f>
        <v>30-40</v>
      </c>
      <c r="C796" t="s">
        <v>43</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t="str" cm="1">
        <f t="array" ref="AH796">_xlfn.IFS(Table1[[#This Row],[YearsAtCompany]]&lt;=2,"0-2 years",Table1[[#This Row],[YearsAtCompany]]&lt;=5,"3-5 years",Table1[[#This Row],[YearsAtCompany]]&lt;=10,"6-10 years",Table1[[#This Row],[YearsAtCompany]]&gt;10,"10+ years")</f>
        <v>6-10 years</v>
      </c>
      <c r="AI796">
        <v>2</v>
      </c>
      <c r="AJ796">
        <v>0</v>
      </c>
      <c r="AK796">
        <v>4</v>
      </c>
      <c r="AL796" t="str" cm="1">
        <f t="array" ref="AL796">_xlfn.IFS(Table1[[#This Row],[JobSatisfaction]]=1,"Low",Table1[[#This Row],[JobSatisfaction]]=2,"Medium",Table1[[#This Row],[JobSatisfaction]]=3,"High",Table1[[#This Row],[JobSatisfaction]]=4,"Very High")</f>
        <v>Very High</v>
      </c>
      <c r="AM796">
        <f>IF(Table1[[#This Row],[Attrition]]="Yes",1,0)</f>
        <v>0</v>
      </c>
    </row>
    <row r="797" spans="1:39" ht="13.8" x14ac:dyDescent="0.25">
      <c r="A797">
        <v>37</v>
      </c>
      <c r="B797" t="str" cm="1">
        <f t="array" ref="B797">_xlfn.IFS(Table1[[#This Row],[Age]]&lt;30,"Under 30",Table1[[#This Row],[Age]]&lt;=40,"30-40",Table1[[#This Row],[Age]]&lt;=50,"41-50",Table1[[#This Row],[Age]]&gt;50,"Over 50")</f>
        <v>30-40</v>
      </c>
      <c r="C797" t="s">
        <v>43</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t="str" cm="1">
        <f t="array" ref="AH797">_xlfn.IFS(Table1[[#This Row],[YearsAtCompany]]&lt;=2,"0-2 years",Table1[[#This Row],[YearsAtCompany]]&lt;=5,"3-5 years",Table1[[#This Row],[YearsAtCompany]]&lt;=10,"6-10 years",Table1[[#This Row],[YearsAtCompany]]&gt;10,"10+ years")</f>
        <v>0-2 years</v>
      </c>
      <c r="AI797">
        <v>0</v>
      </c>
      <c r="AJ797">
        <v>0</v>
      </c>
      <c r="AK797">
        <v>0</v>
      </c>
      <c r="AL797" t="str" cm="1">
        <f t="array" ref="AL797">_xlfn.IFS(Table1[[#This Row],[JobSatisfaction]]=1,"Low",Table1[[#This Row],[JobSatisfaction]]=2,"Medium",Table1[[#This Row],[JobSatisfaction]]=3,"High",Table1[[#This Row],[JobSatisfaction]]=4,"Very High")</f>
        <v>Very High</v>
      </c>
      <c r="AM797">
        <f>IF(Table1[[#This Row],[Attrition]]="Yes",1,0)</f>
        <v>0</v>
      </c>
    </row>
    <row r="798" spans="1:39" ht="13.8" x14ac:dyDescent="0.25">
      <c r="A798">
        <v>25</v>
      </c>
      <c r="B798" t="str" cm="1">
        <f t="array" ref="B798">_xlfn.IFS(Table1[[#This Row],[Age]]&lt;30,"Under 30",Table1[[#This Row],[Age]]&lt;=40,"30-40",Table1[[#This Row],[Age]]&lt;=50,"41-50",Table1[[#This Row],[Age]]&gt;50,"Over 50")</f>
        <v>Under 30</v>
      </c>
      <c r="C798" t="s">
        <v>35</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t="str" cm="1">
        <f t="array" ref="AH798">_xlfn.IFS(Table1[[#This Row],[YearsAtCompany]]&lt;=2,"0-2 years",Table1[[#This Row],[YearsAtCompany]]&lt;=5,"3-5 years",Table1[[#This Row],[YearsAtCompany]]&lt;=10,"6-10 years",Table1[[#This Row],[YearsAtCompany]]&gt;10,"10+ years")</f>
        <v>6-10 years</v>
      </c>
      <c r="AI798">
        <v>7</v>
      </c>
      <c r="AJ798">
        <v>5</v>
      </c>
      <c r="AK798">
        <v>6</v>
      </c>
      <c r="AL798" t="str" cm="1">
        <f t="array" ref="AL798">_xlfn.IFS(Table1[[#This Row],[JobSatisfaction]]=1,"Low",Table1[[#This Row],[JobSatisfaction]]=2,"Medium",Table1[[#This Row],[JobSatisfaction]]=3,"High",Table1[[#This Row],[JobSatisfaction]]=4,"Very High")</f>
        <v>Very High</v>
      </c>
      <c r="AM798">
        <f>IF(Table1[[#This Row],[Attrition]]="Yes",1,0)</f>
        <v>1</v>
      </c>
    </row>
    <row r="799" spans="1:39" ht="13.8" x14ac:dyDescent="0.25">
      <c r="A799">
        <v>26</v>
      </c>
      <c r="B799" t="str" cm="1">
        <f t="array" ref="B799">_xlfn.IFS(Table1[[#This Row],[Age]]&lt;30,"Under 30",Table1[[#This Row],[Age]]&lt;=40,"30-40",Table1[[#This Row],[Age]]&lt;=50,"41-50",Table1[[#This Row],[Age]]&gt;50,"Over 50")</f>
        <v>Under 30</v>
      </c>
      <c r="C799" t="s">
        <v>35</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t="str" cm="1">
        <f t="array" ref="AH799">_xlfn.IFS(Table1[[#This Row],[YearsAtCompany]]&lt;=2,"0-2 years",Table1[[#This Row],[YearsAtCompany]]&lt;=5,"3-5 years",Table1[[#This Row],[YearsAtCompany]]&lt;=10,"6-10 years",Table1[[#This Row],[YearsAtCompany]]&gt;10,"10+ years")</f>
        <v>0-2 years</v>
      </c>
      <c r="AI799">
        <v>1</v>
      </c>
      <c r="AJ799">
        <v>0</v>
      </c>
      <c r="AK799">
        <v>0</v>
      </c>
      <c r="AL799" t="str" cm="1">
        <f t="array" ref="AL799">_xlfn.IFS(Table1[[#This Row],[JobSatisfaction]]=1,"Low",Table1[[#This Row],[JobSatisfaction]]=2,"Medium",Table1[[#This Row],[JobSatisfaction]]=3,"High",Table1[[#This Row],[JobSatisfaction]]=4,"Very High")</f>
        <v>High</v>
      </c>
      <c r="AM799">
        <f>IF(Table1[[#This Row],[Attrition]]="Yes",1,0)</f>
        <v>1</v>
      </c>
    </row>
    <row r="800" spans="1:39" ht="13.8" x14ac:dyDescent="0.25">
      <c r="A800">
        <v>33</v>
      </c>
      <c r="B800" t="str" cm="1">
        <f t="array" ref="B800">_xlfn.IFS(Table1[[#This Row],[Age]]&lt;30,"Under 30",Table1[[#This Row],[Age]]&lt;=40,"30-40",Table1[[#This Row],[Age]]&lt;=50,"41-50",Table1[[#This Row],[Age]]&gt;50,"Over 50")</f>
        <v>30-40</v>
      </c>
      <c r="C800" t="s">
        <v>35</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t="str" cm="1">
        <f t="array" ref="AH800">_xlfn.IFS(Table1[[#This Row],[YearsAtCompany]]&lt;=2,"0-2 years",Table1[[#This Row],[YearsAtCompany]]&lt;=5,"3-5 years",Table1[[#This Row],[YearsAtCompany]]&lt;=10,"6-10 years",Table1[[#This Row],[YearsAtCompany]]&gt;10,"10+ years")</f>
        <v>0-2 years</v>
      </c>
      <c r="AI800">
        <v>2</v>
      </c>
      <c r="AJ800">
        <v>2</v>
      </c>
      <c r="AK800">
        <v>2</v>
      </c>
      <c r="AL800" t="str" cm="1">
        <f t="array" ref="AL800">_xlfn.IFS(Table1[[#This Row],[JobSatisfaction]]=1,"Low",Table1[[#This Row],[JobSatisfaction]]=2,"Medium",Table1[[#This Row],[JobSatisfaction]]=3,"High",Table1[[#This Row],[JobSatisfaction]]=4,"Very High")</f>
        <v>Medium</v>
      </c>
      <c r="AM800">
        <f>IF(Table1[[#This Row],[Attrition]]="Yes",1,0)</f>
        <v>1</v>
      </c>
    </row>
    <row r="801" spans="1:39" ht="13.8" x14ac:dyDescent="0.25">
      <c r="A801">
        <v>42</v>
      </c>
      <c r="B801" t="str" cm="1">
        <f t="array" ref="B801">_xlfn.IFS(Table1[[#This Row],[Age]]&lt;30,"Under 30",Table1[[#This Row],[Age]]&lt;=40,"30-40",Table1[[#This Row],[Age]]&lt;=50,"41-50",Table1[[#This Row],[Age]]&gt;50,"Over 50")</f>
        <v>41-50</v>
      </c>
      <c r="C801" t="s">
        <v>43</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t="str" cm="1">
        <f t="array" ref="AH801">_xlfn.IFS(Table1[[#This Row],[YearsAtCompany]]&lt;=2,"0-2 years",Table1[[#This Row],[YearsAtCompany]]&lt;=5,"3-5 years",Table1[[#This Row],[YearsAtCompany]]&lt;=10,"6-10 years",Table1[[#This Row],[YearsAtCompany]]&gt;10,"10+ years")</f>
        <v>10+ years</v>
      </c>
      <c r="AI801">
        <v>6</v>
      </c>
      <c r="AJ801">
        <v>13</v>
      </c>
      <c r="AK801">
        <v>7</v>
      </c>
      <c r="AL801" t="str" cm="1">
        <f t="array" ref="AL801">_xlfn.IFS(Table1[[#This Row],[JobSatisfaction]]=1,"Low",Table1[[#This Row],[JobSatisfaction]]=2,"Medium",Table1[[#This Row],[JobSatisfaction]]=3,"High",Table1[[#This Row],[JobSatisfaction]]=4,"Very High")</f>
        <v>Low</v>
      </c>
      <c r="AM801">
        <f>IF(Table1[[#This Row],[Attrition]]="Yes",1,0)</f>
        <v>0</v>
      </c>
    </row>
    <row r="802" spans="1:39" ht="13.8" x14ac:dyDescent="0.25">
      <c r="A802">
        <v>28</v>
      </c>
      <c r="B802" t="str" cm="1">
        <f t="array" ref="B802">_xlfn.IFS(Table1[[#This Row],[Age]]&lt;30,"Under 30",Table1[[#This Row],[Age]]&lt;=40,"30-40",Table1[[#This Row],[Age]]&lt;=50,"41-50",Table1[[#This Row],[Age]]&gt;50,"Over 50")</f>
        <v>Under 30</v>
      </c>
      <c r="C802" t="s">
        <v>35</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t="str" cm="1">
        <f t="array" ref="AH802">_xlfn.IFS(Table1[[#This Row],[YearsAtCompany]]&lt;=2,"0-2 years",Table1[[#This Row],[YearsAtCompany]]&lt;=5,"3-5 years",Table1[[#This Row],[YearsAtCompany]]&lt;=10,"6-10 years",Table1[[#This Row],[YearsAtCompany]]&gt;10,"10+ years")</f>
        <v>0-2 years</v>
      </c>
      <c r="AI802">
        <v>0</v>
      </c>
      <c r="AJ802">
        <v>0</v>
      </c>
      <c r="AK802">
        <v>0</v>
      </c>
      <c r="AL802" t="str" cm="1">
        <f t="array" ref="AL802">_xlfn.IFS(Table1[[#This Row],[JobSatisfaction]]=1,"Low",Table1[[#This Row],[JobSatisfaction]]=2,"Medium",Table1[[#This Row],[JobSatisfaction]]=3,"High",Table1[[#This Row],[JobSatisfaction]]=4,"Very High")</f>
        <v>Medium</v>
      </c>
      <c r="AM802">
        <f>IF(Table1[[#This Row],[Attrition]]="Yes",1,0)</f>
        <v>1</v>
      </c>
    </row>
    <row r="803" spans="1:39" ht="13.8" x14ac:dyDescent="0.25">
      <c r="A803">
        <v>50</v>
      </c>
      <c r="B803" t="str" cm="1">
        <f t="array" ref="B803">_xlfn.IFS(Table1[[#This Row],[Age]]&lt;30,"Under 30",Table1[[#This Row],[Age]]&lt;=40,"30-40",Table1[[#This Row],[Age]]&lt;=50,"41-50",Table1[[#This Row],[Age]]&gt;50,"Over 50")</f>
        <v>41-50</v>
      </c>
      <c r="C803" t="s">
        <v>35</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t="str" cm="1">
        <f t="array" ref="AH803">_xlfn.IFS(Table1[[#This Row],[YearsAtCompany]]&lt;=2,"0-2 years",Table1[[#This Row],[YearsAtCompany]]&lt;=5,"3-5 years",Table1[[#This Row],[YearsAtCompany]]&lt;=10,"6-10 years",Table1[[#This Row],[YearsAtCompany]]&gt;10,"10+ years")</f>
        <v>0-2 years</v>
      </c>
      <c r="AI803">
        <v>0</v>
      </c>
      <c r="AJ803">
        <v>0</v>
      </c>
      <c r="AK803">
        <v>0</v>
      </c>
      <c r="AL803" t="str" cm="1">
        <f t="array" ref="AL803">_xlfn.IFS(Table1[[#This Row],[JobSatisfaction]]=1,"Low",Table1[[#This Row],[JobSatisfaction]]=2,"Medium",Table1[[#This Row],[JobSatisfaction]]=3,"High",Table1[[#This Row],[JobSatisfaction]]=4,"Very High")</f>
        <v>High</v>
      </c>
      <c r="AM803">
        <f>IF(Table1[[#This Row],[Attrition]]="Yes",1,0)</f>
        <v>1</v>
      </c>
    </row>
    <row r="804" spans="1:39" ht="13.8" x14ac:dyDescent="0.25">
      <c r="A804">
        <v>33</v>
      </c>
      <c r="B804" t="str" cm="1">
        <f t="array" ref="B804">_xlfn.IFS(Table1[[#This Row],[Age]]&lt;30,"Under 30",Table1[[#This Row],[Age]]&lt;=40,"30-40",Table1[[#This Row],[Age]]&lt;=50,"41-50",Table1[[#This Row],[Age]]&gt;50,"Over 50")</f>
        <v>30-40</v>
      </c>
      <c r="C804" t="s">
        <v>43</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t="str" cm="1">
        <f t="array" ref="AH804">_xlfn.IFS(Table1[[#This Row],[YearsAtCompany]]&lt;=2,"0-2 years",Table1[[#This Row],[YearsAtCompany]]&lt;=5,"3-5 years",Table1[[#This Row],[YearsAtCompany]]&lt;=10,"6-10 years",Table1[[#This Row],[YearsAtCompany]]&gt;10,"10+ years")</f>
        <v>3-5 years</v>
      </c>
      <c r="AI804">
        <v>2</v>
      </c>
      <c r="AJ804">
        <v>0</v>
      </c>
      <c r="AK804">
        <v>2</v>
      </c>
      <c r="AL804" t="str" cm="1">
        <f t="array" ref="AL804">_xlfn.IFS(Table1[[#This Row],[JobSatisfaction]]=1,"Low",Table1[[#This Row],[JobSatisfaction]]=2,"Medium",Table1[[#This Row],[JobSatisfaction]]=3,"High",Table1[[#This Row],[JobSatisfaction]]=4,"Very High")</f>
        <v>Medium</v>
      </c>
      <c r="AM804">
        <f>IF(Table1[[#This Row],[Attrition]]="Yes",1,0)</f>
        <v>0</v>
      </c>
    </row>
    <row r="805" spans="1:39" ht="13.8" x14ac:dyDescent="0.25">
      <c r="A805">
        <v>34</v>
      </c>
      <c r="B805" t="str" cm="1">
        <f t="array" ref="B805">_xlfn.IFS(Table1[[#This Row],[Age]]&lt;30,"Under 30",Table1[[#This Row],[Age]]&lt;=40,"30-40",Table1[[#This Row],[Age]]&lt;=50,"41-50",Table1[[#This Row],[Age]]&gt;50,"Over 50")</f>
        <v>30-40</v>
      </c>
      <c r="C805" t="s">
        <v>43</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t="str" cm="1">
        <f t="array" ref="AH805">_xlfn.IFS(Table1[[#This Row],[YearsAtCompany]]&lt;=2,"0-2 years",Table1[[#This Row],[YearsAtCompany]]&lt;=5,"3-5 years",Table1[[#This Row],[YearsAtCompany]]&lt;=10,"6-10 years",Table1[[#This Row],[YearsAtCompany]]&gt;10,"10+ years")</f>
        <v>0-2 years</v>
      </c>
      <c r="AI805">
        <v>0</v>
      </c>
      <c r="AJ805">
        <v>0</v>
      </c>
      <c r="AK805">
        <v>0</v>
      </c>
      <c r="AL805" t="str" cm="1">
        <f t="array" ref="AL805">_xlfn.IFS(Table1[[#This Row],[JobSatisfaction]]=1,"Low",Table1[[#This Row],[JobSatisfaction]]=2,"Medium",Table1[[#This Row],[JobSatisfaction]]=3,"High",Table1[[#This Row],[JobSatisfaction]]=4,"Very High")</f>
        <v>Very High</v>
      </c>
      <c r="AM805">
        <f>IF(Table1[[#This Row],[Attrition]]="Yes",1,0)</f>
        <v>0</v>
      </c>
    </row>
    <row r="806" spans="1:39" ht="13.8" x14ac:dyDescent="0.25">
      <c r="A806">
        <v>48</v>
      </c>
      <c r="B806" t="str" cm="1">
        <f t="array" ref="B806">_xlfn.IFS(Table1[[#This Row],[Age]]&lt;30,"Under 30",Table1[[#This Row],[Age]]&lt;=40,"30-40",Table1[[#This Row],[Age]]&lt;=50,"41-50",Table1[[#This Row],[Age]]&gt;50,"Over 50")</f>
        <v>41-50</v>
      </c>
      <c r="C806" t="s">
        <v>43</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t="str" cm="1">
        <f t="array" ref="AH806">_xlfn.IFS(Table1[[#This Row],[YearsAtCompany]]&lt;=2,"0-2 years",Table1[[#This Row],[YearsAtCompany]]&lt;=5,"3-5 years",Table1[[#This Row],[YearsAtCompany]]&lt;=10,"6-10 years",Table1[[#This Row],[YearsAtCompany]]&gt;10,"10+ years")</f>
        <v>3-5 years</v>
      </c>
      <c r="AI806">
        <v>4</v>
      </c>
      <c r="AJ806">
        <v>2</v>
      </c>
      <c r="AK806">
        <v>1</v>
      </c>
      <c r="AL806" t="str" cm="1">
        <f t="array" ref="AL806">_xlfn.IFS(Table1[[#This Row],[JobSatisfaction]]=1,"Low",Table1[[#This Row],[JobSatisfaction]]=2,"Medium",Table1[[#This Row],[JobSatisfaction]]=3,"High",Table1[[#This Row],[JobSatisfaction]]=4,"Very High")</f>
        <v>Very High</v>
      </c>
      <c r="AM806">
        <f>IF(Table1[[#This Row],[Attrition]]="Yes",1,0)</f>
        <v>0</v>
      </c>
    </row>
    <row r="807" spans="1:39" ht="13.8" x14ac:dyDescent="0.25">
      <c r="A807">
        <v>45</v>
      </c>
      <c r="B807" t="str" cm="1">
        <f t="array" ref="B807">_xlfn.IFS(Table1[[#This Row],[Age]]&lt;30,"Under 30",Table1[[#This Row],[Age]]&lt;=40,"30-40",Table1[[#This Row],[Age]]&lt;=50,"41-50",Table1[[#This Row],[Age]]&gt;50,"Over 50")</f>
        <v>41-50</v>
      </c>
      <c r="C807" t="s">
        <v>43</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t="str" cm="1">
        <f t="array" ref="AH807">_xlfn.IFS(Table1[[#This Row],[YearsAtCompany]]&lt;=2,"0-2 years",Table1[[#This Row],[YearsAtCompany]]&lt;=5,"3-5 years",Table1[[#This Row],[YearsAtCompany]]&lt;=10,"6-10 years",Table1[[#This Row],[YearsAtCompany]]&gt;10,"10+ years")</f>
        <v>10+ years</v>
      </c>
      <c r="AI807">
        <v>10</v>
      </c>
      <c r="AJ807">
        <v>4</v>
      </c>
      <c r="AK807">
        <v>12</v>
      </c>
      <c r="AL807" t="str" cm="1">
        <f t="array" ref="AL807">_xlfn.IFS(Table1[[#This Row],[JobSatisfaction]]=1,"Low",Table1[[#This Row],[JobSatisfaction]]=2,"Medium",Table1[[#This Row],[JobSatisfaction]]=3,"High",Table1[[#This Row],[JobSatisfaction]]=4,"Very High")</f>
        <v>High</v>
      </c>
      <c r="AM807">
        <f>IF(Table1[[#This Row],[Attrition]]="Yes",1,0)</f>
        <v>0</v>
      </c>
    </row>
    <row r="808" spans="1:39" ht="13.8" x14ac:dyDescent="0.25">
      <c r="A808">
        <v>52</v>
      </c>
      <c r="B808" t="str" cm="1">
        <f t="array" ref="B808">_xlfn.IFS(Table1[[#This Row],[Age]]&lt;30,"Under 30",Table1[[#This Row],[Age]]&lt;=40,"30-40",Table1[[#This Row],[Age]]&lt;=50,"41-50",Table1[[#This Row],[Age]]&gt;50,"Over 50")</f>
        <v>Over 50</v>
      </c>
      <c r="C808" t="s">
        <v>43</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t="str" cm="1">
        <f t="array" ref="AH808">_xlfn.IFS(Table1[[#This Row],[YearsAtCompany]]&lt;=2,"0-2 years",Table1[[#This Row],[YearsAtCompany]]&lt;=5,"3-5 years",Table1[[#This Row],[YearsAtCompany]]&lt;=10,"6-10 years",Table1[[#This Row],[YearsAtCompany]]&gt;10,"10+ years")</f>
        <v>6-10 years</v>
      </c>
      <c r="AI808">
        <v>6</v>
      </c>
      <c r="AJ808">
        <v>4</v>
      </c>
      <c r="AK808">
        <v>0</v>
      </c>
      <c r="AL808" t="str" cm="1">
        <f t="array" ref="AL808">_xlfn.IFS(Table1[[#This Row],[JobSatisfaction]]=1,"Low",Table1[[#This Row],[JobSatisfaction]]=2,"Medium",Table1[[#This Row],[JobSatisfaction]]=3,"High",Table1[[#This Row],[JobSatisfaction]]=4,"Very High")</f>
        <v>Medium</v>
      </c>
      <c r="AM808">
        <f>IF(Table1[[#This Row],[Attrition]]="Yes",1,0)</f>
        <v>0</v>
      </c>
    </row>
    <row r="809" spans="1:39" ht="13.8" x14ac:dyDescent="0.25">
      <c r="A809">
        <v>38</v>
      </c>
      <c r="B809" t="str" cm="1">
        <f t="array" ref="B809">_xlfn.IFS(Table1[[#This Row],[Age]]&lt;30,"Under 30",Table1[[#This Row],[Age]]&lt;=40,"30-40",Table1[[#This Row],[Age]]&lt;=50,"41-50",Table1[[#This Row],[Age]]&gt;50,"Over 50")</f>
        <v>30-40</v>
      </c>
      <c r="C809" t="s">
        <v>43</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t="str" cm="1">
        <f t="array" ref="AH809">_xlfn.IFS(Table1[[#This Row],[YearsAtCompany]]&lt;=2,"0-2 years",Table1[[#This Row],[YearsAtCompany]]&lt;=5,"3-5 years",Table1[[#This Row],[YearsAtCompany]]&lt;=10,"6-10 years",Table1[[#This Row],[YearsAtCompany]]&gt;10,"10+ years")</f>
        <v>6-10 years</v>
      </c>
      <c r="AI809">
        <v>7</v>
      </c>
      <c r="AJ809">
        <v>2</v>
      </c>
      <c r="AK809">
        <v>7</v>
      </c>
      <c r="AL809" t="str" cm="1">
        <f t="array" ref="AL809">_xlfn.IFS(Table1[[#This Row],[JobSatisfaction]]=1,"Low",Table1[[#This Row],[JobSatisfaction]]=2,"Medium",Table1[[#This Row],[JobSatisfaction]]=3,"High",Table1[[#This Row],[JobSatisfaction]]=4,"Very High")</f>
        <v>High</v>
      </c>
      <c r="AM809">
        <f>IF(Table1[[#This Row],[Attrition]]="Yes",1,0)</f>
        <v>0</v>
      </c>
    </row>
    <row r="810" spans="1:39" ht="13.8" x14ac:dyDescent="0.25">
      <c r="A810">
        <v>29</v>
      </c>
      <c r="B810" t="str" cm="1">
        <f t="array" ref="B810">_xlfn.IFS(Table1[[#This Row],[Age]]&lt;30,"Under 30",Table1[[#This Row],[Age]]&lt;=40,"30-40",Table1[[#This Row],[Age]]&lt;=50,"41-50",Table1[[#This Row],[Age]]&gt;50,"Over 50")</f>
        <v>Under 30</v>
      </c>
      <c r="C810" t="s">
        <v>43</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t="str" cm="1">
        <f t="array" ref="AH810">_xlfn.IFS(Table1[[#This Row],[YearsAtCompany]]&lt;=2,"0-2 years",Table1[[#This Row],[YearsAtCompany]]&lt;=5,"3-5 years",Table1[[#This Row],[YearsAtCompany]]&lt;=10,"6-10 years",Table1[[#This Row],[YearsAtCompany]]&gt;10,"10+ years")</f>
        <v>6-10 years</v>
      </c>
      <c r="AI810">
        <v>5</v>
      </c>
      <c r="AJ810">
        <v>1</v>
      </c>
      <c r="AK810">
        <v>7</v>
      </c>
      <c r="AL810" t="str" cm="1">
        <f t="array" ref="AL810">_xlfn.IFS(Table1[[#This Row],[JobSatisfaction]]=1,"Low",Table1[[#This Row],[JobSatisfaction]]=2,"Medium",Table1[[#This Row],[JobSatisfaction]]=3,"High",Table1[[#This Row],[JobSatisfaction]]=4,"Very High")</f>
        <v>Very High</v>
      </c>
      <c r="AM810">
        <f>IF(Table1[[#This Row],[Attrition]]="Yes",1,0)</f>
        <v>0</v>
      </c>
    </row>
    <row r="811" spans="1:39" ht="13.8" x14ac:dyDescent="0.25">
      <c r="A811">
        <v>28</v>
      </c>
      <c r="B811" t="str" cm="1">
        <f t="array" ref="B811">_xlfn.IFS(Table1[[#This Row],[Age]]&lt;30,"Under 30",Table1[[#This Row],[Age]]&lt;=40,"30-40",Table1[[#This Row],[Age]]&lt;=50,"41-50",Table1[[#This Row],[Age]]&gt;50,"Over 50")</f>
        <v>Under 30</v>
      </c>
      <c r="C811" t="s">
        <v>43</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t="str" cm="1">
        <f t="array" ref="AH811">_xlfn.IFS(Table1[[#This Row],[YearsAtCompany]]&lt;=2,"0-2 years",Table1[[#This Row],[YearsAtCompany]]&lt;=5,"3-5 years",Table1[[#This Row],[YearsAtCompany]]&lt;=10,"6-10 years",Table1[[#This Row],[YearsAtCompany]]&gt;10,"10+ years")</f>
        <v>6-10 years</v>
      </c>
      <c r="AI811">
        <v>7</v>
      </c>
      <c r="AJ811">
        <v>1</v>
      </c>
      <c r="AK811">
        <v>7</v>
      </c>
      <c r="AL811" t="str" cm="1">
        <f t="array" ref="AL811">_xlfn.IFS(Table1[[#This Row],[JobSatisfaction]]=1,"Low",Table1[[#This Row],[JobSatisfaction]]=2,"Medium",Table1[[#This Row],[JobSatisfaction]]=3,"High",Table1[[#This Row],[JobSatisfaction]]=4,"Very High")</f>
        <v>Medium</v>
      </c>
      <c r="AM811">
        <f>IF(Table1[[#This Row],[Attrition]]="Yes",1,0)</f>
        <v>0</v>
      </c>
    </row>
    <row r="812" spans="1:39" ht="13.8" x14ac:dyDescent="0.25">
      <c r="A812">
        <v>46</v>
      </c>
      <c r="B812" t="str" cm="1">
        <f t="array" ref="B812">_xlfn.IFS(Table1[[#This Row],[Age]]&lt;30,"Under 30",Table1[[#This Row],[Age]]&lt;=40,"30-40",Table1[[#This Row],[Age]]&lt;=50,"41-50",Table1[[#This Row],[Age]]&gt;50,"Over 50")</f>
        <v>41-50</v>
      </c>
      <c r="C812" t="s">
        <v>43</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t="str" cm="1">
        <f t="array" ref="AH812">_xlfn.IFS(Table1[[#This Row],[YearsAtCompany]]&lt;=2,"0-2 years",Table1[[#This Row],[YearsAtCompany]]&lt;=5,"3-5 years",Table1[[#This Row],[YearsAtCompany]]&lt;=10,"6-10 years",Table1[[#This Row],[YearsAtCompany]]&gt;10,"10+ years")</f>
        <v>10+ years</v>
      </c>
      <c r="AI812">
        <v>9</v>
      </c>
      <c r="AJ812">
        <v>4</v>
      </c>
      <c r="AK812">
        <v>9</v>
      </c>
      <c r="AL812" t="str" cm="1">
        <f t="array" ref="AL812">_xlfn.IFS(Table1[[#This Row],[JobSatisfaction]]=1,"Low",Table1[[#This Row],[JobSatisfaction]]=2,"Medium",Table1[[#This Row],[JobSatisfaction]]=3,"High",Table1[[#This Row],[JobSatisfaction]]=4,"Very High")</f>
        <v>High</v>
      </c>
      <c r="AM812">
        <f>IF(Table1[[#This Row],[Attrition]]="Yes",1,0)</f>
        <v>0</v>
      </c>
    </row>
    <row r="813" spans="1:39" ht="13.8" x14ac:dyDescent="0.25">
      <c r="A813">
        <v>38</v>
      </c>
      <c r="B813" t="str" cm="1">
        <f t="array" ref="B813">_xlfn.IFS(Table1[[#This Row],[Age]]&lt;30,"Under 30",Table1[[#This Row],[Age]]&lt;=40,"30-40",Table1[[#This Row],[Age]]&lt;=50,"41-50",Table1[[#This Row],[Age]]&gt;50,"Over 50")</f>
        <v>30-40</v>
      </c>
      <c r="C813" t="s">
        <v>43</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t="str" cm="1">
        <f t="array" ref="AH813">_xlfn.IFS(Table1[[#This Row],[YearsAtCompany]]&lt;=2,"0-2 years",Table1[[#This Row],[YearsAtCompany]]&lt;=5,"3-5 years",Table1[[#This Row],[YearsAtCompany]]&lt;=10,"6-10 years",Table1[[#This Row],[YearsAtCompany]]&gt;10,"10+ years")</f>
        <v>0-2 years</v>
      </c>
      <c r="AI813">
        <v>0</v>
      </c>
      <c r="AJ813">
        <v>0</v>
      </c>
      <c r="AK813">
        <v>0</v>
      </c>
      <c r="AL813" t="str" cm="1">
        <f t="array" ref="AL813">_xlfn.IFS(Table1[[#This Row],[JobSatisfaction]]=1,"Low",Table1[[#This Row],[JobSatisfaction]]=2,"Medium",Table1[[#This Row],[JobSatisfaction]]=3,"High",Table1[[#This Row],[JobSatisfaction]]=4,"Very High")</f>
        <v>Medium</v>
      </c>
      <c r="AM813">
        <f>IF(Table1[[#This Row],[Attrition]]="Yes",1,0)</f>
        <v>0</v>
      </c>
    </row>
    <row r="814" spans="1:39" ht="13.8" x14ac:dyDescent="0.25">
      <c r="A814">
        <v>43</v>
      </c>
      <c r="B814" t="str" cm="1">
        <f t="array" ref="B814">_xlfn.IFS(Table1[[#This Row],[Age]]&lt;30,"Under 30",Table1[[#This Row],[Age]]&lt;=40,"30-40",Table1[[#This Row],[Age]]&lt;=50,"41-50",Table1[[#This Row],[Age]]&gt;50,"Over 50")</f>
        <v>41-50</v>
      </c>
      <c r="C814" t="s">
        <v>43</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t="str" cm="1">
        <f t="array" ref="AH814">_xlfn.IFS(Table1[[#This Row],[YearsAtCompany]]&lt;=2,"0-2 years",Table1[[#This Row],[YearsAtCompany]]&lt;=5,"3-5 years",Table1[[#This Row],[YearsAtCompany]]&lt;=10,"6-10 years",Table1[[#This Row],[YearsAtCompany]]&gt;10,"10+ years")</f>
        <v>6-10 years</v>
      </c>
      <c r="AI814">
        <v>7</v>
      </c>
      <c r="AJ814">
        <v>0</v>
      </c>
      <c r="AK814">
        <v>1</v>
      </c>
      <c r="AL814" t="str" cm="1">
        <f t="array" ref="AL814">_xlfn.IFS(Table1[[#This Row],[JobSatisfaction]]=1,"Low",Table1[[#This Row],[JobSatisfaction]]=2,"Medium",Table1[[#This Row],[JobSatisfaction]]=3,"High",Table1[[#This Row],[JobSatisfaction]]=4,"Very High")</f>
        <v>Low</v>
      </c>
      <c r="AM814">
        <f>IF(Table1[[#This Row],[Attrition]]="Yes",1,0)</f>
        <v>0</v>
      </c>
    </row>
    <row r="815" spans="1:39" ht="13.8" x14ac:dyDescent="0.25">
      <c r="A815">
        <v>39</v>
      </c>
      <c r="B815" t="str" cm="1">
        <f t="array" ref="B815">_xlfn.IFS(Table1[[#This Row],[Age]]&lt;30,"Under 30",Table1[[#This Row],[Age]]&lt;=40,"30-40",Table1[[#This Row],[Age]]&lt;=50,"41-50",Table1[[#This Row],[Age]]&gt;50,"Over 50")</f>
        <v>30-40</v>
      </c>
      <c r="C815" t="s">
        <v>35</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t="str" cm="1">
        <f t="array" ref="AH815">_xlfn.IFS(Table1[[#This Row],[YearsAtCompany]]&lt;=2,"0-2 years",Table1[[#This Row],[YearsAtCompany]]&lt;=5,"3-5 years",Table1[[#This Row],[YearsAtCompany]]&lt;=10,"6-10 years",Table1[[#This Row],[YearsAtCompany]]&gt;10,"10+ years")</f>
        <v>10+ years</v>
      </c>
      <c r="AI815">
        <v>7</v>
      </c>
      <c r="AJ815">
        <v>11</v>
      </c>
      <c r="AK815">
        <v>5</v>
      </c>
      <c r="AL815" t="str" cm="1">
        <f t="array" ref="AL815">_xlfn.IFS(Table1[[#This Row],[JobSatisfaction]]=1,"Low",Table1[[#This Row],[JobSatisfaction]]=2,"Medium",Table1[[#This Row],[JobSatisfaction]]=3,"High",Table1[[#This Row],[JobSatisfaction]]=4,"Very High")</f>
        <v>Very High</v>
      </c>
      <c r="AM815">
        <f>IF(Table1[[#This Row],[Attrition]]="Yes",1,0)</f>
        <v>1</v>
      </c>
    </row>
    <row r="816" spans="1:39" ht="13.8" x14ac:dyDescent="0.25">
      <c r="A816">
        <v>40</v>
      </c>
      <c r="B816" t="str" cm="1">
        <f t="array" ref="B816">_xlfn.IFS(Table1[[#This Row],[Age]]&lt;30,"Under 30",Table1[[#This Row],[Age]]&lt;=40,"30-40",Table1[[#This Row],[Age]]&lt;=50,"41-50",Table1[[#This Row],[Age]]&gt;50,"Over 50")</f>
        <v>30-40</v>
      </c>
      <c r="C816" t="s">
        <v>43</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t="str" cm="1">
        <f t="array" ref="AH816">_xlfn.IFS(Table1[[#This Row],[YearsAtCompany]]&lt;=2,"0-2 years",Table1[[#This Row],[YearsAtCompany]]&lt;=5,"3-5 years",Table1[[#This Row],[YearsAtCompany]]&lt;=10,"6-10 years",Table1[[#This Row],[YearsAtCompany]]&gt;10,"10+ years")</f>
        <v>10+ years</v>
      </c>
      <c r="AI816">
        <v>7</v>
      </c>
      <c r="AJ816">
        <v>4</v>
      </c>
      <c r="AK816">
        <v>9</v>
      </c>
      <c r="AL816" t="str" cm="1">
        <f t="array" ref="AL816">_xlfn.IFS(Table1[[#This Row],[JobSatisfaction]]=1,"Low",Table1[[#This Row],[JobSatisfaction]]=2,"Medium",Table1[[#This Row],[JobSatisfaction]]=3,"High",Table1[[#This Row],[JobSatisfaction]]=4,"Very High")</f>
        <v>High</v>
      </c>
      <c r="AM816">
        <f>IF(Table1[[#This Row],[Attrition]]="Yes",1,0)</f>
        <v>0</v>
      </c>
    </row>
    <row r="817" spans="1:39" ht="13.8" x14ac:dyDescent="0.25">
      <c r="A817">
        <v>21</v>
      </c>
      <c r="B817" t="str" cm="1">
        <f t="array" ref="B817">_xlfn.IFS(Table1[[#This Row],[Age]]&lt;30,"Under 30",Table1[[#This Row],[Age]]&lt;=40,"30-40",Table1[[#This Row],[Age]]&lt;=50,"41-50",Table1[[#This Row],[Age]]&gt;50,"Over 50")</f>
        <v>Under 30</v>
      </c>
      <c r="C817" t="s">
        <v>43</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t="str" cm="1">
        <f t="array" ref="AH817">_xlfn.IFS(Table1[[#This Row],[YearsAtCompany]]&lt;=2,"0-2 years",Table1[[#This Row],[YearsAtCompany]]&lt;=5,"3-5 years",Table1[[#This Row],[YearsAtCompany]]&lt;=10,"6-10 years",Table1[[#This Row],[YearsAtCompany]]&gt;10,"10+ years")</f>
        <v>0-2 years</v>
      </c>
      <c r="AI817">
        <v>2</v>
      </c>
      <c r="AJ817">
        <v>2</v>
      </c>
      <c r="AK817">
        <v>2</v>
      </c>
      <c r="AL817" t="str" cm="1">
        <f t="array" ref="AL817">_xlfn.IFS(Table1[[#This Row],[JobSatisfaction]]=1,"Low",Table1[[#This Row],[JobSatisfaction]]=2,"Medium",Table1[[#This Row],[JobSatisfaction]]=3,"High",Table1[[#This Row],[JobSatisfaction]]=4,"Very High")</f>
        <v>Medium</v>
      </c>
      <c r="AM817">
        <f>IF(Table1[[#This Row],[Attrition]]="Yes",1,0)</f>
        <v>0</v>
      </c>
    </row>
    <row r="818" spans="1:39" ht="13.8" x14ac:dyDescent="0.25">
      <c r="A818">
        <v>39</v>
      </c>
      <c r="B818" t="str" cm="1">
        <f t="array" ref="B818">_xlfn.IFS(Table1[[#This Row],[Age]]&lt;30,"Under 30",Table1[[#This Row],[Age]]&lt;=40,"30-40",Table1[[#This Row],[Age]]&lt;=50,"41-50",Table1[[#This Row],[Age]]&gt;50,"Over 50")</f>
        <v>30-40</v>
      </c>
      <c r="C818" t="s">
        <v>43</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t="str" cm="1">
        <f t="array" ref="AH818">_xlfn.IFS(Table1[[#This Row],[YearsAtCompany]]&lt;=2,"0-2 years",Table1[[#This Row],[YearsAtCompany]]&lt;=5,"3-5 years",Table1[[#This Row],[YearsAtCompany]]&lt;=10,"6-10 years",Table1[[#This Row],[YearsAtCompany]]&gt;10,"10+ years")</f>
        <v>3-5 years</v>
      </c>
      <c r="AI818">
        <v>4</v>
      </c>
      <c r="AJ818">
        <v>0</v>
      </c>
      <c r="AK818">
        <v>3</v>
      </c>
      <c r="AL818" t="str" cm="1">
        <f t="array" ref="AL818">_xlfn.IFS(Table1[[#This Row],[JobSatisfaction]]=1,"Low",Table1[[#This Row],[JobSatisfaction]]=2,"Medium",Table1[[#This Row],[JobSatisfaction]]=3,"High",Table1[[#This Row],[JobSatisfaction]]=4,"Very High")</f>
        <v>Medium</v>
      </c>
      <c r="AM818">
        <f>IF(Table1[[#This Row],[Attrition]]="Yes",1,0)</f>
        <v>0</v>
      </c>
    </row>
    <row r="819" spans="1:39" ht="13.8" x14ac:dyDescent="0.25">
      <c r="A819">
        <v>36</v>
      </c>
      <c r="B819" t="str" cm="1">
        <f t="array" ref="B819">_xlfn.IFS(Table1[[#This Row],[Age]]&lt;30,"Under 30",Table1[[#This Row],[Age]]&lt;=40,"30-40",Table1[[#This Row],[Age]]&lt;=50,"41-50",Table1[[#This Row],[Age]]&gt;50,"Over 50")</f>
        <v>30-40</v>
      </c>
      <c r="C819" t="s">
        <v>43</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t="str" cm="1">
        <f t="array" ref="AH819">_xlfn.IFS(Table1[[#This Row],[YearsAtCompany]]&lt;=2,"0-2 years",Table1[[#This Row],[YearsAtCompany]]&lt;=5,"3-5 years",Table1[[#This Row],[YearsAtCompany]]&lt;=10,"6-10 years",Table1[[#This Row],[YearsAtCompany]]&gt;10,"10+ years")</f>
        <v>10+ years</v>
      </c>
      <c r="AI819">
        <v>9</v>
      </c>
      <c r="AJ819">
        <v>0</v>
      </c>
      <c r="AK819">
        <v>9</v>
      </c>
      <c r="AL819" t="str" cm="1">
        <f t="array" ref="AL819">_xlfn.IFS(Table1[[#This Row],[JobSatisfaction]]=1,"Low",Table1[[#This Row],[JobSatisfaction]]=2,"Medium",Table1[[#This Row],[JobSatisfaction]]=3,"High",Table1[[#This Row],[JobSatisfaction]]=4,"Very High")</f>
        <v>Very High</v>
      </c>
      <c r="AM819">
        <f>IF(Table1[[#This Row],[Attrition]]="Yes",1,0)</f>
        <v>0</v>
      </c>
    </row>
    <row r="820" spans="1:39" ht="13.8" x14ac:dyDescent="0.25">
      <c r="A820">
        <v>31</v>
      </c>
      <c r="B820" t="str" cm="1">
        <f t="array" ref="B820">_xlfn.IFS(Table1[[#This Row],[Age]]&lt;30,"Under 30",Table1[[#This Row],[Age]]&lt;=40,"30-40",Table1[[#This Row],[Age]]&lt;=50,"41-50",Table1[[#This Row],[Age]]&gt;50,"Over 50")</f>
        <v>30-40</v>
      </c>
      <c r="C820" t="s">
        <v>43</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t="str" cm="1">
        <f t="array" ref="AH820">_xlfn.IFS(Table1[[#This Row],[YearsAtCompany]]&lt;=2,"0-2 years",Table1[[#This Row],[YearsAtCompany]]&lt;=5,"3-5 years",Table1[[#This Row],[YearsAtCompany]]&lt;=10,"6-10 years",Table1[[#This Row],[YearsAtCompany]]&gt;10,"10+ years")</f>
        <v>0-2 years</v>
      </c>
      <c r="AI820">
        <v>2</v>
      </c>
      <c r="AJ820">
        <v>2</v>
      </c>
      <c r="AK820">
        <v>2</v>
      </c>
      <c r="AL820" t="str" cm="1">
        <f t="array" ref="AL820">_xlfn.IFS(Table1[[#This Row],[JobSatisfaction]]=1,"Low",Table1[[#This Row],[JobSatisfaction]]=2,"Medium",Table1[[#This Row],[JobSatisfaction]]=3,"High",Table1[[#This Row],[JobSatisfaction]]=4,"Very High")</f>
        <v>Very High</v>
      </c>
      <c r="AM820">
        <f>IF(Table1[[#This Row],[Attrition]]="Yes",1,0)</f>
        <v>0</v>
      </c>
    </row>
    <row r="821" spans="1:39" ht="13.8" x14ac:dyDescent="0.25">
      <c r="A821">
        <v>28</v>
      </c>
      <c r="B821" t="str" cm="1">
        <f t="array" ref="B821">_xlfn.IFS(Table1[[#This Row],[Age]]&lt;30,"Under 30",Table1[[#This Row],[Age]]&lt;=40,"30-40",Table1[[#This Row],[Age]]&lt;=50,"41-50",Table1[[#This Row],[Age]]&gt;50,"Over 50")</f>
        <v>Under 30</v>
      </c>
      <c r="C821" t="s">
        <v>43</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t="str" cm="1">
        <f t="array" ref="AH821">_xlfn.IFS(Table1[[#This Row],[YearsAtCompany]]&lt;=2,"0-2 years",Table1[[#This Row],[YearsAtCompany]]&lt;=5,"3-5 years",Table1[[#This Row],[YearsAtCompany]]&lt;=10,"6-10 years",Table1[[#This Row],[YearsAtCompany]]&gt;10,"10+ years")</f>
        <v>3-5 years</v>
      </c>
      <c r="AI821">
        <v>3</v>
      </c>
      <c r="AJ821">
        <v>0</v>
      </c>
      <c r="AK821">
        <v>4</v>
      </c>
      <c r="AL821" t="str" cm="1">
        <f t="array" ref="AL821">_xlfn.IFS(Table1[[#This Row],[JobSatisfaction]]=1,"Low",Table1[[#This Row],[JobSatisfaction]]=2,"Medium",Table1[[#This Row],[JobSatisfaction]]=3,"High",Table1[[#This Row],[JobSatisfaction]]=4,"Very High")</f>
        <v>Medium</v>
      </c>
      <c r="AM821">
        <f>IF(Table1[[#This Row],[Attrition]]="Yes",1,0)</f>
        <v>0</v>
      </c>
    </row>
    <row r="822" spans="1:39" ht="13.8" x14ac:dyDescent="0.25">
      <c r="A822">
        <v>35</v>
      </c>
      <c r="B822" t="str" cm="1">
        <f t="array" ref="B822">_xlfn.IFS(Table1[[#This Row],[Age]]&lt;30,"Under 30",Table1[[#This Row],[Age]]&lt;=40,"30-40",Table1[[#This Row],[Age]]&lt;=50,"41-50",Table1[[#This Row],[Age]]&gt;50,"Over 50")</f>
        <v>30-40</v>
      </c>
      <c r="C822" t="s">
        <v>43</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t="str" cm="1">
        <f t="array" ref="AH822">_xlfn.IFS(Table1[[#This Row],[YearsAtCompany]]&lt;=2,"0-2 years",Table1[[#This Row],[YearsAtCompany]]&lt;=5,"3-5 years",Table1[[#This Row],[YearsAtCompany]]&lt;=10,"6-10 years",Table1[[#This Row],[YearsAtCompany]]&gt;10,"10+ years")</f>
        <v>3-5 years</v>
      </c>
      <c r="AI822">
        <v>2</v>
      </c>
      <c r="AJ822">
        <v>0</v>
      </c>
      <c r="AK822">
        <v>2</v>
      </c>
      <c r="AL822" t="str" cm="1">
        <f t="array" ref="AL822">_xlfn.IFS(Table1[[#This Row],[JobSatisfaction]]=1,"Low",Table1[[#This Row],[JobSatisfaction]]=2,"Medium",Table1[[#This Row],[JobSatisfaction]]=3,"High",Table1[[#This Row],[JobSatisfaction]]=4,"Very High")</f>
        <v>Very High</v>
      </c>
      <c r="AM822">
        <f>IF(Table1[[#This Row],[Attrition]]="Yes",1,0)</f>
        <v>0</v>
      </c>
    </row>
    <row r="823" spans="1:39" ht="13.8" x14ac:dyDescent="0.25">
      <c r="A823">
        <v>49</v>
      </c>
      <c r="B823" t="str" cm="1">
        <f t="array" ref="B823">_xlfn.IFS(Table1[[#This Row],[Age]]&lt;30,"Under 30",Table1[[#This Row],[Age]]&lt;=40,"30-40",Table1[[#This Row],[Age]]&lt;=50,"41-50",Table1[[#This Row],[Age]]&gt;50,"Over 50")</f>
        <v>41-50</v>
      </c>
      <c r="C823" t="s">
        <v>43</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t="str" cm="1">
        <f t="array" ref="AH823">_xlfn.IFS(Table1[[#This Row],[YearsAtCompany]]&lt;=2,"0-2 years",Table1[[#This Row],[YearsAtCompany]]&lt;=5,"3-5 years",Table1[[#This Row],[YearsAtCompany]]&lt;=10,"6-10 years",Table1[[#This Row],[YearsAtCompany]]&gt;10,"10+ years")</f>
        <v>6-10 years</v>
      </c>
      <c r="AI823">
        <v>8</v>
      </c>
      <c r="AJ823">
        <v>2</v>
      </c>
      <c r="AK823">
        <v>3</v>
      </c>
      <c r="AL823" t="str" cm="1">
        <f t="array" ref="AL823">_xlfn.IFS(Table1[[#This Row],[JobSatisfaction]]=1,"Low",Table1[[#This Row],[JobSatisfaction]]=2,"Medium",Table1[[#This Row],[JobSatisfaction]]=3,"High",Table1[[#This Row],[JobSatisfaction]]=4,"Very High")</f>
        <v>Medium</v>
      </c>
      <c r="AM823">
        <f>IF(Table1[[#This Row],[Attrition]]="Yes",1,0)</f>
        <v>0</v>
      </c>
    </row>
    <row r="824" spans="1:39" ht="13.8" x14ac:dyDescent="0.25">
      <c r="A824">
        <v>34</v>
      </c>
      <c r="B824" t="str" cm="1">
        <f t="array" ref="B824">_xlfn.IFS(Table1[[#This Row],[Age]]&lt;30,"Under 30",Table1[[#This Row],[Age]]&lt;=40,"30-40",Table1[[#This Row],[Age]]&lt;=50,"41-50",Table1[[#This Row],[Age]]&gt;50,"Over 50")</f>
        <v>30-40</v>
      </c>
      <c r="C824" t="s">
        <v>43</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t="str" cm="1">
        <f t="array" ref="AH824">_xlfn.IFS(Table1[[#This Row],[YearsAtCompany]]&lt;=2,"0-2 years",Table1[[#This Row],[YearsAtCompany]]&lt;=5,"3-5 years",Table1[[#This Row],[YearsAtCompany]]&lt;=10,"6-10 years",Table1[[#This Row],[YearsAtCompany]]&gt;10,"10+ years")</f>
        <v>3-5 years</v>
      </c>
      <c r="AI824">
        <v>2</v>
      </c>
      <c r="AJ824">
        <v>0</v>
      </c>
      <c r="AK824">
        <v>2</v>
      </c>
      <c r="AL824" t="str" cm="1">
        <f t="array" ref="AL824">_xlfn.IFS(Table1[[#This Row],[JobSatisfaction]]=1,"Low",Table1[[#This Row],[JobSatisfaction]]=2,"Medium",Table1[[#This Row],[JobSatisfaction]]=3,"High",Table1[[#This Row],[JobSatisfaction]]=4,"Very High")</f>
        <v>High</v>
      </c>
      <c r="AM824">
        <f>IF(Table1[[#This Row],[Attrition]]="Yes",1,0)</f>
        <v>0</v>
      </c>
    </row>
    <row r="825" spans="1:39" ht="13.8" x14ac:dyDescent="0.25">
      <c r="A825">
        <v>29</v>
      </c>
      <c r="B825" t="str" cm="1">
        <f t="array" ref="B825">_xlfn.IFS(Table1[[#This Row],[Age]]&lt;30,"Under 30",Table1[[#This Row],[Age]]&lt;=40,"30-40",Table1[[#This Row],[Age]]&lt;=50,"41-50",Table1[[#This Row],[Age]]&gt;50,"Over 50")</f>
        <v>Under 30</v>
      </c>
      <c r="C825" t="s">
        <v>43</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t="str" cm="1">
        <f t="array" ref="AH825">_xlfn.IFS(Table1[[#This Row],[YearsAtCompany]]&lt;=2,"0-2 years",Table1[[#This Row],[YearsAtCompany]]&lt;=5,"3-5 years",Table1[[#This Row],[YearsAtCompany]]&lt;=10,"6-10 years",Table1[[#This Row],[YearsAtCompany]]&gt;10,"10+ years")</f>
        <v>6-10 years</v>
      </c>
      <c r="AI825">
        <v>5</v>
      </c>
      <c r="AJ825">
        <v>1</v>
      </c>
      <c r="AK825">
        <v>1</v>
      </c>
      <c r="AL825" t="str" cm="1">
        <f t="array" ref="AL825">_xlfn.IFS(Table1[[#This Row],[JobSatisfaction]]=1,"Low",Table1[[#This Row],[JobSatisfaction]]=2,"Medium",Table1[[#This Row],[JobSatisfaction]]=3,"High",Table1[[#This Row],[JobSatisfaction]]=4,"Very High")</f>
        <v>Medium</v>
      </c>
      <c r="AM825">
        <f>IF(Table1[[#This Row],[Attrition]]="Yes",1,0)</f>
        <v>0</v>
      </c>
    </row>
    <row r="826" spans="1:39" ht="13.8" x14ac:dyDescent="0.25">
      <c r="A826">
        <v>42</v>
      </c>
      <c r="B826" t="str" cm="1">
        <f t="array" ref="B826">_xlfn.IFS(Table1[[#This Row],[Age]]&lt;30,"Under 30",Table1[[#This Row],[Age]]&lt;=40,"30-40",Table1[[#This Row],[Age]]&lt;=50,"41-50",Table1[[#This Row],[Age]]&gt;50,"Over 50")</f>
        <v>41-50</v>
      </c>
      <c r="C826" t="s">
        <v>43</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t="str" cm="1">
        <f t="array" ref="AH826">_xlfn.IFS(Table1[[#This Row],[YearsAtCompany]]&lt;=2,"0-2 years",Table1[[#This Row],[YearsAtCompany]]&lt;=5,"3-5 years",Table1[[#This Row],[YearsAtCompany]]&lt;=10,"6-10 years",Table1[[#This Row],[YearsAtCompany]]&gt;10,"10+ years")</f>
        <v>0-2 years</v>
      </c>
      <c r="AI826">
        <v>0</v>
      </c>
      <c r="AJ826">
        <v>0</v>
      </c>
      <c r="AK826">
        <v>0</v>
      </c>
      <c r="AL826" t="str" cm="1">
        <f t="array" ref="AL826">_xlfn.IFS(Table1[[#This Row],[JobSatisfaction]]=1,"Low",Table1[[#This Row],[JobSatisfaction]]=2,"Medium",Table1[[#This Row],[JobSatisfaction]]=3,"High",Table1[[#This Row],[JobSatisfaction]]=4,"Very High")</f>
        <v>Very High</v>
      </c>
      <c r="AM826">
        <f>IF(Table1[[#This Row],[Attrition]]="Yes",1,0)</f>
        <v>0</v>
      </c>
    </row>
    <row r="827" spans="1:39" ht="13.8" x14ac:dyDescent="0.25">
      <c r="A827">
        <v>29</v>
      </c>
      <c r="B827" t="str" cm="1">
        <f t="array" ref="B827">_xlfn.IFS(Table1[[#This Row],[Age]]&lt;30,"Under 30",Table1[[#This Row],[Age]]&lt;=40,"30-40",Table1[[#This Row],[Age]]&lt;=50,"41-50",Table1[[#This Row],[Age]]&gt;50,"Over 50")</f>
        <v>Under 30</v>
      </c>
      <c r="C827" t="s">
        <v>43</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t="str" cm="1">
        <f t="array" ref="AH827">_xlfn.IFS(Table1[[#This Row],[YearsAtCompany]]&lt;=2,"0-2 years",Table1[[#This Row],[YearsAtCompany]]&lt;=5,"3-5 years",Table1[[#This Row],[YearsAtCompany]]&lt;=10,"6-10 years",Table1[[#This Row],[YearsAtCompany]]&gt;10,"10+ years")</f>
        <v>6-10 years</v>
      </c>
      <c r="AI827">
        <v>7</v>
      </c>
      <c r="AJ827">
        <v>1</v>
      </c>
      <c r="AK827">
        <v>2</v>
      </c>
      <c r="AL827" t="str" cm="1">
        <f t="array" ref="AL827">_xlfn.IFS(Table1[[#This Row],[JobSatisfaction]]=1,"Low",Table1[[#This Row],[JobSatisfaction]]=2,"Medium",Table1[[#This Row],[JobSatisfaction]]=3,"High",Table1[[#This Row],[JobSatisfaction]]=4,"Very High")</f>
        <v>Very High</v>
      </c>
      <c r="AM827">
        <f>IF(Table1[[#This Row],[Attrition]]="Yes",1,0)</f>
        <v>0</v>
      </c>
    </row>
    <row r="828" spans="1:39" ht="13.8" x14ac:dyDescent="0.25">
      <c r="A828">
        <v>38</v>
      </c>
      <c r="B828" t="str" cm="1">
        <f t="array" ref="B828">_xlfn.IFS(Table1[[#This Row],[Age]]&lt;30,"Under 30",Table1[[#This Row],[Age]]&lt;=40,"30-40",Table1[[#This Row],[Age]]&lt;=50,"41-50",Table1[[#This Row],[Age]]&gt;50,"Over 50")</f>
        <v>30-40</v>
      </c>
      <c r="C828" t="s">
        <v>43</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t="str" cm="1">
        <f t="array" ref="AH828">_xlfn.IFS(Table1[[#This Row],[YearsAtCompany]]&lt;=2,"0-2 years",Table1[[#This Row],[YearsAtCompany]]&lt;=5,"3-5 years",Table1[[#This Row],[YearsAtCompany]]&lt;=10,"6-10 years",Table1[[#This Row],[YearsAtCompany]]&gt;10,"10+ years")</f>
        <v>6-10 years</v>
      </c>
      <c r="AI828">
        <v>6</v>
      </c>
      <c r="AJ828">
        <v>5</v>
      </c>
      <c r="AK828">
        <v>0</v>
      </c>
      <c r="AL828" t="str" cm="1">
        <f t="array" ref="AL828">_xlfn.IFS(Table1[[#This Row],[JobSatisfaction]]=1,"Low",Table1[[#This Row],[JobSatisfaction]]=2,"Medium",Table1[[#This Row],[JobSatisfaction]]=3,"High",Table1[[#This Row],[JobSatisfaction]]=4,"Very High")</f>
        <v>High</v>
      </c>
      <c r="AM828">
        <f>IF(Table1[[#This Row],[Attrition]]="Yes",1,0)</f>
        <v>0</v>
      </c>
    </row>
    <row r="829" spans="1:39" ht="13.8" x14ac:dyDescent="0.25">
      <c r="A829">
        <v>28</v>
      </c>
      <c r="B829" t="str" cm="1">
        <f t="array" ref="B829">_xlfn.IFS(Table1[[#This Row],[Age]]&lt;30,"Under 30",Table1[[#This Row],[Age]]&lt;=40,"30-40",Table1[[#This Row],[Age]]&lt;=50,"41-50",Table1[[#This Row],[Age]]&gt;50,"Over 50")</f>
        <v>Under 30</v>
      </c>
      <c r="C829" t="s">
        <v>43</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t="str" cm="1">
        <f t="array" ref="AH829">_xlfn.IFS(Table1[[#This Row],[YearsAtCompany]]&lt;=2,"0-2 years",Table1[[#This Row],[YearsAtCompany]]&lt;=5,"3-5 years",Table1[[#This Row],[YearsAtCompany]]&lt;=10,"6-10 years",Table1[[#This Row],[YearsAtCompany]]&gt;10,"10+ years")</f>
        <v>3-5 years</v>
      </c>
      <c r="AI829">
        <v>1</v>
      </c>
      <c r="AJ829">
        <v>0</v>
      </c>
      <c r="AK829">
        <v>2</v>
      </c>
      <c r="AL829" t="str" cm="1">
        <f t="array" ref="AL829">_xlfn.IFS(Table1[[#This Row],[JobSatisfaction]]=1,"Low",Table1[[#This Row],[JobSatisfaction]]=2,"Medium",Table1[[#This Row],[JobSatisfaction]]=3,"High",Table1[[#This Row],[JobSatisfaction]]=4,"Very High")</f>
        <v>High</v>
      </c>
      <c r="AM829">
        <f>IF(Table1[[#This Row],[Attrition]]="Yes",1,0)</f>
        <v>0</v>
      </c>
    </row>
    <row r="830" spans="1:39" ht="13.8" x14ac:dyDescent="0.25">
      <c r="A830">
        <v>18</v>
      </c>
      <c r="B830" t="str" cm="1">
        <f t="array" ref="B830">_xlfn.IFS(Table1[[#This Row],[Age]]&lt;30,"Under 30",Table1[[#This Row],[Age]]&lt;=40,"30-40",Table1[[#This Row],[Age]]&lt;=50,"41-50",Table1[[#This Row],[Age]]&gt;50,"Over 50")</f>
        <v>Under 30</v>
      </c>
      <c r="C830" t="s">
        <v>35</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t="str" cm="1">
        <f t="array" ref="AH830">_xlfn.IFS(Table1[[#This Row],[YearsAtCompany]]&lt;=2,"0-2 years",Table1[[#This Row],[YearsAtCompany]]&lt;=5,"3-5 years",Table1[[#This Row],[YearsAtCompany]]&lt;=10,"6-10 years",Table1[[#This Row],[YearsAtCompany]]&gt;10,"10+ years")</f>
        <v>0-2 years</v>
      </c>
      <c r="AI830">
        <v>0</v>
      </c>
      <c r="AJ830">
        <v>0</v>
      </c>
      <c r="AK830">
        <v>0</v>
      </c>
      <c r="AL830" t="str" cm="1">
        <f t="array" ref="AL830">_xlfn.IFS(Table1[[#This Row],[JobSatisfaction]]=1,"Low",Table1[[#This Row],[JobSatisfaction]]=2,"Medium",Table1[[#This Row],[JobSatisfaction]]=3,"High",Table1[[#This Row],[JobSatisfaction]]=4,"Very High")</f>
        <v>High</v>
      </c>
      <c r="AM830">
        <f>IF(Table1[[#This Row],[Attrition]]="Yes",1,0)</f>
        <v>1</v>
      </c>
    </row>
    <row r="831" spans="1:39" ht="13.8" x14ac:dyDescent="0.25">
      <c r="A831">
        <v>33</v>
      </c>
      <c r="B831" t="str" cm="1">
        <f t="array" ref="B831">_xlfn.IFS(Table1[[#This Row],[Age]]&lt;30,"Under 30",Table1[[#This Row],[Age]]&lt;=40,"30-40",Table1[[#This Row],[Age]]&lt;=50,"41-50",Table1[[#This Row],[Age]]&gt;50,"Over 50")</f>
        <v>30-40</v>
      </c>
      <c r="C831" t="s">
        <v>35</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t="str" cm="1">
        <f t="array" ref="AH831">_xlfn.IFS(Table1[[#This Row],[YearsAtCompany]]&lt;=2,"0-2 years",Table1[[#This Row],[YearsAtCompany]]&lt;=5,"3-5 years",Table1[[#This Row],[YearsAtCompany]]&lt;=10,"6-10 years",Table1[[#This Row],[YearsAtCompany]]&gt;10,"10+ years")</f>
        <v>3-5 years</v>
      </c>
      <c r="AI831">
        <v>2</v>
      </c>
      <c r="AJ831">
        <v>0</v>
      </c>
      <c r="AK831">
        <v>3</v>
      </c>
      <c r="AL831" t="str" cm="1">
        <f t="array" ref="AL831">_xlfn.IFS(Table1[[#This Row],[JobSatisfaction]]=1,"Low",Table1[[#This Row],[JobSatisfaction]]=2,"Medium",Table1[[#This Row],[JobSatisfaction]]=3,"High",Table1[[#This Row],[JobSatisfaction]]=4,"Very High")</f>
        <v>Low</v>
      </c>
      <c r="AM831">
        <f>IF(Table1[[#This Row],[Attrition]]="Yes",1,0)</f>
        <v>1</v>
      </c>
    </row>
    <row r="832" spans="1:39" ht="13.8" x14ac:dyDescent="0.25">
      <c r="A832">
        <v>41</v>
      </c>
      <c r="B832" t="str" cm="1">
        <f t="array" ref="B832">_xlfn.IFS(Table1[[#This Row],[Age]]&lt;30,"Under 30",Table1[[#This Row],[Age]]&lt;=40,"30-40",Table1[[#This Row],[Age]]&lt;=50,"41-50",Table1[[#This Row],[Age]]&gt;50,"Over 50")</f>
        <v>41-50</v>
      </c>
      <c r="C832" t="s">
        <v>43</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t="str" cm="1">
        <f t="array" ref="AH832">_xlfn.IFS(Table1[[#This Row],[YearsAtCompany]]&lt;=2,"0-2 years",Table1[[#This Row],[YearsAtCompany]]&lt;=5,"3-5 years",Table1[[#This Row],[YearsAtCompany]]&lt;=10,"6-10 years",Table1[[#This Row],[YearsAtCompany]]&gt;10,"10+ years")</f>
        <v>0-2 years</v>
      </c>
      <c r="AI832">
        <v>0</v>
      </c>
      <c r="AJ832">
        <v>0</v>
      </c>
      <c r="AK832">
        <v>0</v>
      </c>
      <c r="AL832" t="str" cm="1">
        <f t="array" ref="AL832">_xlfn.IFS(Table1[[#This Row],[JobSatisfaction]]=1,"Low",Table1[[#This Row],[JobSatisfaction]]=2,"Medium",Table1[[#This Row],[JobSatisfaction]]=3,"High",Table1[[#This Row],[JobSatisfaction]]=4,"Very High")</f>
        <v>Very High</v>
      </c>
      <c r="AM832">
        <f>IF(Table1[[#This Row],[Attrition]]="Yes",1,0)</f>
        <v>0</v>
      </c>
    </row>
    <row r="833" spans="1:39" ht="13.8" x14ac:dyDescent="0.25">
      <c r="A833">
        <v>31</v>
      </c>
      <c r="B833" t="str" cm="1">
        <f t="array" ref="B833">_xlfn.IFS(Table1[[#This Row],[Age]]&lt;30,"Under 30",Table1[[#This Row],[Age]]&lt;=40,"30-40",Table1[[#This Row],[Age]]&lt;=50,"41-50",Table1[[#This Row],[Age]]&gt;50,"Over 50")</f>
        <v>30-40</v>
      </c>
      <c r="C833" t="s">
        <v>35</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t="str" cm="1">
        <f t="array" ref="AH833">_xlfn.IFS(Table1[[#This Row],[YearsAtCompany]]&lt;=2,"0-2 years",Table1[[#This Row],[YearsAtCompany]]&lt;=5,"3-5 years",Table1[[#This Row],[YearsAtCompany]]&lt;=10,"6-10 years",Table1[[#This Row],[YearsAtCompany]]&gt;10,"10+ years")</f>
        <v>0-2 years</v>
      </c>
      <c r="AI833">
        <v>2</v>
      </c>
      <c r="AJ833">
        <v>2</v>
      </c>
      <c r="AK833">
        <v>2</v>
      </c>
      <c r="AL833" t="str" cm="1">
        <f t="array" ref="AL833">_xlfn.IFS(Table1[[#This Row],[JobSatisfaction]]=1,"Low",Table1[[#This Row],[JobSatisfaction]]=2,"Medium",Table1[[#This Row],[JobSatisfaction]]=3,"High",Table1[[#This Row],[JobSatisfaction]]=4,"Very High")</f>
        <v>High</v>
      </c>
      <c r="AM833">
        <f>IF(Table1[[#This Row],[Attrition]]="Yes",1,0)</f>
        <v>1</v>
      </c>
    </row>
    <row r="834" spans="1:39" ht="13.8" x14ac:dyDescent="0.25">
      <c r="A834">
        <v>37</v>
      </c>
      <c r="B834" t="str" cm="1">
        <f t="array" ref="B834">_xlfn.IFS(Table1[[#This Row],[Age]]&lt;30,"Under 30",Table1[[#This Row],[Age]]&lt;=40,"30-40",Table1[[#This Row],[Age]]&lt;=50,"41-50",Table1[[#This Row],[Age]]&gt;50,"Over 50")</f>
        <v>30-40</v>
      </c>
      <c r="C834" t="s">
        <v>43</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t="str" cm="1">
        <f t="array" ref="AH834">_xlfn.IFS(Table1[[#This Row],[YearsAtCompany]]&lt;=2,"0-2 years",Table1[[#This Row],[YearsAtCompany]]&lt;=5,"3-5 years",Table1[[#This Row],[YearsAtCompany]]&lt;=10,"6-10 years",Table1[[#This Row],[YearsAtCompany]]&gt;10,"10+ years")</f>
        <v>6-10 years</v>
      </c>
      <c r="AI834">
        <v>2</v>
      </c>
      <c r="AJ834">
        <v>1</v>
      </c>
      <c r="AK834">
        <v>3</v>
      </c>
      <c r="AL834" t="str" cm="1">
        <f t="array" ref="AL834">_xlfn.IFS(Table1[[#This Row],[JobSatisfaction]]=1,"Low",Table1[[#This Row],[JobSatisfaction]]=2,"Medium",Table1[[#This Row],[JobSatisfaction]]=3,"High",Table1[[#This Row],[JobSatisfaction]]=4,"Very High")</f>
        <v>Very High</v>
      </c>
      <c r="AM834">
        <f>IF(Table1[[#This Row],[Attrition]]="Yes",1,0)</f>
        <v>0</v>
      </c>
    </row>
    <row r="835" spans="1:39" ht="13.8" x14ac:dyDescent="0.25">
      <c r="A835">
        <v>27</v>
      </c>
      <c r="B835" t="str" cm="1">
        <f t="array" ref="B835">_xlfn.IFS(Table1[[#This Row],[Age]]&lt;30,"Under 30",Table1[[#This Row],[Age]]&lt;=40,"30-40",Table1[[#This Row],[Age]]&lt;=50,"41-50",Table1[[#This Row],[Age]]&gt;50,"Over 50")</f>
        <v>Under 30</v>
      </c>
      <c r="C835" t="s">
        <v>43</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t="str" cm="1">
        <f t="array" ref="AH835">_xlfn.IFS(Table1[[#This Row],[YearsAtCompany]]&lt;=2,"0-2 years",Table1[[#This Row],[YearsAtCompany]]&lt;=5,"3-5 years",Table1[[#This Row],[YearsAtCompany]]&lt;=10,"6-10 years",Table1[[#This Row],[YearsAtCompany]]&gt;10,"10+ years")</f>
        <v>3-5 years</v>
      </c>
      <c r="AI835">
        <v>2</v>
      </c>
      <c r="AJ835">
        <v>2</v>
      </c>
      <c r="AK835">
        <v>2</v>
      </c>
      <c r="AL835" t="str" cm="1">
        <f t="array" ref="AL835">_xlfn.IFS(Table1[[#This Row],[JobSatisfaction]]=1,"Low",Table1[[#This Row],[JobSatisfaction]]=2,"Medium",Table1[[#This Row],[JobSatisfaction]]=3,"High",Table1[[#This Row],[JobSatisfaction]]=4,"Very High")</f>
        <v>High</v>
      </c>
      <c r="AM835">
        <f>IF(Table1[[#This Row],[Attrition]]="Yes",1,0)</f>
        <v>0</v>
      </c>
    </row>
    <row r="836" spans="1:39" ht="13.8" x14ac:dyDescent="0.25">
      <c r="A836">
        <v>34</v>
      </c>
      <c r="B836" t="str" cm="1">
        <f t="array" ref="B836">_xlfn.IFS(Table1[[#This Row],[Age]]&lt;30,"Under 30",Table1[[#This Row],[Age]]&lt;=40,"30-40",Table1[[#This Row],[Age]]&lt;=50,"41-50",Table1[[#This Row],[Age]]&gt;50,"Over 50")</f>
        <v>30-40</v>
      </c>
      <c r="C836" t="s">
        <v>43</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t="str" cm="1">
        <f t="array" ref="AH836">_xlfn.IFS(Table1[[#This Row],[YearsAtCompany]]&lt;=2,"0-2 years",Table1[[#This Row],[YearsAtCompany]]&lt;=5,"3-5 years",Table1[[#This Row],[YearsAtCompany]]&lt;=10,"6-10 years",Table1[[#This Row],[YearsAtCompany]]&gt;10,"10+ years")</f>
        <v>6-10 years</v>
      </c>
      <c r="AI836">
        <v>5</v>
      </c>
      <c r="AJ836">
        <v>1</v>
      </c>
      <c r="AK836">
        <v>3</v>
      </c>
      <c r="AL836" t="str" cm="1">
        <f t="array" ref="AL836">_xlfn.IFS(Table1[[#This Row],[JobSatisfaction]]=1,"Low",Table1[[#This Row],[JobSatisfaction]]=2,"Medium",Table1[[#This Row],[JobSatisfaction]]=3,"High",Table1[[#This Row],[JobSatisfaction]]=4,"Very High")</f>
        <v>High</v>
      </c>
      <c r="AM836">
        <f>IF(Table1[[#This Row],[Attrition]]="Yes",1,0)</f>
        <v>0</v>
      </c>
    </row>
    <row r="837" spans="1:39" ht="13.8" x14ac:dyDescent="0.25">
      <c r="A837">
        <v>35</v>
      </c>
      <c r="B837" t="str" cm="1">
        <f t="array" ref="B837">_xlfn.IFS(Table1[[#This Row],[Age]]&lt;30,"Under 30",Table1[[#This Row],[Age]]&lt;=40,"30-40",Table1[[#This Row],[Age]]&lt;=50,"41-50",Table1[[#This Row],[Age]]&gt;50,"Over 50")</f>
        <v>30-40</v>
      </c>
      <c r="C837" t="s">
        <v>43</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t="str" cm="1">
        <f t="array" ref="AH837">_xlfn.IFS(Table1[[#This Row],[YearsAtCompany]]&lt;=2,"0-2 years",Table1[[#This Row],[YearsAtCompany]]&lt;=5,"3-5 years",Table1[[#This Row],[YearsAtCompany]]&lt;=10,"6-10 years",Table1[[#This Row],[YearsAtCompany]]&gt;10,"10+ years")</f>
        <v>3-5 years</v>
      </c>
      <c r="AI837">
        <v>4</v>
      </c>
      <c r="AJ837">
        <v>1</v>
      </c>
      <c r="AK837">
        <v>4</v>
      </c>
      <c r="AL837" t="str" cm="1">
        <f t="array" ref="AL837">_xlfn.IFS(Table1[[#This Row],[JobSatisfaction]]=1,"Low",Table1[[#This Row],[JobSatisfaction]]=2,"Medium",Table1[[#This Row],[JobSatisfaction]]=3,"High",Table1[[#This Row],[JobSatisfaction]]=4,"Very High")</f>
        <v>High</v>
      </c>
      <c r="AM837">
        <f>IF(Table1[[#This Row],[Attrition]]="Yes",1,0)</f>
        <v>0</v>
      </c>
    </row>
    <row r="838" spans="1:39" ht="13.8" x14ac:dyDescent="0.25">
      <c r="A838">
        <v>29</v>
      </c>
      <c r="B838" t="str" cm="1">
        <f t="array" ref="B838">_xlfn.IFS(Table1[[#This Row],[Age]]&lt;30,"Under 30",Table1[[#This Row],[Age]]&lt;=40,"30-40",Table1[[#This Row],[Age]]&lt;=50,"41-50",Table1[[#This Row],[Age]]&gt;50,"Over 50")</f>
        <v>Under 30</v>
      </c>
      <c r="C838" t="s">
        <v>35</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t="str" cm="1">
        <f t="array" ref="AH838">_xlfn.IFS(Table1[[#This Row],[YearsAtCompany]]&lt;=2,"0-2 years",Table1[[#This Row],[YearsAtCompany]]&lt;=5,"3-5 years",Table1[[#This Row],[YearsAtCompany]]&lt;=10,"6-10 years",Table1[[#This Row],[YearsAtCompany]]&gt;10,"10+ years")</f>
        <v>10+ years</v>
      </c>
      <c r="AI838">
        <v>8</v>
      </c>
      <c r="AJ838">
        <v>3</v>
      </c>
      <c r="AK838">
        <v>10</v>
      </c>
      <c r="AL838" t="str" cm="1">
        <f t="array" ref="AL838">_xlfn.IFS(Table1[[#This Row],[JobSatisfaction]]=1,"Low",Table1[[#This Row],[JobSatisfaction]]=2,"Medium",Table1[[#This Row],[JobSatisfaction]]=3,"High",Table1[[#This Row],[JobSatisfaction]]=4,"Very High")</f>
        <v>Low</v>
      </c>
      <c r="AM838">
        <f>IF(Table1[[#This Row],[Attrition]]="Yes",1,0)</f>
        <v>1</v>
      </c>
    </row>
    <row r="839" spans="1:39" ht="13.8" x14ac:dyDescent="0.25">
      <c r="A839">
        <v>40</v>
      </c>
      <c r="B839" t="str" cm="1">
        <f t="array" ref="B839">_xlfn.IFS(Table1[[#This Row],[Age]]&lt;30,"Under 30",Table1[[#This Row],[Age]]&lt;=40,"30-40",Table1[[#This Row],[Age]]&lt;=50,"41-50",Table1[[#This Row],[Age]]&gt;50,"Over 50")</f>
        <v>30-40</v>
      </c>
      <c r="C839" t="s">
        <v>43</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t="str" cm="1">
        <f t="array" ref="AH839">_xlfn.IFS(Table1[[#This Row],[YearsAtCompany]]&lt;=2,"0-2 years",Table1[[#This Row],[YearsAtCompany]]&lt;=5,"3-5 years",Table1[[#This Row],[YearsAtCompany]]&lt;=10,"6-10 years",Table1[[#This Row],[YearsAtCompany]]&gt;10,"10+ years")</f>
        <v>10+ years</v>
      </c>
      <c r="AI839">
        <v>7</v>
      </c>
      <c r="AJ839">
        <v>2</v>
      </c>
      <c r="AK839">
        <v>13</v>
      </c>
      <c r="AL839" t="str" cm="1">
        <f t="array" ref="AL839">_xlfn.IFS(Table1[[#This Row],[JobSatisfaction]]=1,"Low",Table1[[#This Row],[JobSatisfaction]]=2,"Medium",Table1[[#This Row],[JobSatisfaction]]=3,"High",Table1[[#This Row],[JobSatisfaction]]=4,"Very High")</f>
        <v>High</v>
      </c>
      <c r="AM839">
        <f>IF(Table1[[#This Row],[Attrition]]="Yes",1,0)</f>
        <v>0</v>
      </c>
    </row>
    <row r="840" spans="1:39" ht="13.8" x14ac:dyDescent="0.25">
      <c r="A840">
        <v>42</v>
      </c>
      <c r="B840" t="str" cm="1">
        <f t="array" ref="B840">_xlfn.IFS(Table1[[#This Row],[Age]]&lt;30,"Under 30",Table1[[#This Row],[Age]]&lt;=40,"30-40",Table1[[#This Row],[Age]]&lt;=50,"41-50",Table1[[#This Row],[Age]]&gt;50,"Over 50")</f>
        <v>41-50</v>
      </c>
      <c r="C840" t="s">
        <v>35</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t="str" cm="1">
        <f t="array" ref="AH840">_xlfn.IFS(Table1[[#This Row],[YearsAtCompany]]&lt;=2,"0-2 years",Table1[[#This Row],[YearsAtCompany]]&lt;=5,"3-5 years",Table1[[#This Row],[YearsAtCompany]]&lt;=10,"6-10 years",Table1[[#This Row],[YearsAtCompany]]&gt;10,"10+ years")</f>
        <v>10+ years</v>
      </c>
      <c r="AI840">
        <v>9</v>
      </c>
      <c r="AJ840">
        <v>13</v>
      </c>
      <c r="AK840">
        <v>14</v>
      </c>
      <c r="AL840" t="str" cm="1">
        <f t="array" ref="AL840">_xlfn.IFS(Table1[[#This Row],[JobSatisfaction]]=1,"Low",Table1[[#This Row],[JobSatisfaction]]=2,"Medium",Table1[[#This Row],[JobSatisfaction]]=3,"High",Table1[[#This Row],[JobSatisfaction]]=4,"Very High")</f>
        <v>Low</v>
      </c>
      <c r="AM840">
        <f>IF(Table1[[#This Row],[Attrition]]="Yes",1,0)</f>
        <v>1</v>
      </c>
    </row>
    <row r="841" spans="1:39" ht="13.8" x14ac:dyDescent="0.25">
      <c r="A841">
        <v>42</v>
      </c>
      <c r="B841" t="str" cm="1">
        <f t="array" ref="B841">_xlfn.IFS(Table1[[#This Row],[Age]]&lt;30,"Under 30",Table1[[#This Row],[Age]]&lt;=40,"30-40",Table1[[#This Row],[Age]]&lt;=50,"41-50",Table1[[#This Row],[Age]]&gt;50,"Over 50")</f>
        <v>41-50</v>
      </c>
      <c r="C841" t="s">
        <v>43</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t="str" cm="1">
        <f t="array" ref="AH841">_xlfn.IFS(Table1[[#This Row],[YearsAtCompany]]&lt;=2,"0-2 years",Table1[[#This Row],[YearsAtCompany]]&lt;=5,"3-5 years",Table1[[#This Row],[YearsAtCompany]]&lt;=10,"6-10 years",Table1[[#This Row],[YearsAtCompany]]&gt;10,"10+ years")</f>
        <v>6-10 years</v>
      </c>
      <c r="AI841">
        <v>4</v>
      </c>
      <c r="AJ841">
        <v>1</v>
      </c>
      <c r="AK841">
        <v>5</v>
      </c>
      <c r="AL841" t="str" cm="1">
        <f t="array" ref="AL841">_xlfn.IFS(Table1[[#This Row],[JobSatisfaction]]=1,"Low",Table1[[#This Row],[JobSatisfaction]]=2,"Medium",Table1[[#This Row],[JobSatisfaction]]=3,"High",Table1[[#This Row],[JobSatisfaction]]=4,"Very High")</f>
        <v>Low</v>
      </c>
      <c r="AM841">
        <f>IF(Table1[[#This Row],[Attrition]]="Yes",1,0)</f>
        <v>0</v>
      </c>
    </row>
    <row r="842" spans="1:39" ht="13.8" x14ac:dyDescent="0.25">
      <c r="A842">
        <v>35</v>
      </c>
      <c r="B842" t="str" cm="1">
        <f t="array" ref="B842">_xlfn.IFS(Table1[[#This Row],[Age]]&lt;30,"Under 30",Table1[[#This Row],[Age]]&lt;=40,"30-40",Table1[[#This Row],[Age]]&lt;=50,"41-50",Table1[[#This Row],[Age]]&gt;50,"Over 50")</f>
        <v>30-40</v>
      </c>
      <c r="C842" t="s">
        <v>43</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t="str" cm="1">
        <f t="array" ref="AH842">_xlfn.IFS(Table1[[#This Row],[YearsAtCompany]]&lt;=2,"0-2 years",Table1[[#This Row],[YearsAtCompany]]&lt;=5,"3-5 years",Table1[[#This Row],[YearsAtCompany]]&lt;=10,"6-10 years",Table1[[#This Row],[YearsAtCompany]]&gt;10,"10+ years")</f>
        <v>6-10 years</v>
      </c>
      <c r="AI842">
        <v>0</v>
      </c>
      <c r="AJ842">
        <v>1</v>
      </c>
      <c r="AK842">
        <v>7</v>
      </c>
      <c r="AL842" t="str" cm="1">
        <f t="array" ref="AL842">_xlfn.IFS(Table1[[#This Row],[JobSatisfaction]]=1,"Low",Table1[[#This Row],[JobSatisfaction]]=2,"Medium",Table1[[#This Row],[JobSatisfaction]]=3,"High",Table1[[#This Row],[JobSatisfaction]]=4,"Very High")</f>
        <v>High</v>
      </c>
      <c r="AM842">
        <f>IF(Table1[[#This Row],[Attrition]]="Yes",1,0)</f>
        <v>0</v>
      </c>
    </row>
    <row r="843" spans="1:39" ht="13.8" x14ac:dyDescent="0.25">
      <c r="A843">
        <v>24</v>
      </c>
      <c r="B843" t="str" cm="1">
        <f t="array" ref="B843">_xlfn.IFS(Table1[[#This Row],[Age]]&lt;30,"Under 30",Table1[[#This Row],[Age]]&lt;=40,"30-40",Table1[[#This Row],[Age]]&lt;=50,"41-50",Table1[[#This Row],[Age]]&gt;50,"Over 50")</f>
        <v>Under 30</v>
      </c>
      <c r="C843" t="s">
        <v>43</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t="str" cm="1">
        <f t="array" ref="AH843">_xlfn.IFS(Table1[[#This Row],[YearsAtCompany]]&lt;=2,"0-2 years",Table1[[#This Row],[YearsAtCompany]]&lt;=5,"3-5 years",Table1[[#This Row],[YearsAtCompany]]&lt;=10,"6-10 years",Table1[[#This Row],[YearsAtCompany]]&gt;10,"10+ years")</f>
        <v>3-5 years</v>
      </c>
      <c r="AI843">
        <v>3</v>
      </c>
      <c r="AJ843">
        <v>1</v>
      </c>
      <c r="AK843">
        <v>2</v>
      </c>
      <c r="AL843" t="str" cm="1">
        <f t="array" ref="AL843">_xlfn.IFS(Table1[[#This Row],[JobSatisfaction]]=1,"Low",Table1[[#This Row],[JobSatisfaction]]=2,"Medium",Table1[[#This Row],[JobSatisfaction]]=3,"High",Table1[[#This Row],[JobSatisfaction]]=4,"Very High")</f>
        <v>Medium</v>
      </c>
      <c r="AM843">
        <f>IF(Table1[[#This Row],[Attrition]]="Yes",1,0)</f>
        <v>0</v>
      </c>
    </row>
    <row r="844" spans="1:39" ht="13.8" x14ac:dyDescent="0.25">
      <c r="A844">
        <v>28</v>
      </c>
      <c r="B844" t="str" cm="1">
        <f t="array" ref="B844">_xlfn.IFS(Table1[[#This Row],[Age]]&lt;30,"Under 30",Table1[[#This Row],[Age]]&lt;=40,"30-40",Table1[[#This Row],[Age]]&lt;=50,"41-50",Table1[[#This Row],[Age]]&gt;50,"Over 50")</f>
        <v>Under 30</v>
      </c>
      <c r="C844" t="s">
        <v>35</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t="str" cm="1">
        <f t="array" ref="AH844">_xlfn.IFS(Table1[[#This Row],[YearsAtCompany]]&lt;=2,"0-2 years",Table1[[#This Row],[YearsAtCompany]]&lt;=5,"3-5 years",Table1[[#This Row],[YearsAtCompany]]&lt;=10,"6-10 years",Table1[[#This Row],[YearsAtCompany]]&gt;10,"10+ years")</f>
        <v>0-2 years</v>
      </c>
      <c r="AI844">
        <v>1</v>
      </c>
      <c r="AJ844">
        <v>0</v>
      </c>
      <c r="AK844">
        <v>0</v>
      </c>
      <c r="AL844" t="str" cm="1">
        <f t="array" ref="AL844">_xlfn.IFS(Table1[[#This Row],[JobSatisfaction]]=1,"Low",Table1[[#This Row],[JobSatisfaction]]=2,"Medium",Table1[[#This Row],[JobSatisfaction]]=3,"High",Table1[[#This Row],[JobSatisfaction]]=4,"Very High")</f>
        <v>Very High</v>
      </c>
      <c r="AM844">
        <f>IF(Table1[[#This Row],[Attrition]]="Yes",1,0)</f>
        <v>1</v>
      </c>
    </row>
    <row r="845" spans="1:39" ht="13.8" x14ac:dyDescent="0.25">
      <c r="A845">
        <v>26</v>
      </c>
      <c r="B845" t="str" cm="1">
        <f t="array" ref="B845">_xlfn.IFS(Table1[[#This Row],[Age]]&lt;30,"Under 30",Table1[[#This Row],[Age]]&lt;=40,"30-40",Table1[[#This Row],[Age]]&lt;=50,"41-50",Table1[[#This Row],[Age]]&gt;50,"Over 50")</f>
        <v>Under 30</v>
      </c>
      <c r="C845" t="s">
        <v>43</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t="str" cm="1">
        <f t="array" ref="AH845">_xlfn.IFS(Table1[[#This Row],[YearsAtCompany]]&lt;=2,"0-2 years",Table1[[#This Row],[YearsAtCompany]]&lt;=5,"3-5 years",Table1[[#This Row],[YearsAtCompany]]&lt;=10,"6-10 years",Table1[[#This Row],[YearsAtCompany]]&gt;10,"10+ years")</f>
        <v>6-10 years</v>
      </c>
      <c r="AI845">
        <v>7</v>
      </c>
      <c r="AJ845">
        <v>0</v>
      </c>
      <c r="AK845">
        <v>7</v>
      </c>
      <c r="AL845" t="str" cm="1">
        <f t="array" ref="AL845">_xlfn.IFS(Table1[[#This Row],[JobSatisfaction]]=1,"Low",Table1[[#This Row],[JobSatisfaction]]=2,"Medium",Table1[[#This Row],[JobSatisfaction]]=3,"High",Table1[[#This Row],[JobSatisfaction]]=4,"Very High")</f>
        <v>Very High</v>
      </c>
      <c r="AM845">
        <f>IF(Table1[[#This Row],[Attrition]]="Yes",1,0)</f>
        <v>0</v>
      </c>
    </row>
    <row r="846" spans="1:39" ht="13.8" x14ac:dyDescent="0.25">
      <c r="A846">
        <v>30</v>
      </c>
      <c r="B846" t="str" cm="1">
        <f t="array" ref="B846">_xlfn.IFS(Table1[[#This Row],[Age]]&lt;30,"Under 30",Table1[[#This Row],[Age]]&lt;=40,"30-40",Table1[[#This Row],[Age]]&lt;=50,"41-50",Table1[[#This Row],[Age]]&gt;50,"Over 50")</f>
        <v>30-40</v>
      </c>
      <c r="C846" t="s">
        <v>43</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t="str" cm="1">
        <f t="array" ref="AH846">_xlfn.IFS(Table1[[#This Row],[YearsAtCompany]]&lt;=2,"0-2 years",Table1[[#This Row],[YearsAtCompany]]&lt;=5,"3-5 years",Table1[[#This Row],[YearsAtCompany]]&lt;=10,"6-10 years",Table1[[#This Row],[YearsAtCompany]]&gt;10,"10+ years")</f>
        <v>6-10 years</v>
      </c>
      <c r="AI846">
        <v>3</v>
      </c>
      <c r="AJ846">
        <v>1</v>
      </c>
      <c r="AK846">
        <v>4</v>
      </c>
      <c r="AL846" t="str" cm="1">
        <f t="array" ref="AL846">_xlfn.IFS(Table1[[#This Row],[JobSatisfaction]]=1,"Low",Table1[[#This Row],[JobSatisfaction]]=2,"Medium",Table1[[#This Row],[JobSatisfaction]]=3,"High",Table1[[#This Row],[JobSatisfaction]]=4,"Very High")</f>
        <v>High</v>
      </c>
      <c r="AM846">
        <f>IF(Table1[[#This Row],[Attrition]]="Yes",1,0)</f>
        <v>0</v>
      </c>
    </row>
    <row r="847" spans="1:39" ht="13.8" x14ac:dyDescent="0.25">
      <c r="A847">
        <v>40</v>
      </c>
      <c r="B847" t="str" cm="1">
        <f t="array" ref="B847">_xlfn.IFS(Table1[[#This Row],[Age]]&lt;30,"Under 30",Table1[[#This Row],[Age]]&lt;=40,"30-40",Table1[[#This Row],[Age]]&lt;=50,"41-50",Table1[[#This Row],[Age]]&gt;50,"Over 50")</f>
        <v>30-40</v>
      </c>
      <c r="C847" t="s">
        <v>43</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t="str" cm="1">
        <f t="array" ref="AH847">_xlfn.IFS(Table1[[#This Row],[YearsAtCompany]]&lt;=2,"0-2 years",Table1[[#This Row],[YearsAtCompany]]&lt;=5,"3-5 years",Table1[[#This Row],[YearsAtCompany]]&lt;=10,"6-10 years",Table1[[#This Row],[YearsAtCompany]]&gt;10,"10+ years")</f>
        <v>0-2 years</v>
      </c>
      <c r="AI847">
        <v>1</v>
      </c>
      <c r="AJ847">
        <v>0</v>
      </c>
      <c r="AK847">
        <v>0</v>
      </c>
      <c r="AL847" t="str" cm="1">
        <f t="array" ref="AL847">_xlfn.IFS(Table1[[#This Row],[JobSatisfaction]]=1,"Low",Table1[[#This Row],[JobSatisfaction]]=2,"Medium",Table1[[#This Row],[JobSatisfaction]]=3,"High",Table1[[#This Row],[JobSatisfaction]]=4,"Very High")</f>
        <v>Very High</v>
      </c>
      <c r="AM847">
        <f>IF(Table1[[#This Row],[Attrition]]="Yes",1,0)</f>
        <v>0</v>
      </c>
    </row>
    <row r="848" spans="1:39" ht="13.8" x14ac:dyDescent="0.25">
      <c r="A848">
        <v>35</v>
      </c>
      <c r="B848" t="str" cm="1">
        <f t="array" ref="B848">_xlfn.IFS(Table1[[#This Row],[Age]]&lt;30,"Under 30",Table1[[#This Row],[Age]]&lt;=40,"30-40",Table1[[#This Row],[Age]]&lt;=50,"41-50",Table1[[#This Row],[Age]]&gt;50,"Over 50")</f>
        <v>30-40</v>
      </c>
      <c r="C848" t="s">
        <v>43</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t="str" cm="1">
        <f t="array" ref="AH848">_xlfn.IFS(Table1[[#This Row],[YearsAtCompany]]&lt;=2,"0-2 years",Table1[[#This Row],[YearsAtCompany]]&lt;=5,"3-5 years",Table1[[#This Row],[YearsAtCompany]]&lt;=10,"6-10 years",Table1[[#This Row],[YearsAtCompany]]&gt;10,"10+ years")</f>
        <v>6-10 years</v>
      </c>
      <c r="AI848">
        <v>7</v>
      </c>
      <c r="AJ848">
        <v>6</v>
      </c>
      <c r="AK848">
        <v>4</v>
      </c>
      <c r="AL848" t="str" cm="1">
        <f t="array" ref="AL848">_xlfn.IFS(Table1[[#This Row],[JobSatisfaction]]=1,"Low",Table1[[#This Row],[JobSatisfaction]]=2,"Medium",Table1[[#This Row],[JobSatisfaction]]=3,"High",Table1[[#This Row],[JobSatisfaction]]=4,"Very High")</f>
        <v>Medium</v>
      </c>
      <c r="AM848">
        <f>IF(Table1[[#This Row],[Attrition]]="Yes",1,0)</f>
        <v>0</v>
      </c>
    </row>
    <row r="849" spans="1:39" ht="13.8" x14ac:dyDescent="0.25">
      <c r="A849">
        <v>34</v>
      </c>
      <c r="B849" t="str" cm="1">
        <f t="array" ref="B849">_xlfn.IFS(Table1[[#This Row],[Age]]&lt;30,"Under 30",Table1[[#This Row],[Age]]&lt;=40,"30-40",Table1[[#This Row],[Age]]&lt;=50,"41-50",Table1[[#This Row],[Age]]&gt;50,"Over 50")</f>
        <v>30-40</v>
      </c>
      <c r="C849" t="s">
        <v>43</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t="str" cm="1">
        <f t="array" ref="AH849">_xlfn.IFS(Table1[[#This Row],[YearsAtCompany]]&lt;=2,"0-2 years",Table1[[#This Row],[YearsAtCompany]]&lt;=5,"3-5 years",Table1[[#This Row],[YearsAtCompany]]&lt;=10,"6-10 years",Table1[[#This Row],[YearsAtCompany]]&gt;10,"10+ years")</f>
        <v>10+ years</v>
      </c>
      <c r="AI849">
        <v>9</v>
      </c>
      <c r="AJ849">
        <v>4</v>
      </c>
      <c r="AK849">
        <v>9</v>
      </c>
      <c r="AL849" t="str" cm="1">
        <f t="array" ref="AL849">_xlfn.IFS(Table1[[#This Row],[JobSatisfaction]]=1,"Low",Table1[[#This Row],[JobSatisfaction]]=2,"Medium",Table1[[#This Row],[JobSatisfaction]]=3,"High",Table1[[#This Row],[JobSatisfaction]]=4,"Very High")</f>
        <v>Low</v>
      </c>
      <c r="AM849">
        <f>IF(Table1[[#This Row],[Attrition]]="Yes",1,0)</f>
        <v>0</v>
      </c>
    </row>
    <row r="850" spans="1:39" ht="13.8" x14ac:dyDescent="0.25">
      <c r="A850">
        <v>35</v>
      </c>
      <c r="B850" t="str" cm="1">
        <f t="array" ref="B850">_xlfn.IFS(Table1[[#This Row],[Age]]&lt;30,"Under 30",Table1[[#This Row],[Age]]&lt;=40,"30-40",Table1[[#This Row],[Age]]&lt;=50,"41-50",Table1[[#This Row],[Age]]&gt;50,"Over 50")</f>
        <v>30-40</v>
      </c>
      <c r="C850" t="s">
        <v>43</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t="str" cm="1">
        <f t="array" ref="AH850">_xlfn.IFS(Table1[[#This Row],[YearsAtCompany]]&lt;=2,"0-2 years",Table1[[#This Row],[YearsAtCompany]]&lt;=5,"3-5 years",Table1[[#This Row],[YearsAtCompany]]&lt;=10,"6-10 years",Table1[[#This Row],[YearsAtCompany]]&gt;10,"10+ years")</f>
        <v>0-2 years</v>
      </c>
      <c r="AI850">
        <v>2</v>
      </c>
      <c r="AJ850">
        <v>2</v>
      </c>
      <c r="AK850">
        <v>2</v>
      </c>
      <c r="AL850" t="str" cm="1">
        <f t="array" ref="AL850">_xlfn.IFS(Table1[[#This Row],[JobSatisfaction]]=1,"Low",Table1[[#This Row],[JobSatisfaction]]=2,"Medium",Table1[[#This Row],[JobSatisfaction]]=3,"High",Table1[[#This Row],[JobSatisfaction]]=4,"Very High")</f>
        <v>Very High</v>
      </c>
      <c r="AM850">
        <f>IF(Table1[[#This Row],[Attrition]]="Yes",1,0)</f>
        <v>0</v>
      </c>
    </row>
    <row r="851" spans="1:39" ht="13.8" x14ac:dyDescent="0.25">
      <c r="A851">
        <v>43</v>
      </c>
      <c r="B851" t="str" cm="1">
        <f t="array" ref="B851">_xlfn.IFS(Table1[[#This Row],[Age]]&lt;30,"Under 30",Table1[[#This Row],[Age]]&lt;=40,"30-40",Table1[[#This Row],[Age]]&lt;=50,"41-50",Table1[[#This Row],[Age]]&gt;50,"Over 50")</f>
        <v>41-50</v>
      </c>
      <c r="C851" t="s">
        <v>35</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t="str" cm="1">
        <f t="array" ref="AH851">_xlfn.IFS(Table1[[#This Row],[YearsAtCompany]]&lt;=2,"0-2 years",Table1[[#This Row],[YearsAtCompany]]&lt;=5,"3-5 years",Table1[[#This Row],[YearsAtCompany]]&lt;=10,"6-10 years",Table1[[#This Row],[YearsAtCompany]]&gt;10,"10+ years")</f>
        <v>3-5 years</v>
      </c>
      <c r="AI851">
        <v>3</v>
      </c>
      <c r="AJ851">
        <v>1</v>
      </c>
      <c r="AK851">
        <v>3</v>
      </c>
      <c r="AL851" t="str" cm="1">
        <f t="array" ref="AL851">_xlfn.IFS(Table1[[#This Row],[JobSatisfaction]]=1,"Low",Table1[[#This Row],[JobSatisfaction]]=2,"Medium",Table1[[#This Row],[JobSatisfaction]]=3,"High",Table1[[#This Row],[JobSatisfaction]]=4,"Very High")</f>
        <v>High</v>
      </c>
      <c r="AM851">
        <f>IF(Table1[[#This Row],[Attrition]]="Yes",1,0)</f>
        <v>1</v>
      </c>
    </row>
    <row r="852" spans="1:39" ht="13.8" x14ac:dyDescent="0.25">
      <c r="A852">
        <v>32</v>
      </c>
      <c r="B852" t="str" cm="1">
        <f t="array" ref="B852">_xlfn.IFS(Table1[[#This Row],[Age]]&lt;30,"Under 30",Table1[[#This Row],[Age]]&lt;=40,"30-40",Table1[[#This Row],[Age]]&lt;=50,"41-50",Table1[[#This Row],[Age]]&gt;50,"Over 50")</f>
        <v>30-40</v>
      </c>
      <c r="C852" t="s">
        <v>43</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t="str" cm="1">
        <f t="array" ref="AH852">_xlfn.IFS(Table1[[#This Row],[YearsAtCompany]]&lt;=2,"0-2 years",Table1[[#This Row],[YearsAtCompany]]&lt;=5,"3-5 years",Table1[[#This Row],[YearsAtCompany]]&lt;=10,"6-10 years",Table1[[#This Row],[YearsAtCompany]]&gt;10,"10+ years")</f>
        <v>0-2 years</v>
      </c>
      <c r="AI852">
        <v>0</v>
      </c>
      <c r="AJ852">
        <v>0</v>
      </c>
      <c r="AK852">
        <v>0</v>
      </c>
      <c r="AL852" t="str" cm="1">
        <f t="array" ref="AL852">_xlfn.IFS(Table1[[#This Row],[JobSatisfaction]]=1,"Low",Table1[[#This Row],[JobSatisfaction]]=2,"Medium",Table1[[#This Row],[JobSatisfaction]]=3,"High",Table1[[#This Row],[JobSatisfaction]]=4,"Very High")</f>
        <v>Low</v>
      </c>
      <c r="AM852">
        <f>IF(Table1[[#This Row],[Attrition]]="Yes",1,0)</f>
        <v>0</v>
      </c>
    </row>
    <row r="853" spans="1:39" ht="13.8" x14ac:dyDescent="0.25">
      <c r="A853">
        <v>56</v>
      </c>
      <c r="B853" t="str" cm="1">
        <f t="array" ref="B853">_xlfn.IFS(Table1[[#This Row],[Age]]&lt;30,"Under 30",Table1[[#This Row],[Age]]&lt;=40,"30-40",Table1[[#This Row],[Age]]&lt;=50,"41-50",Table1[[#This Row],[Age]]&gt;50,"Over 50")</f>
        <v>Over 50</v>
      </c>
      <c r="C853" t="s">
        <v>43</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t="str" cm="1">
        <f t="array" ref="AH853">_xlfn.IFS(Table1[[#This Row],[YearsAtCompany]]&lt;=2,"0-2 years",Table1[[#This Row],[YearsAtCompany]]&lt;=5,"3-5 years",Table1[[#This Row],[YearsAtCompany]]&lt;=10,"6-10 years",Table1[[#This Row],[YearsAtCompany]]&gt;10,"10+ years")</f>
        <v>3-5 years</v>
      </c>
      <c r="AI853">
        <v>2</v>
      </c>
      <c r="AJ853">
        <v>4</v>
      </c>
      <c r="AK853">
        <v>2</v>
      </c>
      <c r="AL853" t="str" cm="1">
        <f t="array" ref="AL853">_xlfn.IFS(Table1[[#This Row],[JobSatisfaction]]=1,"Low",Table1[[#This Row],[JobSatisfaction]]=2,"Medium",Table1[[#This Row],[JobSatisfaction]]=3,"High",Table1[[#This Row],[JobSatisfaction]]=4,"Very High")</f>
        <v>Low</v>
      </c>
      <c r="AM853">
        <f>IF(Table1[[#This Row],[Attrition]]="Yes",1,0)</f>
        <v>0</v>
      </c>
    </row>
    <row r="854" spans="1:39" ht="13.8" x14ac:dyDescent="0.25">
      <c r="A854">
        <v>29</v>
      </c>
      <c r="B854" t="str" cm="1">
        <f t="array" ref="B854">_xlfn.IFS(Table1[[#This Row],[Age]]&lt;30,"Under 30",Table1[[#This Row],[Age]]&lt;=40,"30-40",Table1[[#This Row],[Age]]&lt;=50,"41-50",Table1[[#This Row],[Age]]&gt;50,"Over 50")</f>
        <v>Under 30</v>
      </c>
      <c r="C854" t="s">
        <v>43</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t="str" cm="1">
        <f t="array" ref="AH854">_xlfn.IFS(Table1[[#This Row],[YearsAtCompany]]&lt;=2,"0-2 years",Table1[[#This Row],[YearsAtCompany]]&lt;=5,"3-5 years",Table1[[#This Row],[YearsAtCompany]]&lt;=10,"6-10 years",Table1[[#This Row],[YearsAtCompany]]&gt;10,"10+ years")</f>
        <v>6-10 years</v>
      </c>
      <c r="AI854">
        <v>8</v>
      </c>
      <c r="AJ854">
        <v>0</v>
      </c>
      <c r="AK854">
        <v>8</v>
      </c>
      <c r="AL854" t="str" cm="1">
        <f t="array" ref="AL854">_xlfn.IFS(Table1[[#This Row],[JobSatisfaction]]=1,"Low",Table1[[#This Row],[JobSatisfaction]]=2,"Medium",Table1[[#This Row],[JobSatisfaction]]=3,"High",Table1[[#This Row],[JobSatisfaction]]=4,"Very High")</f>
        <v>Very High</v>
      </c>
      <c r="AM854">
        <f>IF(Table1[[#This Row],[Attrition]]="Yes",1,0)</f>
        <v>0</v>
      </c>
    </row>
    <row r="855" spans="1:39" ht="13.8" x14ac:dyDescent="0.25">
      <c r="A855">
        <v>19</v>
      </c>
      <c r="B855" t="str" cm="1">
        <f t="array" ref="B855">_xlfn.IFS(Table1[[#This Row],[Age]]&lt;30,"Under 30",Table1[[#This Row],[Age]]&lt;=40,"30-40",Table1[[#This Row],[Age]]&lt;=50,"41-50",Table1[[#This Row],[Age]]&gt;50,"Over 50")</f>
        <v>Under 30</v>
      </c>
      <c r="C855" t="s">
        <v>43</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t="str" cm="1">
        <f t="array" ref="AH855">_xlfn.IFS(Table1[[#This Row],[YearsAtCompany]]&lt;=2,"0-2 years",Table1[[#This Row],[YearsAtCompany]]&lt;=5,"3-5 years",Table1[[#This Row],[YearsAtCompany]]&lt;=10,"6-10 years",Table1[[#This Row],[YearsAtCompany]]&gt;10,"10+ years")</f>
        <v>0-2 years</v>
      </c>
      <c r="AI855">
        <v>1</v>
      </c>
      <c r="AJ855">
        <v>0</v>
      </c>
      <c r="AK855">
        <v>0</v>
      </c>
      <c r="AL855" t="str" cm="1">
        <f t="array" ref="AL855">_xlfn.IFS(Table1[[#This Row],[JobSatisfaction]]=1,"Low",Table1[[#This Row],[JobSatisfaction]]=2,"Medium",Table1[[#This Row],[JobSatisfaction]]=3,"High",Table1[[#This Row],[JobSatisfaction]]=4,"Very High")</f>
        <v>Low</v>
      </c>
      <c r="AM855">
        <f>IF(Table1[[#This Row],[Attrition]]="Yes",1,0)</f>
        <v>0</v>
      </c>
    </row>
    <row r="856" spans="1:39" ht="13.8" x14ac:dyDescent="0.25">
      <c r="A856">
        <v>45</v>
      </c>
      <c r="B856" t="str" cm="1">
        <f t="array" ref="B856">_xlfn.IFS(Table1[[#This Row],[Age]]&lt;30,"Under 30",Table1[[#This Row],[Age]]&lt;=40,"30-40",Table1[[#This Row],[Age]]&lt;=50,"41-50",Table1[[#This Row],[Age]]&gt;50,"Over 50")</f>
        <v>41-50</v>
      </c>
      <c r="C856" t="s">
        <v>43</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t="str" cm="1">
        <f t="array" ref="AH856">_xlfn.IFS(Table1[[#This Row],[YearsAtCompany]]&lt;=2,"0-2 years",Table1[[#This Row],[YearsAtCompany]]&lt;=5,"3-5 years",Table1[[#This Row],[YearsAtCompany]]&lt;=10,"6-10 years",Table1[[#This Row],[YearsAtCompany]]&gt;10,"10+ years")</f>
        <v>3-5 years</v>
      </c>
      <c r="AI856">
        <v>2</v>
      </c>
      <c r="AJ856">
        <v>0</v>
      </c>
      <c r="AK856">
        <v>2</v>
      </c>
      <c r="AL856" t="str" cm="1">
        <f t="array" ref="AL856">_xlfn.IFS(Table1[[#This Row],[JobSatisfaction]]=1,"Low",Table1[[#This Row],[JobSatisfaction]]=2,"Medium",Table1[[#This Row],[JobSatisfaction]]=3,"High",Table1[[#This Row],[JobSatisfaction]]=4,"Very High")</f>
        <v>High</v>
      </c>
      <c r="AM856">
        <f>IF(Table1[[#This Row],[Attrition]]="Yes",1,0)</f>
        <v>0</v>
      </c>
    </row>
    <row r="857" spans="1:39" ht="13.8" x14ac:dyDescent="0.25">
      <c r="A857">
        <v>37</v>
      </c>
      <c r="B857" t="str" cm="1">
        <f t="array" ref="B857">_xlfn.IFS(Table1[[#This Row],[Age]]&lt;30,"Under 30",Table1[[#This Row],[Age]]&lt;=40,"30-40",Table1[[#This Row],[Age]]&lt;=50,"41-50",Table1[[#This Row],[Age]]&gt;50,"Over 50")</f>
        <v>30-40</v>
      </c>
      <c r="C857" t="s">
        <v>43</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t="str" cm="1">
        <f t="array" ref="AH857">_xlfn.IFS(Table1[[#This Row],[YearsAtCompany]]&lt;=2,"0-2 years",Table1[[#This Row],[YearsAtCompany]]&lt;=5,"3-5 years",Table1[[#This Row],[YearsAtCompany]]&lt;=10,"6-10 years",Table1[[#This Row],[YearsAtCompany]]&gt;10,"10+ years")</f>
        <v>10+ years</v>
      </c>
      <c r="AI857">
        <v>8</v>
      </c>
      <c r="AJ857">
        <v>3</v>
      </c>
      <c r="AK857">
        <v>11</v>
      </c>
      <c r="AL857" t="str" cm="1">
        <f t="array" ref="AL857">_xlfn.IFS(Table1[[#This Row],[JobSatisfaction]]=1,"Low",Table1[[#This Row],[JobSatisfaction]]=2,"Medium",Table1[[#This Row],[JobSatisfaction]]=3,"High",Table1[[#This Row],[JobSatisfaction]]=4,"Very High")</f>
        <v>Very High</v>
      </c>
      <c r="AM857">
        <f>IF(Table1[[#This Row],[Attrition]]="Yes",1,0)</f>
        <v>0</v>
      </c>
    </row>
    <row r="858" spans="1:39" ht="13.8" x14ac:dyDescent="0.25">
      <c r="A858">
        <v>20</v>
      </c>
      <c r="B858" t="str" cm="1">
        <f t="array" ref="B858">_xlfn.IFS(Table1[[#This Row],[Age]]&lt;30,"Under 30",Table1[[#This Row],[Age]]&lt;=40,"30-40",Table1[[#This Row],[Age]]&lt;=50,"41-50",Table1[[#This Row],[Age]]&gt;50,"Over 50")</f>
        <v>Under 30</v>
      </c>
      <c r="C858" t="s">
        <v>43</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t="str" cm="1">
        <f t="array" ref="AH858">_xlfn.IFS(Table1[[#This Row],[YearsAtCompany]]&lt;=2,"0-2 years",Table1[[#This Row],[YearsAtCompany]]&lt;=5,"3-5 years",Table1[[#This Row],[YearsAtCompany]]&lt;=10,"6-10 years",Table1[[#This Row],[YearsAtCompany]]&gt;10,"10+ years")</f>
        <v>0-2 years</v>
      </c>
      <c r="AI858">
        <v>2</v>
      </c>
      <c r="AJ858">
        <v>1</v>
      </c>
      <c r="AK858">
        <v>2</v>
      </c>
      <c r="AL858" t="str" cm="1">
        <f t="array" ref="AL858">_xlfn.IFS(Table1[[#This Row],[JobSatisfaction]]=1,"Low",Table1[[#This Row],[JobSatisfaction]]=2,"Medium",Table1[[#This Row],[JobSatisfaction]]=3,"High",Table1[[#This Row],[JobSatisfaction]]=4,"Very High")</f>
        <v>High</v>
      </c>
      <c r="AM858">
        <f>IF(Table1[[#This Row],[Attrition]]="Yes",1,0)</f>
        <v>0</v>
      </c>
    </row>
    <row r="859" spans="1:39" ht="13.8" x14ac:dyDescent="0.25">
      <c r="A859">
        <v>44</v>
      </c>
      <c r="B859" t="str" cm="1">
        <f t="array" ref="B859">_xlfn.IFS(Table1[[#This Row],[Age]]&lt;30,"Under 30",Table1[[#This Row],[Age]]&lt;=40,"30-40",Table1[[#This Row],[Age]]&lt;=50,"41-50",Table1[[#This Row],[Age]]&gt;50,"Over 50")</f>
        <v>41-50</v>
      </c>
      <c r="C859" t="s">
        <v>35</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t="str" cm="1">
        <f t="array" ref="AH859">_xlfn.IFS(Table1[[#This Row],[YearsAtCompany]]&lt;=2,"0-2 years",Table1[[#This Row],[YearsAtCompany]]&lt;=5,"3-5 years",Table1[[#This Row],[YearsAtCompany]]&lt;=10,"6-10 years",Table1[[#This Row],[YearsAtCompany]]&gt;10,"10+ years")</f>
        <v>6-10 years</v>
      </c>
      <c r="AI859">
        <v>4</v>
      </c>
      <c r="AJ859">
        <v>0</v>
      </c>
      <c r="AK859">
        <v>2</v>
      </c>
      <c r="AL859" t="str" cm="1">
        <f t="array" ref="AL859">_xlfn.IFS(Table1[[#This Row],[JobSatisfaction]]=1,"Low",Table1[[#This Row],[JobSatisfaction]]=2,"Medium",Table1[[#This Row],[JobSatisfaction]]=3,"High",Table1[[#This Row],[JobSatisfaction]]=4,"Very High")</f>
        <v>High</v>
      </c>
      <c r="AM859">
        <f>IF(Table1[[#This Row],[Attrition]]="Yes",1,0)</f>
        <v>1</v>
      </c>
    </row>
    <row r="860" spans="1:39" ht="13.8" x14ac:dyDescent="0.25">
      <c r="A860">
        <v>53</v>
      </c>
      <c r="B860" t="str" cm="1">
        <f t="array" ref="B860">_xlfn.IFS(Table1[[#This Row],[Age]]&lt;30,"Under 30",Table1[[#This Row],[Age]]&lt;=40,"30-40",Table1[[#This Row],[Age]]&lt;=50,"41-50",Table1[[#This Row],[Age]]&gt;50,"Over 50")</f>
        <v>Over 50</v>
      </c>
      <c r="C860" t="s">
        <v>43</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t="str" cm="1">
        <f t="array" ref="AH860">_xlfn.IFS(Table1[[#This Row],[YearsAtCompany]]&lt;=2,"0-2 years",Table1[[#This Row],[YearsAtCompany]]&lt;=5,"3-5 years",Table1[[#This Row],[YearsAtCompany]]&lt;=10,"6-10 years",Table1[[#This Row],[YearsAtCompany]]&gt;10,"10+ years")</f>
        <v>6-10 years</v>
      </c>
      <c r="AI860">
        <v>7</v>
      </c>
      <c r="AJ860">
        <v>4</v>
      </c>
      <c r="AK860">
        <v>7</v>
      </c>
      <c r="AL860" t="str" cm="1">
        <f t="array" ref="AL860">_xlfn.IFS(Table1[[#This Row],[JobSatisfaction]]=1,"Low",Table1[[#This Row],[JobSatisfaction]]=2,"Medium",Table1[[#This Row],[JobSatisfaction]]=3,"High",Table1[[#This Row],[JobSatisfaction]]=4,"Very High")</f>
        <v>High</v>
      </c>
      <c r="AM860">
        <f>IF(Table1[[#This Row],[Attrition]]="Yes",1,0)</f>
        <v>0</v>
      </c>
    </row>
    <row r="861" spans="1:39" ht="13.8" x14ac:dyDescent="0.25">
      <c r="A861">
        <v>29</v>
      </c>
      <c r="B861" t="str" cm="1">
        <f t="array" ref="B861">_xlfn.IFS(Table1[[#This Row],[Age]]&lt;30,"Under 30",Table1[[#This Row],[Age]]&lt;=40,"30-40",Table1[[#This Row],[Age]]&lt;=50,"41-50",Table1[[#This Row],[Age]]&gt;50,"Over 50")</f>
        <v>Under 30</v>
      </c>
      <c r="C861" t="s">
        <v>43</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t="str" cm="1">
        <f t="array" ref="AH861">_xlfn.IFS(Table1[[#This Row],[YearsAtCompany]]&lt;=2,"0-2 years",Table1[[#This Row],[YearsAtCompany]]&lt;=5,"3-5 years",Table1[[#This Row],[YearsAtCompany]]&lt;=10,"6-10 years",Table1[[#This Row],[YearsAtCompany]]&gt;10,"10+ years")</f>
        <v>3-5 years</v>
      </c>
      <c r="AI861">
        <v>4</v>
      </c>
      <c r="AJ861">
        <v>1</v>
      </c>
      <c r="AK861">
        <v>3</v>
      </c>
      <c r="AL861" t="str" cm="1">
        <f t="array" ref="AL861">_xlfn.IFS(Table1[[#This Row],[JobSatisfaction]]=1,"Low",Table1[[#This Row],[JobSatisfaction]]=2,"Medium",Table1[[#This Row],[JobSatisfaction]]=3,"High",Table1[[#This Row],[JobSatisfaction]]=4,"Very High")</f>
        <v>Very High</v>
      </c>
      <c r="AM861">
        <f>IF(Table1[[#This Row],[Attrition]]="Yes",1,0)</f>
        <v>0</v>
      </c>
    </row>
    <row r="862" spans="1:39" ht="13.8" x14ac:dyDescent="0.25">
      <c r="A862">
        <v>22</v>
      </c>
      <c r="B862" t="str" cm="1">
        <f t="array" ref="B862">_xlfn.IFS(Table1[[#This Row],[Age]]&lt;30,"Under 30",Table1[[#This Row],[Age]]&lt;=40,"30-40",Table1[[#This Row],[Age]]&lt;=50,"41-50",Table1[[#This Row],[Age]]&gt;50,"Over 50")</f>
        <v>Under 30</v>
      </c>
      <c r="C862" t="s">
        <v>35</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t="str" cm="1">
        <f t="array" ref="AH862">_xlfn.IFS(Table1[[#This Row],[YearsAtCompany]]&lt;=2,"0-2 years",Table1[[#This Row],[YearsAtCompany]]&lt;=5,"3-5 years",Table1[[#This Row],[YearsAtCompany]]&lt;=10,"6-10 years",Table1[[#This Row],[YearsAtCompany]]&gt;10,"10+ years")</f>
        <v>0-2 years</v>
      </c>
      <c r="AI862">
        <v>0</v>
      </c>
      <c r="AJ862">
        <v>0</v>
      </c>
      <c r="AK862">
        <v>0</v>
      </c>
      <c r="AL862" t="str" cm="1">
        <f t="array" ref="AL862">_xlfn.IFS(Table1[[#This Row],[JobSatisfaction]]=1,"Low",Table1[[#This Row],[JobSatisfaction]]=2,"Medium",Table1[[#This Row],[JobSatisfaction]]=3,"High",Table1[[#This Row],[JobSatisfaction]]=4,"Very High")</f>
        <v>Very High</v>
      </c>
      <c r="AM862">
        <f>IF(Table1[[#This Row],[Attrition]]="Yes",1,0)</f>
        <v>1</v>
      </c>
    </row>
    <row r="863" spans="1:39" ht="13.8" x14ac:dyDescent="0.25">
      <c r="A863">
        <v>46</v>
      </c>
      <c r="B863" t="str" cm="1">
        <f t="array" ref="B863">_xlfn.IFS(Table1[[#This Row],[Age]]&lt;30,"Under 30",Table1[[#This Row],[Age]]&lt;=40,"30-40",Table1[[#This Row],[Age]]&lt;=50,"41-50",Table1[[#This Row],[Age]]&gt;50,"Over 50")</f>
        <v>41-50</v>
      </c>
      <c r="C863" t="s">
        <v>43</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t="str" cm="1">
        <f t="array" ref="AH863">_xlfn.IFS(Table1[[#This Row],[YearsAtCompany]]&lt;=2,"0-2 years",Table1[[#This Row],[YearsAtCompany]]&lt;=5,"3-5 years",Table1[[#This Row],[YearsAtCompany]]&lt;=10,"6-10 years",Table1[[#This Row],[YearsAtCompany]]&gt;10,"10+ years")</f>
        <v>10+ years</v>
      </c>
      <c r="AI863">
        <v>15</v>
      </c>
      <c r="AJ863">
        <v>15</v>
      </c>
      <c r="AK863">
        <v>9</v>
      </c>
      <c r="AL863" t="str" cm="1">
        <f t="array" ref="AL863">_xlfn.IFS(Table1[[#This Row],[JobSatisfaction]]=1,"Low",Table1[[#This Row],[JobSatisfaction]]=2,"Medium",Table1[[#This Row],[JobSatisfaction]]=3,"High",Table1[[#This Row],[JobSatisfaction]]=4,"Very High")</f>
        <v>Low</v>
      </c>
      <c r="AM863">
        <f>IF(Table1[[#This Row],[Attrition]]="Yes",1,0)</f>
        <v>0</v>
      </c>
    </row>
    <row r="864" spans="1:39" ht="13.8" x14ac:dyDescent="0.25">
      <c r="A864">
        <v>44</v>
      </c>
      <c r="B864" t="str" cm="1">
        <f t="array" ref="B864">_xlfn.IFS(Table1[[#This Row],[Age]]&lt;30,"Under 30",Table1[[#This Row],[Age]]&lt;=40,"30-40",Table1[[#This Row],[Age]]&lt;=50,"41-50",Table1[[#This Row],[Age]]&gt;50,"Over 50")</f>
        <v>41-50</v>
      </c>
      <c r="C864" t="s">
        <v>43</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t="str" cm="1">
        <f t="array" ref="AH864">_xlfn.IFS(Table1[[#This Row],[YearsAtCompany]]&lt;=2,"0-2 years",Table1[[#This Row],[YearsAtCompany]]&lt;=5,"3-5 years",Table1[[#This Row],[YearsAtCompany]]&lt;=10,"6-10 years",Table1[[#This Row],[YearsAtCompany]]&gt;10,"10+ years")</f>
        <v>0-2 years</v>
      </c>
      <c r="AI864">
        <v>0</v>
      </c>
      <c r="AJ864">
        <v>0</v>
      </c>
      <c r="AK864">
        <v>0</v>
      </c>
      <c r="AL864" t="str" cm="1">
        <f t="array" ref="AL864">_xlfn.IFS(Table1[[#This Row],[JobSatisfaction]]=1,"Low",Table1[[#This Row],[JobSatisfaction]]=2,"Medium",Table1[[#This Row],[JobSatisfaction]]=3,"High",Table1[[#This Row],[JobSatisfaction]]=4,"Very High")</f>
        <v>High</v>
      </c>
      <c r="AM864">
        <f>IF(Table1[[#This Row],[Attrition]]="Yes",1,0)</f>
        <v>0</v>
      </c>
    </row>
    <row r="865" spans="1:39" ht="13.8" x14ac:dyDescent="0.25">
      <c r="A865">
        <v>33</v>
      </c>
      <c r="B865" t="str" cm="1">
        <f t="array" ref="B865">_xlfn.IFS(Table1[[#This Row],[Age]]&lt;30,"Under 30",Table1[[#This Row],[Age]]&lt;=40,"30-40",Table1[[#This Row],[Age]]&lt;=50,"41-50",Table1[[#This Row],[Age]]&gt;50,"Over 50")</f>
        <v>30-40</v>
      </c>
      <c r="C865" t="s">
        <v>43</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t="str" cm="1">
        <f t="array" ref="AH865">_xlfn.IFS(Table1[[#This Row],[YearsAtCompany]]&lt;=2,"0-2 years",Table1[[#This Row],[YearsAtCompany]]&lt;=5,"3-5 years",Table1[[#This Row],[YearsAtCompany]]&lt;=10,"6-10 years",Table1[[#This Row],[YearsAtCompany]]&gt;10,"10+ years")</f>
        <v>3-5 years</v>
      </c>
      <c r="AI865">
        <v>4</v>
      </c>
      <c r="AJ865">
        <v>1</v>
      </c>
      <c r="AK865">
        <v>4</v>
      </c>
      <c r="AL865" t="str" cm="1">
        <f t="array" ref="AL865">_xlfn.IFS(Table1[[#This Row],[JobSatisfaction]]=1,"Low",Table1[[#This Row],[JobSatisfaction]]=2,"Medium",Table1[[#This Row],[JobSatisfaction]]=3,"High",Table1[[#This Row],[JobSatisfaction]]=4,"Very High")</f>
        <v>High</v>
      </c>
      <c r="AM865">
        <f>IF(Table1[[#This Row],[Attrition]]="Yes",1,0)</f>
        <v>0</v>
      </c>
    </row>
    <row r="866" spans="1:39" ht="13.8" x14ac:dyDescent="0.25">
      <c r="A866">
        <v>41</v>
      </c>
      <c r="B866" t="str" cm="1">
        <f t="array" ref="B866">_xlfn.IFS(Table1[[#This Row],[Age]]&lt;30,"Under 30",Table1[[#This Row],[Age]]&lt;=40,"30-40",Table1[[#This Row],[Age]]&lt;=50,"41-50",Table1[[#This Row],[Age]]&gt;50,"Over 50")</f>
        <v>41-50</v>
      </c>
      <c r="C866" t="s">
        <v>35</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t="str" cm="1">
        <f t="array" ref="AH866">_xlfn.IFS(Table1[[#This Row],[YearsAtCompany]]&lt;=2,"0-2 years",Table1[[#This Row],[YearsAtCompany]]&lt;=5,"3-5 years",Table1[[#This Row],[YearsAtCompany]]&lt;=10,"6-10 years",Table1[[#This Row],[YearsAtCompany]]&gt;10,"10+ years")</f>
        <v>0-2 years</v>
      </c>
      <c r="AI866">
        <v>0</v>
      </c>
      <c r="AJ866">
        <v>0</v>
      </c>
      <c r="AK866">
        <v>0</v>
      </c>
      <c r="AL866" t="str" cm="1">
        <f t="array" ref="AL866">_xlfn.IFS(Table1[[#This Row],[JobSatisfaction]]=1,"Low",Table1[[#This Row],[JobSatisfaction]]=2,"Medium",Table1[[#This Row],[JobSatisfaction]]=3,"High",Table1[[#This Row],[JobSatisfaction]]=4,"Very High")</f>
        <v>Low</v>
      </c>
      <c r="AM866">
        <f>IF(Table1[[#This Row],[Attrition]]="Yes",1,0)</f>
        <v>1</v>
      </c>
    </row>
    <row r="867" spans="1:39" ht="13.8" x14ac:dyDescent="0.25">
      <c r="A867">
        <v>30</v>
      </c>
      <c r="B867" t="str" cm="1">
        <f t="array" ref="B867">_xlfn.IFS(Table1[[#This Row],[Age]]&lt;30,"Under 30",Table1[[#This Row],[Age]]&lt;=40,"30-40",Table1[[#This Row],[Age]]&lt;=50,"41-50",Table1[[#This Row],[Age]]&gt;50,"Over 50")</f>
        <v>30-40</v>
      </c>
      <c r="C867" t="s">
        <v>43</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t="str" cm="1">
        <f t="array" ref="AH867">_xlfn.IFS(Table1[[#This Row],[YearsAtCompany]]&lt;=2,"0-2 years",Table1[[#This Row],[YearsAtCompany]]&lt;=5,"3-5 years",Table1[[#This Row],[YearsAtCompany]]&lt;=10,"6-10 years",Table1[[#This Row],[YearsAtCompany]]&gt;10,"10+ years")</f>
        <v>3-5 years</v>
      </c>
      <c r="AI867">
        <v>3</v>
      </c>
      <c r="AJ867">
        <v>0</v>
      </c>
      <c r="AK867">
        <v>3</v>
      </c>
      <c r="AL867" t="str" cm="1">
        <f t="array" ref="AL867">_xlfn.IFS(Table1[[#This Row],[JobSatisfaction]]=1,"Low",Table1[[#This Row],[JobSatisfaction]]=2,"Medium",Table1[[#This Row],[JobSatisfaction]]=3,"High",Table1[[#This Row],[JobSatisfaction]]=4,"Very High")</f>
        <v>Low</v>
      </c>
      <c r="AM867">
        <f>IF(Table1[[#This Row],[Attrition]]="Yes",1,0)</f>
        <v>0</v>
      </c>
    </row>
    <row r="868" spans="1:39" ht="13.8" x14ac:dyDescent="0.25">
      <c r="A868">
        <v>40</v>
      </c>
      <c r="B868" t="str" cm="1">
        <f t="array" ref="B868">_xlfn.IFS(Table1[[#This Row],[Age]]&lt;30,"Under 30",Table1[[#This Row],[Age]]&lt;=40,"30-40",Table1[[#This Row],[Age]]&lt;=50,"41-50",Table1[[#This Row],[Age]]&gt;50,"Over 50")</f>
        <v>30-40</v>
      </c>
      <c r="C868" t="s">
        <v>43</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t="str" cm="1">
        <f t="array" ref="AH868">_xlfn.IFS(Table1[[#This Row],[YearsAtCompany]]&lt;=2,"0-2 years",Table1[[#This Row],[YearsAtCompany]]&lt;=5,"3-5 years",Table1[[#This Row],[YearsAtCompany]]&lt;=10,"6-10 years",Table1[[#This Row],[YearsAtCompany]]&gt;10,"10+ years")</f>
        <v>0-2 years</v>
      </c>
      <c r="AI868">
        <v>0</v>
      </c>
      <c r="AJ868">
        <v>0</v>
      </c>
      <c r="AK868">
        <v>0</v>
      </c>
      <c r="AL868" t="str" cm="1">
        <f t="array" ref="AL868">_xlfn.IFS(Table1[[#This Row],[JobSatisfaction]]=1,"Low",Table1[[#This Row],[JobSatisfaction]]=2,"Medium",Table1[[#This Row],[JobSatisfaction]]=3,"High",Table1[[#This Row],[JobSatisfaction]]=4,"Very High")</f>
        <v>Medium</v>
      </c>
      <c r="AM868">
        <f>IF(Table1[[#This Row],[Attrition]]="Yes",1,0)</f>
        <v>0</v>
      </c>
    </row>
    <row r="869" spans="1:39" ht="13.8" x14ac:dyDescent="0.25">
      <c r="A869">
        <v>50</v>
      </c>
      <c r="B869" t="str" cm="1">
        <f t="array" ref="B869">_xlfn.IFS(Table1[[#This Row],[Age]]&lt;30,"Under 30",Table1[[#This Row],[Age]]&lt;=40,"30-40",Table1[[#This Row],[Age]]&lt;=50,"41-50",Table1[[#This Row],[Age]]&gt;50,"Over 50")</f>
        <v>41-50</v>
      </c>
      <c r="C869" t="s">
        <v>43</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t="str" cm="1">
        <f t="array" ref="AH869">_xlfn.IFS(Table1[[#This Row],[YearsAtCompany]]&lt;=2,"0-2 years",Table1[[#This Row],[YearsAtCompany]]&lt;=5,"3-5 years",Table1[[#This Row],[YearsAtCompany]]&lt;=10,"6-10 years",Table1[[#This Row],[YearsAtCompany]]&gt;10,"10+ years")</f>
        <v>0-2 years</v>
      </c>
      <c r="AI869">
        <v>2</v>
      </c>
      <c r="AJ869">
        <v>2</v>
      </c>
      <c r="AK869">
        <v>2</v>
      </c>
      <c r="AL869" t="str" cm="1">
        <f t="array" ref="AL869">_xlfn.IFS(Table1[[#This Row],[JobSatisfaction]]=1,"Low",Table1[[#This Row],[JobSatisfaction]]=2,"Medium",Table1[[#This Row],[JobSatisfaction]]=3,"High",Table1[[#This Row],[JobSatisfaction]]=4,"Very High")</f>
        <v>Low</v>
      </c>
      <c r="AM869">
        <f>IF(Table1[[#This Row],[Attrition]]="Yes",1,0)</f>
        <v>0</v>
      </c>
    </row>
    <row r="870" spans="1:39" ht="13.8" x14ac:dyDescent="0.25">
      <c r="A870">
        <v>28</v>
      </c>
      <c r="B870" t="str" cm="1">
        <f t="array" ref="B870">_xlfn.IFS(Table1[[#This Row],[Age]]&lt;30,"Under 30",Table1[[#This Row],[Age]]&lt;=40,"30-40",Table1[[#This Row],[Age]]&lt;=50,"41-50",Table1[[#This Row],[Age]]&gt;50,"Over 50")</f>
        <v>Under 30</v>
      </c>
      <c r="C870" t="s">
        <v>43</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t="str" cm="1">
        <f t="array" ref="AH870">_xlfn.IFS(Table1[[#This Row],[YearsAtCompany]]&lt;=2,"0-2 years",Table1[[#This Row],[YearsAtCompany]]&lt;=5,"3-5 years",Table1[[#This Row],[YearsAtCompany]]&lt;=10,"6-10 years",Table1[[#This Row],[YearsAtCompany]]&gt;10,"10+ years")</f>
        <v>6-10 years</v>
      </c>
      <c r="AI870">
        <v>5</v>
      </c>
      <c r="AJ870">
        <v>3</v>
      </c>
      <c r="AK870">
        <v>3</v>
      </c>
      <c r="AL870" t="str" cm="1">
        <f t="array" ref="AL870">_xlfn.IFS(Table1[[#This Row],[JobSatisfaction]]=1,"Low",Table1[[#This Row],[JobSatisfaction]]=2,"Medium",Table1[[#This Row],[JobSatisfaction]]=3,"High",Table1[[#This Row],[JobSatisfaction]]=4,"Very High")</f>
        <v>Low</v>
      </c>
      <c r="AM870">
        <f>IF(Table1[[#This Row],[Attrition]]="Yes",1,0)</f>
        <v>0</v>
      </c>
    </row>
    <row r="871" spans="1:39" ht="13.8" x14ac:dyDescent="0.25">
      <c r="A871">
        <v>46</v>
      </c>
      <c r="B871" t="str" cm="1">
        <f t="array" ref="B871">_xlfn.IFS(Table1[[#This Row],[Age]]&lt;30,"Under 30",Table1[[#This Row],[Age]]&lt;=40,"30-40",Table1[[#This Row],[Age]]&lt;=50,"41-50",Table1[[#This Row],[Age]]&gt;50,"Over 50")</f>
        <v>41-50</v>
      </c>
      <c r="C871" t="s">
        <v>43</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t="str" cm="1">
        <f t="array" ref="AH871">_xlfn.IFS(Table1[[#This Row],[YearsAtCompany]]&lt;=2,"0-2 years",Table1[[#This Row],[YearsAtCompany]]&lt;=5,"3-5 years",Table1[[#This Row],[YearsAtCompany]]&lt;=10,"6-10 years",Table1[[#This Row],[YearsAtCompany]]&gt;10,"10+ years")</f>
        <v>3-5 years</v>
      </c>
      <c r="AI871">
        <v>2</v>
      </c>
      <c r="AJ871">
        <v>0</v>
      </c>
      <c r="AK871">
        <v>3</v>
      </c>
      <c r="AL871" t="str" cm="1">
        <f t="array" ref="AL871">_xlfn.IFS(Table1[[#This Row],[JobSatisfaction]]=1,"Low",Table1[[#This Row],[JobSatisfaction]]=2,"Medium",Table1[[#This Row],[JobSatisfaction]]=3,"High",Table1[[#This Row],[JobSatisfaction]]=4,"Very High")</f>
        <v>Medium</v>
      </c>
      <c r="AM871">
        <f>IF(Table1[[#This Row],[Attrition]]="Yes",1,0)</f>
        <v>0</v>
      </c>
    </row>
    <row r="872" spans="1:39" ht="13.8" x14ac:dyDescent="0.25">
      <c r="A872">
        <v>35</v>
      </c>
      <c r="B872" t="str" cm="1">
        <f t="array" ref="B872">_xlfn.IFS(Table1[[#This Row],[Age]]&lt;30,"Under 30",Table1[[#This Row],[Age]]&lt;=40,"30-40",Table1[[#This Row],[Age]]&lt;=50,"41-50",Table1[[#This Row],[Age]]&gt;50,"Over 50")</f>
        <v>30-40</v>
      </c>
      <c r="C872" t="s">
        <v>43</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t="str" cm="1">
        <f t="array" ref="AH872">_xlfn.IFS(Table1[[#This Row],[YearsAtCompany]]&lt;=2,"0-2 years",Table1[[#This Row],[YearsAtCompany]]&lt;=5,"3-5 years",Table1[[#This Row],[YearsAtCompany]]&lt;=10,"6-10 years",Table1[[#This Row],[YearsAtCompany]]&gt;10,"10+ years")</f>
        <v>6-10 years</v>
      </c>
      <c r="AI872">
        <v>7</v>
      </c>
      <c r="AJ872">
        <v>1</v>
      </c>
      <c r="AK872">
        <v>7</v>
      </c>
      <c r="AL872" t="str" cm="1">
        <f t="array" ref="AL872">_xlfn.IFS(Table1[[#This Row],[JobSatisfaction]]=1,"Low",Table1[[#This Row],[JobSatisfaction]]=2,"Medium",Table1[[#This Row],[JobSatisfaction]]=3,"High",Table1[[#This Row],[JobSatisfaction]]=4,"Very High")</f>
        <v>Low</v>
      </c>
      <c r="AM872">
        <f>IF(Table1[[#This Row],[Attrition]]="Yes",1,0)</f>
        <v>0</v>
      </c>
    </row>
    <row r="873" spans="1:39" ht="13.8" x14ac:dyDescent="0.25">
      <c r="A873">
        <v>24</v>
      </c>
      <c r="B873" t="str" cm="1">
        <f t="array" ref="B873">_xlfn.IFS(Table1[[#This Row],[Age]]&lt;30,"Under 30",Table1[[#This Row],[Age]]&lt;=40,"30-40",Table1[[#This Row],[Age]]&lt;=50,"41-50",Table1[[#This Row],[Age]]&gt;50,"Over 50")</f>
        <v>Under 30</v>
      </c>
      <c r="C873" t="s">
        <v>35</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t="str" cm="1">
        <f t="array" ref="AH873">_xlfn.IFS(Table1[[#This Row],[YearsAtCompany]]&lt;=2,"0-2 years",Table1[[#This Row],[YearsAtCompany]]&lt;=5,"3-5 years",Table1[[#This Row],[YearsAtCompany]]&lt;=10,"6-10 years",Table1[[#This Row],[YearsAtCompany]]&gt;10,"10+ years")</f>
        <v>0-2 years</v>
      </c>
      <c r="AI873">
        <v>0</v>
      </c>
      <c r="AJ873">
        <v>0</v>
      </c>
      <c r="AK873">
        <v>0</v>
      </c>
      <c r="AL873" t="str" cm="1">
        <f t="array" ref="AL873">_xlfn.IFS(Table1[[#This Row],[JobSatisfaction]]=1,"Low",Table1[[#This Row],[JobSatisfaction]]=2,"Medium",Table1[[#This Row],[JobSatisfaction]]=3,"High",Table1[[#This Row],[JobSatisfaction]]=4,"Very High")</f>
        <v>Medium</v>
      </c>
      <c r="AM873">
        <f>IF(Table1[[#This Row],[Attrition]]="Yes",1,0)</f>
        <v>1</v>
      </c>
    </row>
    <row r="874" spans="1:39" ht="13.8" x14ac:dyDescent="0.25">
      <c r="A874">
        <v>33</v>
      </c>
      <c r="B874" t="str" cm="1">
        <f t="array" ref="B874">_xlfn.IFS(Table1[[#This Row],[Age]]&lt;30,"Under 30",Table1[[#This Row],[Age]]&lt;=40,"30-40",Table1[[#This Row],[Age]]&lt;=50,"41-50",Table1[[#This Row],[Age]]&gt;50,"Over 50")</f>
        <v>30-40</v>
      </c>
      <c r="C874" t="s">
        <v>43</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t="str" cm="1">
        <f t="array" ref="AH874">_xlfn.IFS(Table1[[#This Row],[YearsAtCompany]]&lt;=2,"0-2 years",Table1[[#This Row],[YearsAtCompany]]&lt;=5,"3-5 years",Table1[[#This Row],[YearsAtCompany]]&lt;=10,"6-10 years",Table1[[#This Row],[YearsAtCompany]]&gt;10,"10+ years")</f>
        <v>6-10 years</v>
      </c>
      <c r="AI874">
        <v>7</v>
      </c>
      <c r="AJ874">
        <v>0</v>
      </c>
      <c r="AK874">
        <v>1</v>
      </c>
      <c r="AL874" t="str" cm="1">
        <f t="array" ref="AL874">_xlfn.IFS(Table1[[#This Row],[JobSatisfaction]]=1,"Low",Table1[[#This Row],[JobSatisfaction]]=2,"Medium",Table1[[#This Row],[JobSatisfaction]]=3,"High",Table1[[#This Row],[JobSatisfaction]]=4,"Very High")</f>
        <v>High</v>
      </c>
      <c r="AM874">
        <f>IF(Table1[[#This Row],[Attrition]]="Yes",1,0)</f>
        <v>0</v>
      </c>
    </row>
    <row r="875" spans="1:39" ht="13.8" x14ac:dyDescent="0.25">
      <c r="A875">
        <v>36</v>
      </c>
      <c r="B875" t="str" cm="1">
        <f t="array" ref="B875">_xlfn.IFS(Table1[[#This Row],[Age]]&lt;30,"Under 30",Table1[[#This Row],[Age]]&lt;=40,"30-40",Table1[[#This Row],[Age]]&lt;=50,"41-50",Table1[[#This Row],[Age]]&gt;50,"Over 50")</f>
        <v>30-40</v>
      </c>
      <c r="C875" t="s">
        <v>43</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t="str" cm="1">
        <f t="array" ref="AH875">_xlfn.IFS(Table1[[#This Row],[YearsAtCompany]]&lt;=2,"0-2 years",Table1[[#This Row],[YearsAtCompany]]&lt;=5,"3-5 years",Table1[[#This Row],[YearsAtCompany]]&lt;=10,"6-10 years",Table1[[#This Row],[YearsAtCompany]]&gt;10,"10+ years")</f>
        <v>6-10 years</v>
      </c>
      <c r="AI875">
        <v>7</v>
      </c>
      <c r="AJ875">
        <v>1</v>
      </c>
      <c r="AK875">
        <v>7</v>
      </c>
      <c r="AL875" t="str" cm="1">
        <f t="array" ref="AL875">_xlfn.IFS(Table1[[#This Row],[JobSatisfaction]]=1,"Low",Table1[[#This Row],[JobSatisfaction]]=2,"Medium",Table1[[#This Row],[JobSatisfaction]]=3,"High",Table1[[#This Row],[JobSatisfaction]]=4,"Very High")</f>
        <v>High</v>
      </c>
      <c r="AM875">
        <f>IF(Table1[[#This Row],[Attrition]]="Yes",1,0)</f>
        <v>0</v>
      </c>
    </row>
    <row r="876" spans="1:39" ht="13.8" x14ac:dyDescent="0.25">
      <c r="A876">
        <v>30</v>
      </c>
      <c r="B876" t="str" cm="1">
        <f t="array" ref="B876">_xlfn.IFS(Table1[[#This Row],[Age]]&lt;30,"Under 30",Table1[[#This Row],[Age]]&lt;=40,"30-40",Table1[[#This Row],[Age]]&lt;=50,"41-50",Table1[[#This Row],[Age]]&gt;50,"Over 50")</f>
        <v>30-40</v>
      </c>
      <c r="C876" t="s">
        <v>43</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t="str" cm="1">
        <f t="array" ref="AH876">_xlfn.IFS(Table1[[#This Row],[YearsAtCompany]]&lt;=2,"0-2 years",Table1[[#This Row],[YearsAtCompany]]&lt;=5,"3-5 years",Table1[[#This Row],[YearsAtCompany]]&lt;=10,"6-10 years",Table1[[#This Row],[YearsAtCompany]]&gt;10,"10+ years")</f>
        <v>6-10 years</v>
      </c>
      <c r="AI876">
        <v>7</v>
      </c>
      <c r="AJ876">
        <v>8</v>
      </c>
      <c r="AK876">
        <v>9</v>
      </c>
      <c r="AL876" t="str" cm="1">
        <f t="array" ref="AL876">_xlfn.IFS(Table1[[#This Row],[JobSatisfaction]]=1,"Low",Table1[[#This Row],[JobSatisfaction]]=2,"Medium",Table1[[#This Row],[JobSatisfaction]]=3,"High",Table1[[#This Row],[JobSatisfaction]]=4,"Very High")</f>
        <v>High</v>
      </c>
      <c r="AM876">
        <f>IF(Table1[[#This Row],[Attrition]]="Yes",1,0)</f>
        <v>0</v>
      </c>
    </row>
    <row r="877" spans="1:39" ht="13.8" x14ac:dyDescent="0.25">
      <c r="A877">
        <v>44</v>
      </c>
      <c r="B877" t="str" cm="1">
        <f t="array" ref="B877">_xlfn.IFS(Table1[[#This Row],[Age]]&lt;30,"Under 30",Table1[[#This Row],[Age]]&lt;=40,"30-40",Table1[[#This Row],[Age]]&lt;=50,"41-50",Table1[[#This Row],[Age]]&gt;50,"Over 50")</f>
        <v>41-50</v>
      </c>
      <c r="C877" t="s">
        <v>43</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t="str" cm="1">
        <f t="array" ref="AH877">_xlfn.IFS(Table1[[#This Row],[YearsAtCompany]]&lt;=2,"0-2 years",Table1[[#This Row],[YearsAtCompany]]&lt;=5,"3-5 years",Table1[[#This Row],[YearsAtCompany]]&lt;=10,"6-10 years",Table1[[#This Row],[YearsAtCompany]]&gt;10,"10+ years")</f>
        <v>10+ years</v>
      </c>
      <c r="AI877">
        <v>11</v>
      </c>
      <c r="AJ877">
        <v>13</v>
      </c>
      <c r="AK877">
        <v>17</v>
      </c>
      <c r="AL877" t="str" cm="1">
        <f t="array" ref="AL877">_xlfn.IFS(Table1[[#This Row],[JobSatisfaction]]=1,"Low",Table1[[#This Row],[JobSatisfaction]]=2,"Medium",Table1[[#This Row],[JobSatisfaction]]=3,"High",Table1[[#This Row],[JobSatisfaction]]=4,"Very High")</f>
        <v>Very High</v>
      </c>
      <c r="AM877">
        <f>IF(Table1[[#This Row],[Attrition]]="Yes",1,0)</f>
        <v>0</v>
      </c>
    </row>
    <row r="878" spans="1:39" ht="13.8" x14ac:dyDescent="0.25">
      <c r="A878">
        <v>20</v>
      </c>
      <c r="B878" t="str" cm="1">
        <f t="array" ref="B878">_xlfn.IFS(Table1[[#This Row],[Age]]&lt;30,"Under 30",Table1[[#This Row],[Age]]&lt;=40,"30-40",Table1[[#This Row],[Age]]&lt;=50,"41-50",Table1[[#This Row],[Age]]&gt;50,"Over 50")</f>
        <v>Under 30</v>
      </c>
      <c r="C878" t="s">
        <v>43</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t="str" cm="1">
        <f t="array" ref="AH878">_xlfn.IFS(Table1[[#This Row],[YearsAtCompany]]&lt;=2,"0-2 years",Table1[[#This Row],[YearsAtCompany]]&lt;=5,"3-5 years",Table1[[#This Row],[YearsAtCompany]]&lt;=10,"6-10 years",Table1[[#This Row],[YearsAtCompany]]&gt;10,"10+ years")</f>
        <v>0-2 years</v>
      </c>
      <c r="AI878">
        <v>1</v>
      </c>
      <c r="AJ878">
        <v>2</v>
      </c>
      <c r="AK878">
        <v>2</v>
      </c>
      <c r="AL878" t="str" cm="1">
        <f t="array" ref="AL878">_xlfn.IFS(Table1[[#This Row],[JobSatisfaction]]=1,"Low",Table1[[#This Row],[JobSatisfaction]]=2,"Medium",Table1[[#This Row],[JobSatisfaction]]=3,"High",Table1[[#This Row],[JobSatisfaction]]=4,"Very High")</f>
        <v>Very High</v>
      </c>
      <c r="AM878">
        <f>IF(Table1[[#This Row],[Attrition]]="Yes",1,0)</f>
        <v>0</v>
      </c>
    </row>
    <row r="879" spans="1:39" ht="13.8" x14ac:dyDescent="0.25">
      <c r="A879">
        <v>46</v>
      </c>
      <c r="B879" t="str" cm="1">
        <f t="array" ref="B879">_xlfn.IFS(Table1[[#This Row],[Age]]&lt;30,"Under 30",Table1[[#This Row],[Age]]&lt;=40,"30-40",Table1[[#This Row],[Age]]&lt;=50,"41-50",Table1[[#This Row],[Age]]&gt;50,"Over 50")</f>
        <v>41-50</v>
      </c>
      <c r="C879" t="s">
        <v>43</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t="str" cm="1">
        <f t="array" ref="AH879">_xlfn.IFS(Table1[[#This Row],[YearsAtCompany]]&lt;=2,"0-2 years",Table1[[#This Row],[YearsAtCompany]]&lt;=5,"3-5 years",Table1[[#This Row],[YearsAtCompany]]&lt;=10,"6-10 years",Table1[[#This Row],[YearsAtCompany]]&gt;10,"10+ years")</f>
        <v>6-10 years</v>
      </c>
      <c r="AI879">
        <v>3</v>
      </c>
      <c r="AJ879">
        <v>1</v>
      </c>
      <c r="AK879">
        <v>4</v>
      </c>
      <c r="AL879" t="str" cm="1">
        <f t="array" ref="AL879">_xlfn.IFS(Table1[[#This Row],[JobSatisfaction]]=1,"Low",Table1[[#This Row],[JobSatisfaction]]=2,"Medium",Table1[[#This Row],[JobSatisfaction]]=3,"High",Table1[[#This Row],[JobSatisfaction]]=4,"Very High")</f>
        <v>Very High</v>
      </c>
      <c r="AM879">
        <f>IF(Table1[[#This Row],[Attrition]]="Yes",1,0)</f>
        <v>0</v>
      </c>
    </row>
    <row r="880" spans="1:39" ht="13.8" x14ac:dyDescent="0.25">
      <c r="A880">
        <v>42</v>
      </c>
      <c r="B880" t="str" cm="1">
        <f t="array" ref="B880">_xlfn.IFS(Table1[[#This Row],[Age]]&lt;30,"Under 30",Table1[[#This Row],[Age]]&lt;=40,"30-40",Table1[[#This Row],[Age]]&lt;=50,"41-50",Table1[[#This Row],[Age]]&gt;50,"Over 50")</f>
        <v>41-50</v>
      </c>
      <c r="C880" t="s">
        <v>43</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t="str" cm="1">
        <f t="array" ref="AH880">_xlfn.IFS(Table1[[#This Row],[YearsAtCompany]]&lt;=2,"0-2 years",Table1[[#This Row],[YearsAtCompany]]&lt;=5,"3-5 years",Table1[[#This Row],[YearsAtCompany]]&lt;=10,"6-10 years",Table1[[#This Row],[YearsAtCompany]]&gt;10,"10+ years")</f>
        <v>3-5 years</v>
      </c>
      <c r="AI880">
        <v>3</v>
      </c>
      <c r="AJ880">
        <v>0</v>
      </c>
      <c r="AK880">
        <v>3</v>
      </c>
      <c r="AL880" t="str" cm="1">
        <f t="array" ref="AL880">_xlfn.IFS(Table1[[#This Row],[JobSatisfaction]]=1,"Low",Table1[[#This Row],[JobSatisfaction]]=2,"Medium",Table1[[#This Row],[JobSatisfaction]]=3,"High",Table1[[#This Row],[JobSatisfaction]]=4,"Very High")</f>
        <v>Low</v>
      </c>
      <c r="AM880">
        <f>IF(Table1[[#This Row],[Attrition]]="Yes",1,0)</f>
        <v>0</v>
      </c>
    </row>
    <row r="881" spans="1:39" ht="13.8" x14ac:dyDescent="0.25">
      <c r="A881">
        <v>60</v>
      </c>
      <c r="B881" t="str" cm="1">
        <f t="array" ref="B881">_xlfn.IFS(Table1[[#This Row],[Age]]&lt;30,"Under 30",Table1[[#This Row],[Age]]&lt;=40,"30-40",Table1[[#This Row],[Age]]&lt;=50,"41-50",Table1[[#This Row],[Age]]&gt;50,"Over 50")</f>
        <v>Over 50</v>
      </c>
      <c r="C881" t="s">
        <v>43</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t="str" cm="1">
        <f t="array" ref="AH881">_xlfn.IFS(Table1[[#This Row],[YearsAtCompany]]&lt;=2,"0-2 years",Table1[[#This Row],[YearsAtCompany]]&lt;=5,"3-5 years",Table1[[#This Row],[YearsAtCompany]]&lt;=10,"6-10 years",Table1[[#This Row],[YearsAtCompany]]&gt;10,"10+ years")</f>
        <v>10+ years</v>
      </c>
      <c r="AI881">
        <v>7</v>
      </c>
      <c r="AJ881">
        <v>1</v>
      </c>
      <c r="AK881">
        <v>9</v>
      </c>
      <c r="AL881" t="str" cm="1">
        <f t="array" ref="AL881">_xlfn.IFS(Table1[[#This Row],[JobSatisfaction]]=1,"Low",Table1[[#This Row],[JobSatisfaction]]=2,"Medium",Table1[[#This Row],[JobSatisfaction]]=3,"High",Table1[[#This Row],[JobSatisfaction]]=4,"Very High")</f>
        <v>Very High</v>
      </c>
      <c r="AM881">
        <f>IF(Table1[[#This Row],[Attrition]]="Yes",1,0)</f>
        <v>0</v>
      </c>
    </row>
    <row r="882" spans="1:39" ht="13.8" x14ac:dyDescent="0.25">
      <c r="A882">
        <v>32</v>
      </c>
      <c r="B882" t="str" cm="1">
        <f t="array" ref="B882">_xlfn.IFS(Table1[[#This Row],[Age]]&lt;30,"Under 30",Table1[[#This Row],[Age]]&lt;=40,"30-40",Table1[[#This Row],[Age]]&lt;=50,"41-50",Table1[[#This Row],[Age]]&gt;50,"Over 50")</f>
        <v>30-40</v>
      </c>
      <c r="C882" t="s">
        <v>43</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t="str" cm="1">
        <f t="array" ref="AH882">_xlfn.IFS(Table1[[#This Row],[YearsAtCompany]]&lt;=2,"0-2 years",Table1[[#This Row],[YearsAtCompany]]&lt;=5,"3-5 years",Table1[[#This Row],[YearsAtCompany]]&lt;=10,"6-10 years",Table1[[#This Row],[YearsAtCompany]]&gt;10,"10+ years")</f>
        <v>0-2 years</v>
      </c>
      <c r="AI882">
        <v>2</v>
      </c>
      <c r="AJ882">
        <v>2</v>
      </c>
      <c r="AK882">
        <v>2</v>
      </c>
      <c r="AL882" t="str" cm="1">
        <f t="array" ref="AL882">_xlfn.IFS(Table1[[#This Row],[JobSatisfaction]]=1,"Low",Table1[[#This Row],[JobSatisfaction]]=2,"Medium",Table1[[#This Row],[JobSatisfaction]]=3,"High",Table1[[#This Row],[JobSatisfaction]]=4,"Very High")</f>
        <v>Medium</v>
      </c>
      <c r="AM882">
        <f>IF(Table1[[#This Row],[Attrition]]="Yes",1,0)</f>
        <v>0</v>
      </c>
    </row>
    <row r="883" spans="1:39" ht="13.8" x14ac:dyDescent="0.25">
      <c r="A883">
        <v>32</v>
      </c>
      <c r="B883" t="str" cm="1">
        <f t="array" ref="B883">_xlfn.IFS(Table1[[#This Row],[Age]]&lt;30,"Under 30",Table1[[#This Row],[Age]]&lt;=40,"30-40",Table1[[#This Row],[Age]]&lt;=50,"41-50",Table1[[#This Row],[Age]]&gt;50,"Over 50")</f>
        <v>30-40</v>
      </c>
      <c r="C883" t="s">
        <v>43</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t="str" cm="1">
        <f t="array" ref="AH883">_xlfn.IFS(Table1[[#This Row],[YearsAtCompany]]&lt;=2,"0-2 years",Table1[[#This Row],[YearsAtCompany]]&lt;=5,"3-5 years",Table1[[#This Row],[YearsAtCompany]]&lt;=10,"6-10 years",Table1[[#This Row],[YearsAtCompany]]&gt;10,"10+ years")</f>
        <v>6-10 years</v>
      </c>
      <c r="AI883">
        <v>7</v>
      </c>
      <c r="AJ883">
        <v>0</v>
      </c>
      <c r="AK883">
        <v>7</v>
      </c>
      <c r="AL883" t="str" cm="1">
        <f t="array" ref="AL883">_xlfn.IFS(Table1[[#This Row],[JobSatisfaction]]=1,"Low",Table1[[#This Row],[JobSatisfaction]]=2,"Medium",Table1[[#This Row],[JobSatisfaction]]=3,"High",Table1[[#This Row],[JobSatisfaction]]=4,"Very High")</f>
        <v>High</v>
      </c>
      <c r="AM883">
        <f>IF(Table1[[#This Row],[Attrition]]="Yes",1,0)</f>
        <v>0</v>
      </c>
    </row>
    <row r="884" spans="1:39" ht="13.8" x14ac:dyDescent="0.25">
      <c r="A884">
        <v>36</v>
      </c>
      <c r="B884" t="str" cm="1">
        <f t="array" ref="B884">_xlfn.IFS(Table1[[#This Row],[Age]]&lt;30,"Under 30",Table1[[#This Row],[Age]]&lt;=40,"30-40",Table1[[#This Row],[Age]]&lt;=50,"41-50",Table1[[#This Row],[Age]]&gt;50,"Over 50")</f>
        <v>30-40</v>
      </c>
      <c r="C884" t="s">
        <v>43</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t="str" cm="1">
        <f t="array" ref="AH884">_xlfn.IFS(Table1[[#This Row],[YearsAtCompany]]&lt;=2,"0-2 years",Table1[[#This Row],[YearsAtCompany]]&lt;=5,"3-5 years",Table1[[#This Row],[YearsAtCompany]]&lt;=10,"6-10 years",Table1[[#This Row],[YearsAtCompany]]&gt;10,"10+ years")</f>
        <v>6-10 years</v>
      </c>
      <c r="AI884">
        <v>7</v>
      </c>
      <c r="AJ884">
        <v>7</v>
      </c>
      <c r="AK884">
        <v>7</v>
      </c>
      <c r="AL884" t="str" cm="1">
        <f t="array" ref="AL884">_xlfn.IFS(Table1[[#This Row],[JobSatisfaction]]=1,"Low",Table1[[#This Row],[JobSatisfaction]]=2,"Medium",Table1[[#This Row],[JobSatisfaction]]=3,"High",Table1[[#This Row],[JobSatisfaction]]=4,"Very High")</f>
        <v>Low</v>
      </c>
      <c r="AM884">
        <f>IF(Table1[[#This Row],[Attrition]]="Yes",1,0)</f>
        <v>0</v>
      </c>
    </row>
    <row r="885" spans="1:39" ht="13.8" x14ac:dyDescent="0.25">
      <c r="A885">
        <v>33</v>
      </c>
      <c r="B885" t="str" cm="1">
        <f t="array" ref="B885">_xlfn.IFS(Table1[[#This Row],[Age]]&lt;30,"Under 30",Table1[[#This Row],[Age]]&lt;=40,"30-40",Table1[[#This Row],[Age]]&lt;=50,"41-50",Table1[[#This Row],[Age]]&gt;50,"Over 50")</f>
        <v>30-40</v>
      </c>
      <c r="C885" t="s">
        <v>43</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t="str" cm="1">
        <f t="array" ref="AH885">_xlfn.IFS(Table1[[#This Row],[YearsAtCompany]]&lt;=2,"0-2 years",Table1[[#This Row],[YearsAtCompany]]&lt;=5,"3-5 years",Table1[[#This Row],[YearsAtCompany]]&lt;=10,"6-10 years",Table1[[#This Row],[YearsAtCompany]]&gt;10,"10+ years")</f>
        <v>10+ years</v>
      </c>
      <c r="AI885">
        <v>10</v>
      </c>
      <c r="AJ885">
        <v>4</v>
      </c>
      <c r="AK885">
        <v>10</v>
      </c>
      <c r="AL885" t="str" cm="1">
        <f t="array" ref="AL885">_xlfn.IFS(Table1[[#This Row],[JobSatisfaction]]=1,"Low",Table1[[#This Row],[JobSatisfaction]]=2,"Medium",Table1[[#This Row],[JobSatisfaction]]=3,"High",Table1[[#This Row],[JobSatisfaction]]=4,"Very High")</f>
        <v>Very High</v>
      </c>
      <c r="AM885">
        <f>IF(Table1[[#This Row],[Attrition]]="Yes",1,0)</f>
        <v>0</v>
      </c>
    </row>
    <row r="886" spans="1:39" ht="13.8" x14ac:dyDescent="0.25">
      <c r="A886">
        <v>40</v>
      </c>
      <c r="B886" t="str" cm="1">
        <f t="array" ref="B886">_xlfn.IFS(Table1[[#This Row],[Age]]&lt;30,"Under 30",Table1[[#This Row],[Age]]&lt;=40,"30-40",Table1[[#This Row],[Age]]&lt;=50,"41-50",Table1[[#This Row],[Age]]&gt;50,"Over 50")</f>
        <v>30-40</v>
      </c>
      <c r="C886" t="s">
        <v>43</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t="str" cm="1">
        <f t="array" ref="AH886">_xlfn.IFS(Table1[[#This Row],[YearsAtCompany]]&lt;=2,"0-2 years",Table1[[#This Row],[YearsAtCompany]]&lt;=5,"3-5 years",Table1[[#This Row],[YearsAtCompany]]&lt;=10,"6-10 years",Table1[[#This Row],[YearsAtCompany]]&gt;10,"10+ years")</f>
        <v>3-5 years</v>
      </c>
      <c r="AI886">
        <v>1</v>
      </c>
      <c r="AJ886">
        <v>1</v>
      </c>
      <c r="AK886">
        <v>3</v>
      </c>
      <c r="AL886" t="str" cm="1">
        <f t="array" ref="AL886">_xlfn.IFS(Table1[[#This Row],[JobSatisfaction]]=1,"Low",Table1[[#This Row],[JobSatisfaction]]=2,"Medium",Table1[[#This Row],[JobSatisfaction]]=3,"High",Table1[[#This Row],[JobSatisfaction]]=4,"Very High")</f>
        <v>Medium</v>
      </c>
      <c r="AM886">
        <f>IF(Table1[[#This Row],[Attrition]]="Yes",1,0)</f>
        <v>0</v>
      </c>
    </row>
    <row r="887" spans="1:39" ht="13.8" x14ac:dyDescent="0.25">
      <c r="A887">
        <v>25</v>
      </c>
      <c r="B887" t="str" cm="1">
        <f t="array" ref="B887">_xlfn.IFS(Table1[[#This Row],[Age]]&lt;30,"Under 30",Table1[[#This Row],[Age]]&lt;=40,"30-40",Table1[[#This Row],[Age]]&lt;=50,"41-50",Table1[[#This Row],[Age]]&gt;50,"Over 50")</f>
        <v>Under 30</v>
      </c>
      <c r="C887" t="s">
        <v>43</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t="str" cm="1">
        <f t="array" ref="AH887">_xlfn.IFS(Table1[[#This Row],[YearsAtCompany]]&lt;=2,"0-2 years",Table1[[#This Row],[YearsAtCompany]]&lt;=5,"3-5 years",Table1[[#This Row],[YearsAtCompany]]&lt;=10,"6-10 years",Table1[[#This Row],[YearsAtCompany]]&gt;10,"10+ years")</f>
        <v>3-5 years</v>
      </c>
      <c r="AI887">
        <v>3</v>
      </c>
      <c r="AJ887">
        <v>1</v>
      </c>
      <c r="AK887">
        <v>1</v>
      </c>
      <c r="AL887" t="str" cm="1">
        <f t="array" ref="AL887">_xlfn.IFS(Table1[[#This Row],[JobSatisfaction]]=1,"Low",Table1[[#This Row],[JobSatisfaction]]=2,"Medium",Table1[[#This Row],[JobSatisfaction]]=3,"High",Table1[[#This Row],[JobSatisfaction]]=4,"Very High")</f>
        <v>Very High</v>
      </c>
      <c r="AM887">
        <f>IF(Table1[[#This Row],[Attrition]]="Yes",1,0)</f>
        <v>0</v>
      </c>
    </row>
    <row r="888" spans="1:39" ht="13.8" x14ac:dyDescent="0.25">
      <c r="A888">
        <v>30</v>
      </c>
      <c r="B888" t="str" cm="1">
        <f t="array" ref="B888">_xlfn.IFS(Table1[[#This Row],[Age]]&lt;30,"Under 30",Table1[[#This Row],[Age]]&lt;=40,"30-40",Table1[[#This Row],[Age]]&lt;=50,"41-50",Table1[[#This Row],[Age]]&gt;50,"Over 50")</f>
        <v>30-40</v>
      </c>
      <c r="C888" t="s">
        <v>43</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t="str" cm="1">
        <f t="array" ref="AH888">_xlfn.IFS(Table1[[#This Row],[YearsAtCompany]]&lt;=2,"0-2 years",Table1[[#This Row],[YearsAtCompany]]&lt;=5,"3-5 years",Table1[[#This Row],[YearsAtCompany]]&lt;=10,"6-10 years",Table1[[#This Row],[YearsAtCompany]]&gt;10,"10+ years")</f>
        <v>10+ years</v>
      </c>
      <c r="AI888">
        <v>9</v>
      </c>
      <c r="AJ888">
        <v>5</v>
      </c>
      <c r="AK888">
        <v>7</v>
      </c>
      <c r="AL888" t="str" cm="1">
        <f t="array" ref="AL888">_xlfn.IFS(Table1[[#This Row],[JobSatisfaction]]=1,"Low",Table1[[#This Row],[JobSatisfaction]]=2,"Medium",Table1[[#This Row],[JobSatisfaction]]=3,"High",Table1[[#This Row],[JobSatisfaction]]=4,"Very High")</f>
        <v>Medium</v>
      </c>
      <c r="AM888">
        <f>IF(Table1[[#This Row],[Attrition]]="Yes",1,0)</f>
        <v>0</v>
      </c>
    </row>
    <row r="889" spans="1:39" ht="13.8" x14ac:dyDescent="0.25">
      <c r="A889">
        <v>42</v>
      </c>
      <c r="B889" t="str" cm="1">
        <f t="array" ref="B889">_xlfn.IFS(Table1[[#This Row],[Age]]&lt;30,"Under 30",Table1[[#This Row],[Age]]&lt;=40,"30-40",Table1[[#This Row],[Age]]&lt;=50,"41-50",Table1[[#This Row],[Age]]&gt;50,"Over 50")</f>
        <v>41-50</v>
      </c>
      <c r="C889" t="s">
        <v>43</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t="str" cm="1">
        <f t="array" ref="AH889">_xlfn.IFS(Table1[[#This Row],[YearsAtCompany]]&lt;=2,"0-2 years",Table1[[#This Row],[YearsAtCompany]]&lt;=5,"3-5 years",Table1[[#This Row],[YearsAtCompany]]&lt;=10,"6-10 years",Table1[[#This Row],[YearsAtCompany]]&gt;10,"10+ years")</f>
        <v>0-2 years</v>
      </c>
      <c r="AI889">
        <v>0</v>
      </c>
      <c r="AJ889">
        <v>0</v>
      </c>
      <c r="AK889">
        <v>0</v>
      </c>
      <c r="AL889" t="str" cm="1">
        <f t="array" ref="AL889">_xlfn.IFS(Table1[[#This Row],[JobSatisfaction]]=1,"Low",Table1[[#This Row],[JobSatisfaction]]=2,"Medium",Table1[[#This Row],[JobSatisfaction]]=3,"High",Table1[[#This Row],[JobSatisfaction]]=4,"Very High")</f>
        <v>Low</v>
      </c>
      <c r="AM889">
        <f>IF(Table1[[#This Row],[Attrition]]="Yes",1,0)</f>
        <v>0</v>
      </c>
    </row>
    <row r="890" spans="1:39" ht="13.8" x14ac:dyDescent="0.25">
      <c r="A890">
        <v>35</v>
      </c>
      <c r="B890" t="str" cm="1">
        <f t="array" ref="B890">_xlfn.IFS(Table1[[#This Row],[Age]]&lt;30,"Under 30",Table1[[#This Row],[Age]]&lt;=40,"30-40",Table1[[#This Row],[Age]]&lt;=50,"41-50",Table1[[#This Row],[Age]]&gt;50,"Over 50")</f>
        <v>30-40</v>
      </c>
      <c r="C890" t="s">
        <v>43</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t="str" cm="1">
        <f t="array" ref="AH890">_xlfn.IFS(Table1[[#This Row],[YearsAtCompany]]&lt;=2,"0-2 years",Table1[[#This Row],[YearsAtCompany]]&lt;=5,"3-5 years",Table1[[#This Row],[YearsAtCompany]]&lt;=10,"6-10 years",Table1[[#This Row],[YearsAtCompany]]&gt;10,"10+ years")</f>
        <v>10+ years</v>
      </c>
      <c r="AI890">
        <v>2</v>
      </c>
      <c r="AJ890">
        <v>4</v>
      </c>
      <c r="AK890">
        <v>12</v>
      </c>
      <c r="AL890" t="str" cm="1">
        <f t="array" ref="AL890">_xlfn.IFS(Table1[[#This Row],[JobSatisfaction]]=1,"Low",Table1[[#This Row],[JobSatisfaction]]=2,"Medium",Table1[[#This Row],[JobSatisfaction]]=3,"High",Table1[[#This Row],[JobSatisfaction]]=4,"Very High")</f>
        <v>Very High</v>
      </c>
      <c r="AM890">
        <f>IF(Table1[[#This Row],[Attrition]]="Yes",1,0)</f>
        <v>0</v>
      </c>
    </row>
    <row r="891" spans="1:39" ht="13.8" x14ac:dyDescent="0.25">
      <c r="A891">
        <v>27</v>
      </c>
      <c r="B891" t="str" cm="1">
        <f t="array" ref="B891">_xlfn.IFS(Table1[[#This Row],[Age]]&lt;30,"Under 30",Table1[[#This Row],[Age]]&lt;=40,"30-40",Table1[[#This Row],[Age]]&lt;=50,"41-50",Table1[[#This Row],[Age]]&gt;50,"Over 50")</f>
        <v>Under 30</v>
      </c>
      <c r="C891" t="s">
        <v>43</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t="str" cm="1">
        <f t="array" ref="AH891">_xlfn.IFS(Table1[[#This Row],[YearsAtCompany]]&lt;=2,"0-2 years",Table1[[#This Row],[YearsAtCompany]]&lt;=5,"3-5 years",Table1[[#This Row],[YearsAtCompany]]&lt;=10,"6-10 years",Table1[[#This Row],[YearsAtCompany]]&gt;10,"10+ years")</f>
        <v>6-10 years</v>
      </c>
      <c r="AI891">
        <v>7</v>
      </c>
      <c r="AJ891">
        <v>6</v>
      </c>
      <c r="AK891">
        <v>8</v>
      </c>
      <c r="AL891" t="str" cm="1">
        <f t="array" ref="AL891">_xlfn.IFS(Table1[[#This Row],[JobSatisfaction]]=1,"Low",Table1[[#This Row],[JobSatisfaction]]=2,"Medium",Table1[[#This Row],[JobSatisfaction]]=3,"High",Table1[[#This Row],[JobSatisfaction]]=4,"Very High")</f>
        <v>Low</v>
      </c>
      <c r="AM891">
        <f>IF(Table1[[#This Row],[Attrition]]="Yes",1,0)</f>
        <v>0</v>
      </c>
    </row>
    <row r="892" spans="1:39" ht="13.8" x14ac:dyDescent="0.25">
      <c r="A892">
        <v>54</v>
      </c>
      <c r="B892" t="str" cm="1">
        <f t="array" ref="B892">_xlfn.IFS(Table1[[#This Row],[Age]]&lt;30,"Under 30",Table1[[#This Row],[Age]]&lt;=40,"30-40",Table1[[#This Row],[Age]]&lt;=50,"41-50",Table1[[#This Row],[Age]]&gt;50,"Over 50")</f>
        <v>Over 50</v>
      </c>
      <c r="C892" t="s">
        <v>43</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t="str" cm="1">
        <f t="array" ref="AH892">_xlfn.IFS(Table1[[#This Row],[YearsAtCompany]]&lt;=2,"0-2 years",Table1[[#This Row],[YearsAtCompany]]&lt;=5,"3-5 years",Table1[[#This Row],[YearsAtCompany]]&lt;=10,"6-10 years",Table1[[#This Row],[YearsAtCompany]]&gt;10,"10+ years")</f>
        <v>3-5 years</v>
      </c>
      <c r="AI892">
        <v>4</v>
      </c>
      <c r="AJ892">
        <v>1</v>
      </c>
      <c r="AK892">
        <v>4</v>
      </c>
      <c r="AL892" t="str" cm="1">
        <f t="array" ref="AL892">_xlfn.IFS(Table1[[#This Row],[JobSatisfaction]]=1,"Low",Table1[[#This Row],[JobSatisfaction]]=2,"Medium",Table1[[#This Row],[JobSatisfaction]]=3,"High",Table1[[#This Row],[JobSatisfaction]]=4,"Very High")</f>
        <v>High</v>
      </c>
      <c r="AM892">
        <f>IF(Table1[[#This Row],[Attrition]]="Yes",1,0)</f>
        <v>0</v>
      </c>
    </row>
    <row r="893" spans="1:39" ht="13.8" x14ac:dyDescent="0.25">
      <c r="A893">
        <v>44</v>
      </c>
      <c r="B893" t="str" cm="1">
        <f t="array" ref="B893">_xlfn.IFS(Table1[[#This Row],[Age]]&lt;30,"Under 30",Table1[[#This Row],[Age]]&lt;=40,"30-40",Table1[[#This Row],[Age]]&lt;=50,"41-50",Table1[[#This Row],[Age]]&gt;50,"Over 50")</f>
        <v>41-50</v>
      </c>
      <c r="C893" t="s">
        <v>43</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t="str" cm="1">
        <f t="array" ref="AH893">_xlfn.IFS(Table1[[#This Row],[YearsAtCompany]]&lt;=2,"0-2 years",Table1[[#This Row],[YearsAtCompany]]&lt;=5,"3-5 years",Table1[[#This Row],[YearsAtCompany]]&lt;=10,"6-10 years",Table1[[#This Row],[YearsAtCompany]]&gt;10,"10+ years")</f>
        <v>6-10 years</v>
      </c>
      <c r="AI893">
        <v>5</v>
      </c>
      <c r="AJ893">
        <v>7</v>
      </c>
      <c r="AK893">
        <v>7</v>
      </c>
      <c r="AL893" t="str" cm="1">
        <f t="array" ref="AL893">_xlfn.IFS(Table1[[#This Row],[JobSatisfaction]]=1,"Low",Table1[[#This Row],[JobSatisfaction]]=2,"Medium",Table1[[#This Row],[JobSatisfaction]]=3,"High",Table1[[#This Row],[JobSatisfaction]]=4,"Very High")</f>
        <v>Very High</v>
      </c>
      <c r="AM893">
        <f>IF(Table1[[#This Row],[Attrition]]="Yes",1,0)</f>
        <v>0</v>
      </c>
    </row>
    <row r="894" spans="1:39" ht="13.8" x14ac:dyDescent="0.25">
      <c r="A894">
        <v>19</v>
      </c>
      <c r="B894" t="str" cm="1">
        <f t="array" ref="B894">_xlfn.IFS(Table1[[#This Row],[Age]]&lt;30,"Under 30",Table1[[#This Row],[Age]]&lt;=40,"30-40",Table1[[#This Row],[Age]]&lt;=50,"41-50",Table1[[#This Row],[Age]]&gt;50,"Over 50")</f>
        <v>Under 30</v>
      </c>
      <c r="C894" t="s">
        <v>35</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t="str" cm="1">
        <f t="array" ref="AH894">_xlfn.IFS(Table1[[#This Row],[YearsAtCompany]]&lt;=2,"0-2 years",Table1[[#This Row],[YearsAtCompany]]&lt;=5,"3-5 years",Table1[[#This Row],[YearsAtCompany]]&lt;=10,"6-10 years",Table1[[#This Row],[YearsAtCompany]]&gt;10,"10+ years")</f>
        <v>0-2 years</v>
      </c>
      <c r="AI894">
        <v>1</v>
      </c>
      <c r="AJ894">
        <v>0</v>
      </c>
      <c r="AK894">
        <v>0</v>
      </c>
      <c r="AL894" t="str" cm="1">
        <f t="array" ref="AL894">_xlfn.IFS(Table1[[#This Row],[JobSatisfaction]]=1,"Low",Table1[[#This Row],[JobSatisfaction]]=2,"Medium",Table1[[#This Row],[JobSatisfaction]]=3,"High",Table1[[#This Row],[JobSatisfaction]]=4,"Very High")</f>
        <v>Medium</v>
      </c>
      <c r="AM894">
        <f>IF(Table1[[#This Row],[Attrition]]="Yes",1,0)</f>
        <v>1</v>
      </c>
    </row>
    <row r="895" spans="1:39" ht="13.8" x14ac:dyDescent="0.25">
      <c r="A895">
        <v>29</v>
      </c>
      <c r="B895" t="str" cm="1">
        <f t="array" ref="B895">_xlfn.IFS(Table1[[#This Row],[Age]]&lt;30,"Under 30",Table1[[#This Row],[Age]]&lt;=40,"30-40",Table1[[#This Row],[Age]]&lt;=50,"41-50",Table1[[#This Row],[Age]]&gt;50,"Over 50")</f>
        <v>Under 30</v>
      </c>
      <c r="C895" t="s">
        <v>43</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t="str" cm="1">
        <f t="array" ref="AH895">_xlfn.IFS(Table1[[#This Row],[YearsAtCompany]]&lt;=2,"0-2 years",Table1[[#This Row],[YearsAtCompany]]&lt;=5,"3-5 years",Table1[[#This Row],[YearsAtCompany]]&lt;=10,"6-10 years",Table1[[#This Row],[YearsAtCompany]]&gt;10,"10+ years")</f>
        <v>3-5 years</v>
      </c>
      <c r="AI895">
        <v>2</v>
      </c>
      <c r="AJ895">
        <v>1</v>
      </c>
      <c r="AK895">
        <v>2</v>
      </c>
      <c r="AL895" t="str" cm="1">
        <f t="array" ref="AL895">_xlfn.IFS(Table1[[#This Row],[JobSatisfaction]]=1,"Low",Table1[[#This Row],[JobSatisfaction]]=2,"Medium",Table1[[#This Row],[JobSatisfaction]]=3,"High",Table1[[#This Row],[JobSatisfaction]]=4,"Very High")</f>
        <v>Very High</v>
      </c>
      <c r="AM895">
        <f>IF(Table1[[#This Row],[Attrition]]="Yes",1,0)</f>
        <v>0</v>
      </c>
    </row>
    <row r="896" spans="1:39" ht="13.8" x14ac:dyDescent="0.25">
      <c r="A896">
        <v>54</v>
      </c>
      <c r="B896" t="str" cm="1">
        <f t="array" ref="B896">_xlfn.IFS(Table1[[#This Row],[Age]]&lt;30,"Under 30",Table1[[#This Row],[Age]]&lt;=40,"30-40",Table1[[#This Row],[Age]]&lt;=50,"41-50",Table1[[#This Row],[Age]]&gt;50,"Over 50")</f>
        <v>Over 50</v>
      </c>
      <c r="C896" t="s">
        <v>43</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t="str" cm="1">
        <f t="array" ref="AH896">_xlfn.IFS(Table1[[#This Row],[YearsAtCompany]]&lt;=2,"0-2 years",Table1[[#This Row],[YearsAtCompany]]&lt;=5,"3-5 years",Table1[[#This Row],[YearsAtCompany]]&lt;=10,"6-10 years",Table1[[#This Row],[YearsAtCompany]]&gt;10,"10+ years")</f>
        <v>6-10 years</v>
      </c>
      <c r="AI896">
        <v>9</v>
      </c>
      <c r="AJ896">
        <v>0</v>
      </c>
      <c r="AK896">
        <v>9</v>
      </c>
      <c r="AL896" t="str" cm="1">
        <f t="array" ref="AL896">_xlfn.IFS(Table1[[#This Row],[JobSatisfaction]]=1,"Low",Table1[[#This Row],[JobSatisfaction]]=2,"Medium",Table1[[#This Row],[JobSatisfaction]]=3,"High",Table1[[#This Row],[JobSatisfaction]]=4,"Very High")</f>
        <v>Very High</v>
      </c>
      <c r="AM896">
        <f>IF(Table1[[#This Row],[Attrition]]="Yes",1,0)</f>
        <v>0</v>
      </c>
    </row>
    <row r="897" spans="1:39" ht="13.8" x14ac:dyDescent="0.25">
      <c r="A897">
        <v>31</v>
      </c>
      <c r="B897" t="str" cm="1">
        <f t="array" ref="B897">_xlfn.IFS(Table1[[#This Row],[Age]]&lt;30,"Under 30",Table1[[#This Row],[Age]]&lt;=40,"30-40",Table1[[#This Row],[Age]]&lt;=50,"41-50",Table1[[#This Row],[Age]]&gt;50,"Over 50")</f>
        <v>30-40</v>
      </c>
      <c r="C897" t="s">
        <v>43</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t="str" cm="1">
        <f t="array" ref="AH897">_xlfn.IFS(Table1[[#This Row],[YearsAtCompany]]&lt;=2,"0-2 years",Table1[[#This Row],[YearsAtCompany]]&lt;=5,"3-5 years",Table1[[#This Row],[YearsAtCompany]]&lt;=10,"6-10 years",Table1[[#This Row],[YearsAtCompany]]&gt;10,"10+ years")</f>
        <v>6-10 years</v>
      </c>
      <c r="AI897">
        <v>5</v>
      </c>
      <c r="AJ897">
        <v>0</v>
      </c>
      <c r="AK897">
        <v>1</v>
      </c>
      <c r="AL897" t="str" cm="1">
        <f t="array" ref="AL897">_xlfn.IFS(Table1[[#This Row],[JobSatisfaction]]=1,"Low",Table1[[#This Row],[JobSatisfaction]]=2,"Medium",Table1[[#This Row],[JobSatisfaction]]=3,"High",Table1[[#This Row],[JobSatisfaction]]=4,"Very High")</f>
        <v>Low</v>
      </c>
      <c r="AM897">
        <f>IF(Table1[[#This Row],[Attrition]]="Yes",1,0)</f>
        <v>0</v>
      </c>
    </row>
    <row r="898" spans="1:39" ht="13.8" x14ac:dyDescent="0.25">
      <c r="A898">
        <v>31</v>
      </c>
      <c r="B898" t="str" cm="1">
        <f t="array" ref="B898">_xlfn.IFS(Table1[[#This Row],[Age]]&lt;30,"Under 30",Table1[[#This Row],[Age]]&lt;=40,"30-40",Table1[[#This Row],[Age]]&lt;=50,"41-50",Table1[[#This Row],[Age]]&gt;50,"Over 50")</f>
        <v>30-40</v>
      </c>
      <c r="C898" t="s">
        <v>43</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t="str" cm="1">
        <f t="array" ref="AH898">_xlfn.IFS(Table1[[#This Row],[YearsAtCompany]]&lt;=2,"0-2 years",Table1[[#This Row],[YearsAtCompany]]&lt;=5,"3-5 years",Table1[[#This Row],[YearsAtCompany]]&lt;=10,"6-10 years",Table1[[#This Row],[YearsAtCompany]]&gt;10,"10+ years")</f>
        <v>6-10 years</v>
      </c>
      <c r="AI898">
        <v>9</v>
      </c>
      <c r="AJ898">
        <v>1</v>
      </c>
      <c r="AK898">
        <v>8</v>
      </c>
      <c r="AL898" t="str" cm="1">
        <f t="array" ref="AL898">_xlfn.IFS(Table1[[#This Row],[JobSatisfaction]]=1,"Low",Table1[[#This Row],[JobSatisfaction]]=2,"Medium",Table1[[#This Row],[JobSatisfaction]]=3,"High",Table1[[#This Row],[JobSatisfaction]]=4,"Very High")</f>
        <v>Low</v>
      </c>
      <c r="AM898">
        <f>IF(Table1[[#This Row],[Attrition]]="Yes",1,0)</f>
        <v>0</v>
      </c>
    </row>
    <row r="899" spans="1:39" ht="13.8" x14ac:dyDescent="0.25">
      <c r="A899">
        <v>59</v>
      </c>
      <c r="B899" t="str" cm="1">
        <f t="array" ref="B899">_xlfn.IFS(Table1[[#This Row],[Age]]&lt;30,"Under 30",Table1[[#This Row],[Age]]&lt;=40,"30-40",Table1[[#This Row],[Age]]&lt;=50,"41-50",Table1[[#This Row],[Age]]&gt;50,"Over 50")</f>
        <v>Over 50</v>
      </c>
      <c r="C899" t="s">
        <v>43</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t="str" cm="1">
        <f t="array" ref="AH899">_xlfn.IFS(Table1[[#This Row],[YearsAtCompany]]&lt;=2,"0-2 years",Table1[[#This Row],[YearsAtCompany]]&lt;=5,"3-5 years",Table1[[#This Row],[YearsAtCompany]]&lt;=10,"6-10 years",Table1[[#This Row],[YearsAtCompany]]&gt;10,"10+ years")</f>
        <v>6-10 years</v>
      </c>
      <c r="AI899">
        <v>1</v>
      </c>
      <c r="AJ899">
        <v>0</v>
      </c>
      <c r="AK899">
        <v>5</v>
      </c>
      <c r="AL899" t="str" cm="1">
        <f t="array" ref="AL899">_xlfn.IFS(Table1[[#This Row],[JobSatisfaction]]=1,"Low",Table1[[#This Row],[JobSatisfaction]]=2,"Medium",Table1[[#This Row],[JobSatisfaction]]=3,"High",Table1[[#This Row],[JobSatisfaction]]=4,"Very High")</f>
        <v>Very High</v>
      </c>
      <c r="AM899">
        <f>IF(Table1[[#This Row],[Attrition]]="Yes",1,0)</f>
        <v>0</v>
      </c>
    </row>
    <row r="900" spans="1:39" ht="13.8" x14ac:dyDescent="0.25">
      <c r="A900">
        <v>43</v>
      </c>
      <c r="B900" t="str" cm="1">
        <f t="array" ref="B900">_xlfn.IFS(Table1[[#This Row],[Age]]&lt;30,"Under 30",Table1[[#This Row],[Age]]&lt;=40,"30-40",Table1[[#This Row],[Age]]&lt;=50,"41-50",Table1[[#This Row],[Age]]&gt;50,"Over 50")</f>
        <v>41-50</v>
      </c>
      <c r="C900" t="s">
        <v>43</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t="str" cm="1">
        <f t="array" ref="AH900">_xlfn.IFS(Table1[[#This Row],[YearsAtCompany]]&lt;=2,"0-2 years",Table1[[#This Row],[YearsAtCompany]]&lt;=5,"3-5 years",Table1[[#This Row],[YearsAtCompany]]&lt;=10,"6-10 years",Table1[[#This Row],[YearsAtCompany]]&gt;10,"10+ years")</f>
        <v>6-10 years</v>
      </c>
      <c r="AI900">
        <v>7</v>
      </c>
      <c r="AJ900">
        <v>0</v>
      </c>
      <c r="AK900">
        <v>7</v>
      </c>
      <c r="AL900" t="str" cm="1">
        <f t="array" ref="AL900">_xlfn.IFS(Table1[[#This Row],[JobSatisfaction]]=1,"Low",Table1[[#This Row],[JobSatisfaction]]=2,"Medium",Table1[[#This Row],[JobSatisfaction]]=3,"High",Table1[[#This Row],[JobSatisfaction]]=4,"Very High")</f>
        <v>Very High</v>
      </c>
      <c r="AM900">
        <f>IF(Table1[[#This Row],[Attrition]]="Yes",1,0)</f>
        <v>0</v>
      </c>
    </row>
    <row r="901" spans="1:39" ht="13.8" x14ac:dyDescent="0.25">
      <c r="A901">
        <v>49</v>
      </c>
      <c r="B901" t="str" cm="1">
        <f t="array" ref="B901">_xlfn.IFS(Table1[[#This Row],[Age]]&lt;30,"Under 30",Table1[[#This Row],[Age]]&lt;=40,"30-40",Table1[[#This Row],[Age]]&lt;=50,"41-50",Table1[[#This Row],[Age]]&gt;50,"Over 50")</f>
        <v>41-50</v>
      </c>
      <c r="C901" t="s">
        <v>43</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t="str" cm="1">
        <f t="array" ref="AH901">_xlfn.IFS(Table1[[#This Row],[YearsAtCompany]]&lt;=2,"0-2 years",Table1[[#This Row],[YearsAtCompany]]&lt;=5,"3-5 years",Table1[[#This Row],[YearsAtCompany]]&lt;=10,"6-10 years",Table1[[#This Row],[YearsAtCompany]]&gt;10,"10+ years")</f>
        <v>0-2 years</v>
      </c>
      <c r="AI901">
        <v>0</v>
      </c>
      <c r="AJ901">
        <v>0</v>
      </c>
      <c r="AK901">
        <v>0</v>
      </c>
      <c r="AL901" t="str" cm="1">
        <f t="array" ref="AL901">_xlfn.IFS(Table1[[#This Row],[JobSatisfaction]]=1,"Low",Table1[[#This Row],[JobSatisfaction]]=2,"Medium",Table1[[#This Row],[JobSatisfaction]]=3,"High",Table1[[#This Row],[JobSatisfaction]]=4,"Very High")</f>
        <v>High</v>
      </c>
      <c r="AM901">
        <f>IF(Table1[[#This Row],[Attrition]]="Yes",1,0)</f>
        <v>0</v>
      </c>
    </row>
    <row r="902" spans="1:39" ht="13.8" x14ac:dyDescent="0.25">
      <c r="A902">
        <v>36</v>
      </c>
      <c r="B902" t="str" cm="1">
        <f t="array" ref="B902">_xlfn.IFS(Table1[[#This Row],[Age]]&lt;30,"Under 30",Table1[[#This Row],[Age]]&lt;=40,"30-40",Table1[[#This Row],[Age]]&lt;=50,"41-50",Table1[[#This Row],[Age]]&gt;50,"Over 50")</f>
        <v>30-40</v>
      </c>
      <c r="C902" t="s">
        <v>43</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t="str" cm="1">
        <f t="array" ref="AH902">_xlfn.IFS(Table1[[#This Row],[YearsAtCompany]]&lt;=2,"0-2 years",Table1[[#This Row],[YearsAtCompany]]&lt;=5,"3-5 years",Table1[[#This Row],[YearsAtCompany]]&lt;=10,"6-10 years",Table1[[#This Row],[YearsAtCompany]]&gt;10,"10+ years")</f>
        <v>10+ years</v>
      </c>
      <c r="AI902">
        <v>10</v>
      </c>
      <c r="AJ902">
        <v>0</v>
      </c>
      <c r="AK902">
        <v>7</v>
      </c>
      <c r="AL902" t="str" cm="1">
        <f t="array" ref="AL902">_xlfn.IFS(Table1[[#This Row],[JobSatisfaction]]=1,"Low",Table1[[#This Row],[JobSatisfaction]]=2,"Medium",Table1[[#This Row],[JobSatisfaction]]=3,"High",Table1[[#This Row],[JobSatisfaction]]=4,"Very High")</f>
        <v>Medium</v>
      </c>
      <c r="AM902">
        <f>IF(Table1[[#This Row],[Attrition]]="Yes",1,0)</f>
        <v>0</v>
      </c>
    </row>
    <row r="903" spans="1:39" ht="13.8" x14ac:dyDescent="0.25">
      <c r="A903">
        <v>48</v>
      </c>
      <c r="B903" t="str" cm="1">
        <f t="array" ref="B903">_xlfn.IFS(Table1[[#This Row],[Age]]&lt;30,"Under 30",Table1[[#This Row],[Age]]&lt;=40,"30-40",Table1[[#This Row],[Age]]&lt;=50,"41-50",Table1[[#This Row],[Age]]&gt;50,"Over 50")</f>
        <v>41-50</v>
      </c>
      <c r="C903" t="s">
        <v>43</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t="str" cm="1">
        <f t="array" ref="AH903">_xlfn.IFS(Table1[[#This Row],[YearsAtCompany]]&lt;=2,"0-2 years",Table1[[#This Row],[YearsAtCompany]]&lt;=5,"3-5 years",Table1[[#This Row],[YearsAtCompany]]&lt;=10,"6-10 years",Table1[[#This Row],[YearsAtCompany]]&gt;10,"10+ years")</f>
        <v>0-2 years</v>
      </c>
      <c r="AI903">
        <v>0</v>
      </c>
      <c r="AJ903">
        <v>0</v>
      </c>
      <c r="AK903">
        <v>0</v>
      </c>
      <c r="AL903" t="str" cm="1">
        <f t="array" ref="AL903">_xlfn.IFS(Table1[[#This Row],[JobSatisfaction]]=1,"Low",Table1[[#This Row],[JobSatisfaction]]=2,"Medium",Table1[[#This Row],[JobSatisfaction]]=3,"High",Table1[[#This Row],[JobSatisfaction]]=4,"Very High")</f>
        <v>Medium</v>
      </c>
      <c r="AM903">
        <f>IF(Table1[[#This Row],[Attrition]]="Yes",1,0)</f>
        <v>0</v>
      </c>
    </row>
    <row r="904" spans="1:39" ht="13.8" x14ac:dyDescent="0.25">
      <c r="A904">
        <v>27</v>
      </c>
      <c r="B904" t="str" cm="1">
        <f t="array" ref="B904">_xlfn.IFS(Table1[[#This Row],[Age]]&lt;30,"Under 30",Table1[[#This Row],[Age]]&lt;=40,"30-40",Table1[[#This Row],[Age]]&lt;=50,"41-50",Table1[[#This Row],[Age]]&gt;50,"Over 50")</f>
        <v>Under 30</v>
      </c>
      <c r="C904" t="s">
        <v>43</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t="str" cm="1">
        <f t="array" ref="AH904">_xlfn.IFS(Table1[[#This Row],[YearsAtCompany]]&lt;=2,"0-2 years",Table1[[#This Row],[YearsAtCompany]]&lt;=5,"3-5 years",Table1[[#This Row],[YearsAtCompany]]&lt;=10,"6-10 years",Table1[[#This Row],[YearsAtCompany]]&gt;10,"10+ years")</f>
        <v>3-5 years</v>
      </c>
      <c r="AI904">
        <v>3</v>
      </c>
      <c r="AJ904">
        <v>0</v>
      </c>
      <c r="AK904">
        <v>3</v>
      </c>
      <c r="AL904" t="str" cm="1">
        <f t="array" ref="AL904">_xlfn.IFS(Table1[[#This Row],[JobSatisfaction]]=1,"Low",Table1[[#This Row],[JobSatisfaction]]=2,"Medium",Table1[[#This Row],[JobSatisfaction]]=3,"High",Table1[[#This Row],[JobSatisfaction]]=4,"Very High")</f>
        <v>High</v>
      </c>
      <c r="AM904">
        <f>IF(Table1[[#This Row],[Attrition]]="Yes",1,0)</f>
        <v>0</v>
      </c>
    </row>
    <row r="905" spans="1:39" ht="13.8" x14ac:dyDescent="0.25">
      <c r="A905">
        <v>29</v>
      </c>
      <c r="B905" t="str" cm="1">
        <f t="array" ref="B905">_xlfn.IFS(Table1[[#This Row],[Age]]&lt;30,"Under 30",Table1[[#This Row],[Age]]&lt;=40,"30-40",Table1[[#This Row],[Age]]&lt;=50,"41-50",Table1[[#This Row],[Age]]&gt;50,"Over 50")</f>
        <v>Under 30</v>
      </c>
      <c r="C905" t="s">
        <v>43</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t="str" cm="1">
        <f t="array" ref="AH905">_xlfn.IFS(Table1[[#This Row],[YearsAtCompany]]&lt;=2,"0-2 years",Table1[[#This Row],[YearsAtCompany]]&lt;=5,"3-5 years",Table1[[#This Row],[YearsAtCompany]]&lt;=10,"6-10 years",Table1[[#This Row],[YearsAtCompany]]&gt;10,"10+ years")</f>
        <v>6-10 years</v>
      </c>
      <c r="AI905">
        <v>0</v>
      </c>
      <c r="AJ905">
        <v>1</v>
      </c>
      <c r="AK905">
        <v>0</v>
      </c>
      <c r="AL905" t="str" cm="1">
        <f t="array" ref="AL905">_xlfn.IFS(Table1[[#This Row],[JobSatisfaction]]=1,"Low",Table1[[#This Row],[JobSatisfaction]]=2,"Medium",Table1[[#This Row],[JobSatisfaction]]=3,"High",Table1[[#This Row],[JobSatisfaction]]=4,"Very High")</f>
        <v>Very High</v>
      </c>
      <c r="AM905">
        <f>IF(Table1[[#This Row],[Attrition]]="Yes",1,0)</f>
        <v>0</v>
      </c>
    </row>
    <row r="906" spans="1:39" ht="13.8" x14ac:dyDescent="0.25">
      <c r="A906">
        <v>48</v>
      </c>
      <c r="B906" t="str" cm="1">
        <f t="array" ref="B906">_xlfn.IFS(Table1[[#This Row],[Age]]&lt;30,"Under 30",Table1[[#This Row],[Age]]&lt;=40,"30-40",Table1[[#This Row],[Age]]&lt;=50,"41-50",Table1[[#This Row],[Age]]&gt;50,"Over 50")</f>
        <v>41-50</v>
      </c>
      <c r="C906" t="s">
        <v>43</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t="str" cm="1">
        <f t="array" ref="AH906">_xlfn.IFS(Table1[[#This Row],[YearsAtCompany]]&lt;=2,"0-2 years",Table1[[#This Row],[YearsAtCompany]]&lt;=5,"3-5 years",Table1[[#This Row],[YearsAtCompany]]&lt;=10,"6-10 years",Table1[[#This Row],[YearsAtCompany]]&gt;10,"10+ years")</f>
        <v>0-2 years</v>
      </c>
      <c r="AI906">
        <v>0</v>
      </c>
      <c r="AJ906">
        <v>0</v>
      </c>
      <c r="AK906">
        <v>0</v>
      </c>
      <c r="AL906" t="str" cm="1">
        <f t="array" ref="AL906">_xlfn.IFS(Table1[[#This Row],[JobSatisfaction]]=1,"Low",Table1[[#This Row],[JobSatisfaction]]=2,"Medium",Table1[[#This Row],[JobSatisfaction]]=3,"High",Table1[[#This Row],[JobSatisfaction]]=4,"Very High")</f>
        <v>Very High</v>
      </c>
      <c r="AM906">
        <f>IF(Table1[[#This Row],[Attrition]]="Yes",1,0)</f>
        <v>0</v>
      </c>
    </row>
    <row r="907" spans="1:39" ht="13.8" x14ac:dyDescent="0.25">
      <c r="A907">
        <v>29</v>
      </c>
      <c r="B907" t="str" cm="1">
        <f t="array" ref="B907">_xlfn.IFS(Table1[[#This Row],[Age]]&lt;30,"Under 30",Table1[[#This Row],[Age]]&lt;=40,"30-40",Table1[[#This Row],[Age]]&lt;=50,"41-50",Table1[[#This Row],[Age]]&gt;50,"Over 50")</f>
        <v>Under 30</v>
      </c>
      <c r="C907" t="s">
        <v>43</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t="str" cm="1">
        <f t="array" ref="AH907">_xlfn.IFS(Table1[[#This Row],[YearsAtCompany]]&lt;=2,"0-2 years",Table1[[#This Row],[YearsAtCompany]]&lt;=5,"3-5 years",Table1[[#This Row],[YearsAtCompany]]&lt;=10,"6-10 years",Table1[[#This Row],[YearsAtCompany]]&gt;10,"10+ years")</f>
        <v>6-10 years</v>
      </c>
      <c r="AI907">
        <v>7</v>
      </c>
      <c r="AJ907">
        <v>1</v>
      </c>
      <c r="AK907">
        <v>7</v>
      </c>
      <c r="AL907" t="str" cm="1">
        <f t="array" ref="AL907">_xlfn.IFS(Table1[[#This Row],[JobSatisfaction]]=1,"Low",Table1[[#This Row],[JobSatisfaction]]=2,"Medium",Table1[[#This Row],[JobSatisfaction]]=3,"High",Table1[[#This Row],[JobSatisfaction]]=4,"Very High")</f>
        <v>Very High</v>
      </c>
      <c r="AM907">
        <f>IF(Table1[[#This Row],[Attrition]]="Yes",1,0)</f>
        <v>0</v>
      </c>
    </row>
    <row r="908" spans="1:39" ht="13.8" x14ac:dyDescent="0.25">
      <c r="A908">
        <v>34</v>
      </c>
      <c r="B908" t="str" cm="1">
        <f t="array" ref="B908">_xlfn.IFS(Table1[[#This Row],[Age]]&lt;30,"Under 30",Table1[[#This Row],[Age]]&lt;=40,"30-40",Table1[[#This Row],[Age]]&lt;=50,"41-50",Table1[[#This Row],[Age]]&gt;50,"Over 50")</f>
        <v>30-40</v>
      </c>
      <c r="C908" t="s">
        <v>43</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t="str" cm="1">
        <f t="array" ref="AH908">_xlfn.IFS(Table1[[#This Row],[YearsAtCompany]]&lt;=2,"0-2 years",Table1[[#This Row],[YearsAtCompany]]&lt;=5,"3-5 years",Table1[[#This Row],[YearsAtCompany]]&lt;=10,"6-10 years",Table1[[#This Row],[YearsAtCompany]]&gt;10,"10+ years")</f>
        <v>0-2 years</v>
      </c>
      <c r="AI908">
        <v>0</v>
      </c>
      <c r="AJ908">
        <v>0</v>
      </c>
      <c r="AK908">
        <v>0</v>
      </c>
      <c r="AL908" t="str" cm="1">
        <f t="array" ref="AL908">_xlfn.IFS(Table1[[#This Row],[JobSatisfaction]]=1,"Low",Table1[[#This Row],[JobSatisfaction]]=2,"Medium",Table1[[#This Row],[JobSatisfaction]]=3,"High",Table1[[#This Row],[JobSatisfaction]]=4,"Very High")</f>
        <v>High</v>
      </c>
      <c r="AM908">
        <f>IF(Table1[[#This Row],[Attrition]]="Yes",1,0)</f>
        <v>0</v>
      </c>
    </row>
    <row r="909" spans="1:39" ht="13.8" x14ac:dyDescent="0.25">
      <c r="A909">
        <v>44</v>
      </c>
      <c r="B909" t="str" cm="1">
        <f t="array" ref="B909">_xlfn.IFS(Table1[[#This Row],[Age]]&lt;30,"Under 30",Table1[[#This Row],[Age]]&lt;=40,"30-40",Table1[[#This Row],[Age]]&lt;=50,"41-50",Table1[[#This Row],[Age]]&gt;50,"Over 50")</f>
        <v>41-50</v>
      </c>
      <c r="C909" t="s">
        <v>43</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t="str" cm="1">
        <f t="array" ref="AH909">_xlfn.IFS(Table1[[#This Row],[YearsAtCompany]]&lt;=2,"0-2 years",Table1[[#This Row],[YearsAtCompany]]&lt;=5,"3-5 years",Table1[[#This Row],[YearsAtCompany]]&lt;=10,"6-10 years",Table1[[#This Row],[YearsAtCompany]]&gt;10,"10+ years")</f>
        <v>10+ years</v>
      </c>
      <c r="AI909">
        <v>9</v>
      </c>
      <c r="AJ909">
        <v>3</v>
      </c>
      <c r="AK909">
        <v>10</v>
      </c>
      <c r="AL909" t="str" cm="1">
        <f t="array" ref="AL909">_xlfn.IFS(Table1[[#This Row],[JobSatisfaction]]=1,"Low",Table1[[#This Row],[JobSatisfaction]]=2,"Medium",Table1[[#This Row],[JobSatisfaction]]=3,"High",Table1[[#This Row],[JobSatisfaction]]=4,"Very High")</f>
        <v>Medium</v>
      </c>
      <c r="AM909">
        <f>IF(Table1[[#This Row],[Attrition]]="Yes",1,0)</f>
        <v>0</v>
      </c>
    </row>
    <row r="910" spans="1:39" ht="13.8" x14ac:dyDescent="0.25">
      <c r="A910">
        <v>33</v>
      </c>
      <c r="B910" t="str" cm="1">
        <f t="array" ref="B910">_xlfn.IFS(Table1[[#This Row],[Age]]&lt;30,"Under 30",Table1[[#This Row],[Age]]&lt;=40,"30-40",Table1[[#This Row],[Age]]&lt;=50,"41-50",Table1[[#This Row],[Age]]&gt;50,"Over 50")</f>
        <v>30-40</v>
      </c>
      <c r="C910" t="s">
        <v>43</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t="str" cm="1">
        <f t="array" ref="AH910">_xlfn.IFS(Table1[[#This Row],[YearsAtCompany]]&lt;=2,"0-2 years",Table1[[#This Row],[YearsAtCompany]]&lt;=5,"3-5 years",Table1[[#This Row],[YearsAtCompany]]&lt;=10,"6-10 years",Table1[[#This Row],[YearsAtCompany]]&gt;10,"10+ years")</f>
        <v>6-10 years</v>
      </c>
      <c r="AI910">
        <v>8</v>
      </c>
      <c r="AJ910">
        <v>0</v>
      </c>
      <c r="AK910">
        <v>8</v>
      </c>
      <c r="AL910" t="str" cm="1">
        <f t="array" ref="AL910">_xlfn.IFS(Table1[[#This Row],[JobSatisfaction]]=1,"Low",Table1[[#This Row],[JobSatisfaction]]=2,"Medium",Table1[[#This Row],[JobSatisfaction]]=3,"High",Table1[[#This Row],[JobSatisfaction]]=4,"Very High")</f>
        <v>High</v>
      </c>
      <c r="AM910">
        <f>IF(Table1[[#This Row],[Attrition]]="Yes",1,0)</f>
        <v>0</v>
      </c>
    </row>
    <row r="911" spans="1:39" ht="13.8" x14ac:dyDescent="0.25">
      <c r="A911">
        <v>19</v>
      </c>
      <c r="B911" t="str" cm="1">
        <f t="array" ref="B911">_xlfn.IFS(Table1[[#This Row],[Age]]&lt;30,"Under 30",Table1[[#This Row],[Age]]&lt;=40,"30-40",Table1[[#This Row],[Age]]&lt;=50,"41-50",Table1[[#This Row],[Age]]&gt;50,"Over 50")</f>
        <v>Under 30</v>
      </c>
      <c r="C911" t="s">
        <v>43</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t="str" cm="1">
        <f t="array" ref="AH911">_xlfn.IFS(Table1[[#This Row],[YearsAtCompany]]&lt;=2,"0-2 years",Table1[[#This Row],[YearsAtCompany]]&lt;=5,"3-5 years",Table1[[#This Row],[YearsAtCompany]]&lt;=10,"6-10 years",Table1[[#This Row],[YearsAtCompany]]&gt;10,"10+ years")</f>
        <v>0-2 years</v>
      </c>
      <c r="AI911">
        <v>0</v>
      </c>
      <c r="AJ911">
        <v>0</v>
      </c>
      <c r="AK911">
        <v>1</v>
      </c>
      <c r="AL911" t="str" cm="1">
        <f t="array" ref="AL911">_xlfn.IFS(Table1[[#This Row],[JobSatisfaction]]=1,"Low",Table1[[#This Row],[JobSatisfaction]]=2,"Medium",Table1[[#This Row],[JobSatisfaction]]=3,"High",Table1[[#This Row],[JobSatisfaction]]=4,"Very High")</f>
        <v>Very High</v>
      </c>
      <c r="AM911">
        <f>IF(Table1[[#This Row],[Attrition]]="Yes",1,0)</f>
        <v>0</v>
      </c>
    </row>
    <row r="912" spans="1:39" ht="13.8" x14ac:dyDescent="0.25">
      <c r="A912">
        <v>23</v>
      </c>
      <c r="B912" t="str" cm="1">
        <f t="array" ref="B912">_xlfn.IFS(Table1[[#This Row],[Age]]&lt;30,"Under 30",Table1[[#This Row],[Age]]&lt;=40,"30-40",Table1[[#This Row],[Age]]&lt;=50,"41-50",Table1[[#This Row],[Age]]&gt;50,"Over 50")</f>
        <v>Under 30</v>
      </c>
      <c r="C912" t="s">
        <v>43</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t="str" cm="1">
        <f t="array" ref="AH912">_xlfn.IFS(Table1[[#This Row],[YearsAtCompany]]&lt;=2,"0-2 years",Table1[[#This Row],[YearsAtCompany]]&lt;=5,"3-5 years",Table1[[#This Row],[YearsAtCompany]]&lt;=10,"6-10 years",Table1[[#This Row],[YearsAtCompany]]&gt;10,"10+ years")</f>
        <v>0-2 years</v>
      </c>
      <c r="AI912">
        <v>0</v>
      </c>
      <c r="AJ912">
        <v>0</v>
      </c>
      <c r="AK912">
        <v>1</v>
      </c>
      <c r="AL912" t="str" cm="1">
        <f t="array" ref="AL912">_xlfn.IFS(Table1[[#This Row],[JobSatisfaction]]=1,"Low",Table1[[#This Row],[JobSatisfaction]]=2,"Medium",Table1[[#This Row],[JobSatisfaction]]=3,"High",Table1[[#This Row],[JobSatisfaction]]=4,"Very High")</f>
        <v>High</v>
      </c>
      <c r="AM912">
        <f>IF(Table1[[#This Row],[Attrition]]="Yes",1,0)</f>
        <v>0</v>
      </c>
    </row>
    <row r="913" spans="1:39" ht="13.8" x14ac:dyDescent="0.25">
      <c r="A913">
        <v>25</v>
      </c>
      <c r="B913" t="str" cm="1">
        <f t="array" ref="B913">_xlfn.IFS(Table1[[#This Row],[Age]]&lt;30,"Under 30",Table1[[#This Row],[Age]]&lt;=40,"30-40",Table1[[#This Row],[Age]]&lt;=50,"41-50",Table1[[#This Row],[Age]]&gt;50,"Over 50")</f>
        <v>Under 30</v>
      </c>
      <c r="C913" t="s">
        <v>35</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t="str" cm="1">
        <f t="array" ref="AH913">_xlfn.IFS(Table1[[#This Row],[YearsAtCompany]]&lt;=2,"0-2 years",Table1[[#This Row],[YearsAtCompany]]&lt;=5,"3-5 years",Table1[[#This Row],[YearsAtCompany]]&lt;=10,"6-10 years",Table1[[#This Row],[YearsAtCompany]]&gt;10,"10+ years")</f>
        <v>0-2 years</v>
      </c>
      <c r="AI913">
        <v>0</v>
      </c>
      <c r="AJ913">
        <v>1</v>
      </c>
      <c r="AK913">
        <v>0</v>
      </c>
      <c r="AL913" t="str" cm="1">
        <f t="array" ref="AL913">_xlfn.IFS(Table1[[#This Row],[JobSatisfaction]]=1,"Low",Table1[[#This Row],[JobSatisfaction]]=2,"Medium",Table1[[#This Row],[JobSatisfaction]]=3,"High",Table1[[#This Row],[JobSatisfaction]]=4,"Very High")</f>
        <v>Very High</v>
      </c>
      <c r="AM913">
        <f>IF(Table1[[#This Row],[Attrition]]="Yes",1,0)</f>
        <v>1</v>
      </c>
    </row>
    <row r="914" spans="1:39" ht="13.8" x14ac:dyDescent="0.25">
      <c r="A914">
        <v>26</v>
      </c>
      <c r="B914" t="str" cm="1">
        <f t="array" ref="B914">_xlfn.IFS(Table1[[#This Row],[Age]]&lt;30,"Under 30",Table1[[#This Row],[Age]]&lt;=40,"30-40",Table1[[#This Row],[Age]]&lt;=50,"41-50",Table1[[#This Row],[Age]]&gt;50,"Over 50")</f>
        <v>Under 30</v>
      </c>
      <c r="C914" t="s">
        <v>43</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t="str" cm="1">
        <f t="array" ref="AH914">_xlfn.IFS(Table1[[#This Row],[YearsAtCompany]]&lt;=2,"0-2 years",Table1[[#This Row],[YearsAtCompany]]&lt;=5,"3-5 years",Table1[[#This Row],[YearsAtCompany]]&lt;=10,"6-10 years",Table1[[#This Row],[YearsAtCompany]]&gt;10,"10+ years")</f>
        <v>6-10 years</v>
      </c>
      <c r="AI914">
        <v>5</v>
      </c>
      <c r="AJ914">
        <v>2</v>
      </c>
      <c r="AK914">
        <v>2</v>
      </c>
      <c r="AL914" t="str" cm="1">
        <f t="array" ref="AL914">_xlfn.IFS(Table1[[#This Row],[JobSatisfaction]]=1,"Low",Table1[[#This Row],[JobSatisfaction]]=2,"Medium",Table1[[#This Row],[JobSatisfaction]]=3,"High",Table1[[#This Row],[JobSatisfaction]]=4,"Very High")</f>
        <v>Very High</v>
      </c>
      <c r="AM914">
        <f>IF(Table1[[#This Row],[Attrition]]="Yes",1,0)</f>
        <v>0</v>
      </c>
    </row>
    <row r="915" spans="1:39" ht="13.8" x14ac:dyDescent="0.25">
      <c r="A915">
        <v>45</v>
      </c>
      <c r="B915" t="str" cm="1">
        <f t="array" ref="B915">_xlfn.IFS(Table1[[#This Row],[Age]]&lt;30,"Under 30",Table1[[#This Row],[Age]]&lt;=40,"30-40",Table1[[#This Row],[Age]]&lt;=50,"41-50",Table1[[#This Row],[Age]]&gt;50,"Over 50")</f>
        <v>41-50</v>
      </c>
      <c r="C915" t="s">
        <v>35</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t="str" cm="1">
        <f t="array" ref="AH915">_xlfn.IFS(Table1[[#This Row],[YearsAtCompany]]&lt;=2,"0-2 years",Table1[[#This Row],[YearsAtCompany]]&lt;=5,"3-5 years",Table1[[#This Row],[YearsAtCompany]]&lt;=10,"6-10 years",Table1[[#This Row],[YearsAtCompany]]&gt;10,"10+ years")</f>
        <v>10+ years</v>
      </c>
      <c r="AI915">
        <v>10</v>
      </c>
      <c r="AJ915">
        <v>1</v>
      </c>
      <c r="AK915">
        <v>11</v>
      </c>
      <c r="AL915" t="str" cm="1">
        <f t="array" ref="AL915">_xlfn.IFS(Table1[[#This Row],[JobSatisfaction]]=1,"Low",Table1[[#This Row],[JobSatisfaction]]=2,"Medium",Table1[[#This Row],[JobSatisfaction]]=3,"High",Table1[[#This Row],[JobSatisfaction]]=4,"Very High")</f>
        <v>Medium</v>
      </c>
      <c r="AM915">
        <f>IF(Table1[[#This Row],[Attrition]]="Yes",1,0)</f>
        <v>1</v>
      </c>
    </row>
    <row r="916" spans="1:39" ht="13.8" x14ac:dyDescent="0.25">
      <c r="A916">
        <v>55</v>
      </c>
      <c r="B916" t="str" cm="1">
        <f t="array" ref="B916">_xlfn.IFS(Table1[[#This Row],[Age]]&lt;30,"Under 30",Table1[[#This Row],[Age]]&lt;=40,"30-40",Table1[[#This Row],[Age]]&lt;=50,"41-50",Table1[[#This Row],[Age]]&gt;50,"Over 50")</f>
        <v>Over 50</v>
      </c>
      <c r="C916" t="s">
        <v>43</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t="str" cm="1">
        <f t="array" ref="AH916">_xlfn.IFS(Table1[[#This Row],[YearsAtCompany]]&lt;=2,"0-2 years",Table1[[#This Row],[YearsAtCompany]]&lt;=5,"3-5 years",Table1[[#This Row],[YearsAtCompany]]&lt;=10,"6-10 years",Table1[[#This Row],[YearsAtCompany]]&gt;10,"10+ years")</f>
        <v>10+ years</v>
      </c>
      <c r="AI916">
        <v>9</v>
      </c>
      <c r="AJ916">
        <v>15</v>
      </c>
      <c r="AK916">
        <v>0</v>
      </c>
      <c r="AL916" t="str" cm="1">
        <f t="array" ref="AL916">_xlfn.IFS(Table1[[#This Row],[JobSatisfaction]]=1,"Low",Table1[[#This Row],[JobSatisfaction]]=2,"Medium",Table1[[#This Row],[JobSatisfaction]]=3,"High",Table1[[#This Row],[JobSatisfaction]]=4,"Very High")</f>
        <v>Medium</v>
      </c>
      <c r="AM916">
        <f>IF(Table1[[#This Row],[Attrition]]="Yes",1,0)</f>
        <v>0</v>
      </c>
    </row>
    <row r="917" spans="1:39" ht="13.8" x14ac:dyDescent="0.25">
      <c r="A917">
        <v>21</v>
      </c>
      <c r="B917" t="str" cm="1">
        <f t="array" ref="B917">_xlfn.IFS(Table1[[#This Row],[Age]]&lt;30,"Under 30",Table1[[#This Row],[Age]]&lt;=40,"30-40",Table1[[#This Row],[Age]]&lt;=50,"41-50",Table1[[#This Row],[Age]]&gt;50,"Over 50")</f>
        <v>Under 30</v>
      </c>
      <c r="C917" t="s">
        <v>35</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t="str" cm="1">
        <f t="array" ref="AH917">_xlfn.IFS(Table1[[#This Row],[YearsAtCompany]]&lt;=2,"0-2 years",Table1[[#This Row],[YearsAtCompany]]&lt;=5,"3-5 years",Table1[[#This Row],[YearsAtCompany]]&lt;=10,"6-10 years",Table1[[#This Row],[YearsAtCompany]]&gt;10,"10+ years")</f>
        <v>0-2 years</v>
      </c>
      <c r="AI917">
        <v>2</v>
      </c>
      <c r="AJ917">
        <v>2</v>
      </c>
      <c r="AK917">
        <v>2</v>
      </c>
      <c r="AL917" t="str" cm="1">
        <f t="array" ref="AL917">_xlfn.IFS(Table1[[#This Row],[JobSatisfaction]]=1,"Low",Table1[[#This Row],[JobSatisfaction]]=2,"Medium",Table1[[#This Row],[JobSatisfaction]]=3,"High",Table1[[#This Row],[JobSatisfaction]]=4,"Very High")</f>
        <v>High</v>
      </c>
      <c r="AM917">
        <f>IF(Table1[[#This Row],[Attrition]]="Yes",1,0)</f>
        <v>1</v>
      </c>
    </row>
    <row r="918" spans="1:39" ht="13.8" x14ac:dyDescent="0.25">
      <c r="A918">
        <v>46</v>
      </c>
      <c r="B918" t="str" cm="1">
        <f t="array" ref="B918">_xlfn.IFS(Table1[[#This Row],[Age]]&lt;30,"Under 30",Table1[[#This Row],[Age]]&lt;=40,"30-40",Table1[[#This Row],[Age]]&lt;=50,"41-50",Table1[[#This Row],[Age]]&gt;50,"Over 50")</f>
        <v>41-50</v>
      </c>
      <c r="C918" t="s">
        <v>43</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t="str" cm="1">
        <f t="array" ref="AH918">_xlfn.IFS(Table1[[#This Row],[YearsAtCompany]]&lt;=2,"0-2 years",Table1[[#This Row],[YearsAtCompany]]&lt;=5,"3-5 years",Table1[[#This Row],[YearsAtCompany]]&lt;=10,"6-10 years",Table1[[#This Row],[YearsAtCompany]]&gt;10,"10+ years")</f>
        <v>10+ years</v>
      </c>
      <c r="AI918">
        <v>4</v>
      </c>
      <c r="AJ918">
        <v>0</v>
      </c>
      <c r="AK918">
        <v>8</v>
      </c>
      <c r="AL918" t="str" cm="1">
        <f t="array" ref="AL918">_xlfn.IFS(Table1[[#This Row],[JobSatisfaction]]=1,"Low",Table1[[#This Row],[JobSatisfaction]]=2,"Medium",Table1[[#This Row],[JobSatisfaction]]=3,"High",Table1[[#This Row],[JobSatisfaction]]=4,"Very High")</f>
        <v>Medium</v>
      </c>
      <c r="AM918">
        <f>IF(Table1[[#This Row],[Attrition]]="Yes",1,0)</f>
        <v>0</v>
      </c>
    </row>
    <row r="919" spans="1:39" ht="13.8" x14ac:dyDescent="0.25">
      <c r="A919">
        <v>34</v>
      </c>
      <c r="B919" t="str" cm="1">
        <f t="array" ref="B919">_xlfn.IFS(Table1[[#This Row],[Age]]&lt;30,"Under 30",Table1[[#This Row],[Age]]&lt;=40,"30-40",Table1[[#This Row],[Age]]&lt;=50,"41-50",Table1[[#This Row],[Age]]&gt;50,"Over 50")</f>
        <v>30-40</v>
      </c>
      <c r="C919" t="s">
        <v>43</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t="str" cm="1">
        <f t="array" ref="AH919">_xlfn.IFS(Table1[[#This Row],[YearsAtCompany]]&lt;=2,"0-2 years",Table1[[#This Row],[YearsAtCompany]]&lt;=5,"3-5 years",Table1[[#This Row],[YearsAtCompany]]&lt;=10,"6-10 years",Table1[[#This Row],[YearsAtCompany]]&gt;10,"10+ years")</f>
        <v>3-5 years</v>
      </c>
      <c r="AI919">
        <v>2</v>
      </c>
      <c r="AJ919">
        <v>0</v>
      </c>
      <c r="AK919">
        <v>2</v>
      </c>
      <c r="AL919" t="str" cm="1">
        <f t="array" ref="AL919">_xlfn.IFS(Table1[[#This Row],[JobSatisfaction]]=1,"Low",Table1[[#This Row],[JobSatisfaction]]=2,"Medium",Table1[[#This Row],[JobSatisfaction]]=3,"High",Table1[[#This Row],[JobSatisfaction]]=4,"Very High")</f>
        <v>Low</v>
      </c>
      <c r="AM919">
        <f>IF(Table1[[#This Row],[Attrition]]="Yes",1,0)</f>
        <v>0</v>
      </c>
    </row>
    <row r="920" spans="1:39" ht="13.8" x14ac:dyDescent="0.25">
      <c r="A920">
        <v>51</v>
      </c>
      <c r="B920" t="str" cm="1">
        <f t="array" ref="B920">_xlfn.IFS(Table1[[#This Row],[Age]]&lt;30,"Under 30",Table1[[#This Row],[Age]]&lt;=40,"30-40",Table1[[#This Row],[Age]]&lt;=50,"41-50",Table1[[#This Row],[Age]]&gt;50,"Over 50")</f>
        <v>Over 50</v>
      </c>
      <c r="C920" t="s">
        <v>43</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t="str" cm="1">
        <f t="array" ref="AH920">_xlfn.IFS(Table1[[#This Row],[YearsAtCompany]]&lt;=2,"0-2 years",Table1[[#This Row],[YearsAtCompany]]&lt;=5,"3-5 years",Table1[[#This Row],[YearsAtCompany]]&lt;=10,"6-10 years",Table1[[#This Row],[YearsAtCompany]]&gt;10,"10+ years")</f>
        <v>10+ years</v>
      </c>
      <c r="AI920">
        <v>10</v>
      </c>
      <c r="AJ920">
        <v>11</v>
      </c>
      <c r="AK920">
        <v>10</v>
      </c>
      <c r="AL920" t="str" cm="1">
        <f t="array" ref="AL920">_xlfn.IFS(Table1[[#This Row],[JobSatisfaction]]=1,"Low",Table1[[#This Row],[JobSatisfaction]]=2,"Medium",Table1[[#This Row],[JobSatisfaction]]=3,"High",Table1[[#This Row],[JobSatisfaction]]=4,"Very High")</f>
        <v>Medium</v>
      </c>
      <c r="AM920">
        <f>IF(Table1[[#This Row],[Attrition]]="Yes",1,0)</f>
        <v>0</v>
      </c>
    </row>
    <row r="921" spans="1:39" ht="13.8" x14ac:dyDescent="0.25">
      <c r="A921">
        <v>59</v>
      </c>
      <c r="B921" t="str" cm="1">
        <f t="array" ref="B921">_xlfn.IFS(Table1[[#This Row],[Age]]&lt;30,"Under 30",Table1[[#This Row],[Age]]&lt;=40,"30-40",Table1[[#This Row],[Age]]&lt;=50,"41-50",Table1[[#This Row],[Age]]&gt;50,"Over 50")</f>
        <v>Over 50</v>
      </c>
      <c r="C921" t="s">
        <v>43</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t="str" cm="1">
        <f t="array" ref="AH921">_xlfn.IFS(Table1[[#This Row],[YearsAtCompany]]&lt;=2,"0-2 years",Table1[[#This Row],[YearsAtCompany]]&lt;=5,"3-5 years",Table1[[#This Row],[YearsAtCompany]]&lt;=10,"6-10 years",Table1[[#This Row],[YearsAtCompany]]&gt;10,"10+ years")</f>
        <v>6-10 years</v>
      </c>
      <c r="AI921">
        <v>7</v>
      </c>
      <c r="AJ921">
        <v>5</v>
      </c>
      <c r="AK921">
        <v>4</v>
      </c>
      <c r="AL921" t="str" cm="1">
        <f t="array" ref="AL921">_xlfn.IFS(Table1[[#This Row],[JobSatisfaction]]=1,"Low",Table1[[#This Row],[JobSatisfaction]]=2,"Medium",Table1[[#This Row],[JobSatisfaction]]=3,"High",Table1[[#This Row],[JobSatisfaction]]=4,"Very High")</f>
        <v>Very High</v>
      </c>
      <c r="AM921">
        <f>IF(Table1[[#This Row],[Attrition]]="Yes",1,0)</f>
        <v>0</v>
      </c>
    </row>
    <row r="922" spans="1:39" ht="13.8" x14ac:dyDescent="0.25">
      <c r="A922">
        <v>34</v>
      </c>
      <c r="B922" t="str" cm="1">
        <f t="array" ref="B922">_xlfn.IFS(Table1[[#This Row],[Age]]&lt;30,"Under 30",Table1[[#This Row],[Age]]&lt;=40,"30-40",Table1[[#This Row],[Age]]&lt;=50,"41-50",Table1[[#This Row],[Age]]&gt;50,"Over 50")</f>
        <v>30-40</v>
      </c>
      <c r="C922" t="s">
        <v>43</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t="str" cm="1">
        <f t="array" ref="AH922">_xlfn.IFS(Table1[[#This Row],[YearsAtCompany]]&lt;=2,"0-2 years",Table1[[#This Row],[YearsAtCompany]]&lt;=5,"3-5 years",Table1[[#This Row],[YearsAtCompany]]&lt;=10,"6-10 years",Table1[[#This Row],[YearsAtCompany]]&gt;10,"10+ years")</f>
        <v>10+ years</v>
      </c>
      <c r="AI922">
        <v>8</v>
      </c>
      <c r="AJ922">
        <v>5</v>
      </c>
      <c r="AK922">
        <v>10</v>
      </c>
      <c r="AL922" t="str" cm="1">
        <f t="array" ref="AL922">_xlfn.IFS(Table1[[#This Row],[JobSatisfaction]]=1,"Low",Table1[[#This Row],[JobSatisfaction]]=2,"Medium",Table1[[#This Row],[JobSatisfaction]]=3,"High",Table1[[#This Row],[JobSatisfaction]]=4,"Very High")</f>
        <v>Medium</v>
      </c>
      <c r="AM922">
        <f>IF(Table1[[#This Row],[Attrition]]="Yes",1,0)</f>
        <v>0</v>
      </c>
    </row>
    <row r="923" spans="1:39" ht="13.8" x14ac:dyDescent="0.25">
      <c r="A923">
        <v>28</v>
      </c>
      <c r="B923" t="str" cm="1">
        <f t="array" ref="B923">_xlfn.IFS(Table1[[#This Row],[Age]]&lt;30,"Under 30",Table1[[#This Row],[Age]]&lt;=40,"30-40",Table1[[#This Row],[Age]]&lt;=50,"41-50",Table1[[#This Row],[Age]]&gt;50,"Over 50")</f>
        <v>Under 30</v>
      </c>
      <c r="C923" t="s">
        <v>43</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t="str" cm="1">
        <f t="array" ref="AH923">_xlfn.IFS(Table1[[#This Row],[YearsAtCompany]]&lt;=2,"0-2 years",Table1[[#This Row],[YearsAtCompany]]&lt;=5,"3-5 years",Table1[[#This Row],[YearsAtCompany]]&lt;=10,"6-10 years",Table1[[#This Row],[YearsAtCompany]]&gt;10,"10+ years")</f>
        <v>3-5 years</v>
      </c>
      <c r="AI923">
        <v>2</v>
      </c>
      <c r="AJ923">
        <v>0</v>
      </c>
      <c r="AK923">
        <v>2</v>
      </c>
      <c r="AL923" t="str" cm="1">
        <f t="array" ref="AL923">_xlfn.IFS(Table1[[#This Row],[JobSatisfaction]]=1,"Low",Table1[[#This Row],[JobSatisfaction]]=2,"Medium",Table1[[#This Row],[JobSatisfaction]]=3,"High",Table1[[#This Row],[JobSatisfaction]]=4,"Very High")</f>
        <v>High</v>
      </c>
      <c r="AM923">
        <f>IF(Table1[[#This Row],[Attrition]]="Yes",1,0)</f>
        <v>0</v>
      </c>
    </row>
    <row r="924" spans="1:39" ht="13.8" x14ac:dyDescent="0.25">
      <c r="A924">
        <v>44</v>
      </c>
      <c r="B924" t="str" cm="1">
        <f t="array" ref="B924">_xlfn.IFS(Table1[[#This Row],[Age]]&lt;30,"Under 30",Table1[[#This Row],[Age]]&lt;=40,"30-40",Table1[[#This Row],[Age]]&lt;=50,"41-50",Table1[[#This Row],[Age]]&gt;50,"Over 50")</f>
        <v>41-50</v>
      </c>
      <c r="C924" t="s">
        <v>43</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t="str" cm="1">
        <f t="array" ref="AH924">_xlfn.IFS(Table1[[#This Row],[YearsAtCompany]]&lt;=2,"0-2 years",Table1[[#This Row],[YearsAtCompany]]&lt;=5,"3-5 years",Table1[[#This Row],[YearsAtCompany]]&lt;=10,"6-10 years",Table1[[#This Row],[YearsAtCompany]]&gt;10,"10+ years")</f>
        <v>10+ years</v>
      </c>
      <c r="AI924">
        <v>9</v>
      </c>
      <c r="AJ924">
        <v>14</v>
      </c>
      <c r="AK924">
        <v>13</v>
      </c>
      <c r="AL924" t="str" cm="1">
        <f t="array" ref="AL924">_xlfn.IFS(Table1[[#This Row],[JobSatisfaction]]=1,"Low",Table1[[#This Row],[JobSatisfaction]]=2,"Medium",Table1[[#This Row],[JobSatisfaction]]=3,"High",Table1[[#This Row],[JobSatisfaction]]=4,"Very High")</f>
        <v>Low</v>
      </c>
      <c r="AM924">
        <f>IF(Table1[[#This Row],[Attrition]]="Yes",1,0)</f>
        <v>0</v>
      </c>
    </row>
    <row r="925" spans="1:39" ht="13.8" x14ac:dyDescent="0.25">
      <c r="A925">
        <v>34</v>
      </c>
      <c r="B925" t="str" cm="1">
        <f t="array" ref="B925">_xlfn.IFS(Table1[[#This Row],[Age]]&lt;30,"Under 30",Table1[[#This Row],[Age]]&lt;=40,"30-40",Table1[[#This Row],[Age]]&lt;=50,"41-50",Table1[[#This Row],[Age]]&gt;50,"Over 50")</f>
        <v>30-40</v>
      </c>
      <c r="C925" t="s">
        <v>43</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t="str" cm="1">
        <f t="array" ref="AH925">_xlfn.IFS(Table1[[#This Row],[YearsAtCompany]]&lt;=2,"0-2 years",Table1[[#This Row],[YearsAtCompany]]&lt;=5,"3-5 years",Table1[[#This Row],[YearsAtCompany]]&lt;=10,"6-10 years",Table1[[#This Row],[YearsAtCompany]]&gt;10,"10+ years")</f>
        <v>6-10 years</v>
      </c>
      <c r="AI925">
        <v>9</v>
      </c>
      <c r="AJ925">
        <v>1</v>
      </c>
      <c r="AK925">
        <v>8</v>
      </c>
      <c r="AL925" t="str" cm="1">
        <f t="array" ref="AL925">_xlfn.IFS(Table1[[#This Row],[JobSatisfaction]]=1,"Low",Table1[[#This Row],[JobSatisfaction]]=2,"Medium",Table1[[#This Row],[JobSatisfaction]]=3,"High",Table1[[#This Row],[JobSatisfaction]]=4,"Very High")</f>
        <v>Medium</v>
      </c>
      <c r="AM925">
        <f>IF(Table1[[#This Row],[Attrition]]="Yes",1,0)</f>
        <v>0</v>
      </c>
    </row>
    <row r="926" spans="1:39" ht="13.8" x14ac:dyDescent="0.25">
      <c r="A926">
        <v>35</v>
      </c>
      <c r="B926" t="str" cm="1">
        <f t="array" ref="B926">_xlfn.IFS(Table1[[#This Row],[Age]]&lt;30,"Under 30",Table1[[#This Row],[Age]]&lt;=40,"30-40",Table1[[#This Row],[Age]]&lt;=50,"41-50",Table1[[#This Row],[Age]]&gt;50,"Over 50")</f>
        <v>30-40</v>
      </c>
      <c r="C926" t="s">
        <v>43</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t="str" cm="1">
        <f t="array" ref="AH926">_xlfn.IFS(Table1[[#This Row],[YearsAtCompany]]&lt;=2,"0-2 years",Table1[[#This Row],[YearsAtCompany]]&lt;=5,"3-5 years",Table1[[#This Row],[YearsAtCompany]]&lt;=10,"6-10 years",Table1[[#This Row],[YearsAtCompany]]&gt;10,"10+ years")</f>
        <v>3-5 years</v>
      </c>
      <c r="AI926">
        <v>2</v>
      </c>
      <c r="AJ926">
        <v>2</v>
      </c>
      <c r="AK926">
        <v>2</v>
      </c>
      <c r="AL926" t="str" cm="1">
        <f t="array" ref="AL926">_xlfn.IFS(Table1[[#This Row],[JobSatisfaction]]=1,"Low",Table1[[#This Row],[JobSatisfaction]]=2,"Medium",Table1[[#This Row],[JobSatisfaction]]=3,"High",Table1[[#This Row],[JobSatisfaction]]=4,"Very High")</f>
        <v>High</v>
      </c>
      <c r="AM926">
        <f>IF(Table1[[#This Row],[Attrition]]="Yes",1,0)</f>
        <v>0</v>
      </c>
    </row>
    <row r="927" spans="1:39" ht="13.8" x14ac:dyDescent="0.25">
      <c r="A927">
        <v>42</v>
      </c>
      <c r="B927" t="str" cm="1">
        <f t="array" ref="B927">_xlfn.IFS(Table1[[#This Row],[Age]]&lt;30,"Under 30",Table1[[#This Row],[Age]]&lt;=40,"30-40",Table1[[#This Row],[Age]]&lt;=50,"41-50",Table1[[#This Row],[Age]]&gt;50,"Over 50")</f>
        <v>41-50</v>
      </c>
      <c r="C927" t="s">
        <v>43</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t="str" cm="1">
        <f t="array" ref="AH927">_xlfn.IFS(Table1[[#This Row],[YearsAtCompany]]&lt;=2,"0-2 years",Table1[[#This Row],[YearsAtCompany]]&lt;=5,"3-5 years",Table1[[#This Row],[YearsAtCompany]]&lt;=10,"6-10 years",Table1[[#This Row],[YearsAtCompany]]&gt;10,"10+ years")</f>
        <v>0-2 years</v>
      </c>
      <c r="AI927">
        <v>0</v>
      </c>
      <c r="AJ927">
        <v>0</v>
      </c>
      <c r="AK927">
        <v>0</v>
      </c>
      <c r="AL927" t="str" cm="1">
        <f t="array" ref="AL927">_xlfn.IFS(Table1[[#This Row],[JobSatisfaction]]=1,"Low",Table1[[#This Row],[JobSatisfaction]]=2,"Medium",Table1[[#This Row],[JobSatisfaction]]=3,"High",Table1[[#This Row],[JobSatisfaction]]=4,"Very High")</f>
        <v>Medium</v>
      </c>
      <c r="AM927">
        <f>IF(Table1[[#This Row],[Attrition]]="Yes",1,0)</f>
        <v>0</v>
      </c>
    </row>
    <row r="928" spans="1:39" ht="13.8" x14ac:dyDescent="0.25">
      <c r="A928">
        <v>43</v>
      </c>
      <c r="B928" t="str" cm="1">
        <f t="array" ref="B928">_xlfn.IFS(Table1[[#This Row],[Age]]&lt;30,"Under 30",Table1[[#This Row],[Age]]&lt;=40,"30-40",Table1[[#This Row],[Age]]&lt;=50,"41-50",Table1[[#This Row],[Age]]&gt;50,"Over 50")</f>
        <v>41-50</v>
      </c>
      <c r="C928" t="s">
        <v>43</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t="str" cm="1">
        <f t="array" ref="AH928">_xlfn.IFS(Table1[[#This Row],[YearsAtCompany]]&lt;=2,"0-2 years",Table1[[#This Row],[YearsAtCompany]]&lt;=5,"3-5 years",Table1[[#This Row],[YearsAtCompany]]&lt;=10,"6-10 years",Table1[[#This Row],[YearsAtCompany]]&gt;10,"10+ years")</f>
        <v>10+ years</v>
      </c>
      <c r="AI928">
        <v>7</v>
      </c>
      <c r="AJ928">
        <v>15</v>
      </c>
      <c r="AK928">
        <v>17</v>
      </c>
      <c r="AL928" t="str" cm="1">
        <f t="array" ref="AL928">_xlfn.IFS(Table1[[#This Row],[JobSatisfaction]]=1,"Low",Table1[[#This Row],[JobSatisfaction]]=2,"Medium",Table1[[#This Row],[JobSatisfaction]]=3,"High",Table1[[#This Row],[JobSatisfaction]]=4,"Very High")</f>
        <v>Very High</v>
      </c>
      <c r="AM928">
        <f>IF(Table1[[#This Row],[Attrition]]="Yes",1,0)</f>
        <v>0</v>
      </c>
    </row>
    <row r="929" spans="1:39" ht="13.8" x14ac:dyDescent="0.25">
      <c r="A929">
        <v>36</v>
      </c>
      <c r="B929" t="str" cm="1">
        <f t="array" ref="B929">_xlfn.IFS(Table1[[#This Row],[Age]]&lt;30,"Under 30",Table1[[#This Row],[Age]]&lt;=40,"30-40",Table1[[#This Row],[Age]]&lt;=50,"41-50",Table1[[#This Row],[Age]]&gt;50,"Over 50")</f>
        <v>30-40</v>
      </c>
      <c r="C929" t="s">
        <v>43</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t="str" cm="1">
        <f t="array" ref="AH929">_xlfn.IFS(Table1[[#This Row],[YearsAtCompany]]&lt;=2,"0-2 years",Table1[[#This Row],[YearsAtCompany]]&lt;=5,"3-5 years",Table1[[#This Row],[YearsAtCompany]]&lt;=10,"6-10 years",Table1[[#This Row],[YearsAtCompany]]&gt;10,"10+ years")</f>
        <v>10+ years</v>
      </c>
      <c r="AI929">
        <v>14</v>
      </c>
      <c r="AJ929">
        <v>5</v>
      </c>
      <c r="AK929">
        <v>12</v>
      </c>
      <c r="AL929" t="str" cm="1">
        <f t="array" ref="AL929">_xlfn.IFS(Table1[[#This Row],[JobSatisfaction]]=1,"Low",Table1[[#This Row],[JobSatisfaction]]=2,"Medium",Table1[[#This Row],[JobSatisfaction]]=3,"High",Table1[[#This Row],[JobSatisfaction]]=4,"Very High")</f>
        <v>Medium</v>
      </c>
      <c r="AM929">
        <f>IF(Table1[[#This Row],[Attrition]]="Yes",1,0)</f>
        <v>0</v>
      </c>
    </row>
    <row r="930" spans="1:39" ht="13.8" x14ac:dyDescent="0.25">
      <c r="A930">
        <v>44</v>
      </c>
      <c r="B930" t="str" cm="1">
        <f t="array" ref="B930">_xlfn.IFS(Table1[[#This Row],[Age]]&lt;30,"Under 30",Table1[[#This Row],[Age]]&lt;=40,"30-40",Table1[[#This Row],[Age]]&lt;=50,"41-50",Table1[[#This Row],[Age]]&gt;50,"Over 50")</f>
        <v>41-50</v>
      </c>
      <c r="C930" t="s">
        <v>35</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t="str" cm="1">
        <f t="array" ref="AH930">_xlfn.IFS(Table1[[#This Row],[YearsAtCompany]]&lt;=2,"0-2 years",Table1[[#This Row],[YearsAtCompany]]&lt;=5,"3-5 years",Table1[[#This Row],[YearsAtCompany]]&lt;=10,"6-10 years",Table1[[#This Row],[YearsAtCompany]]&gt;10,"10+ years")</f>
        <v>6-10 years</v>
      </c>
      <c r="AI930">
        <v>7</v>
      </c>
      <c r="AJ930">
        <v>0</v>
      </c>
      <c r="AK930">
        <v>5</v>
      </c>
      <c r="AL930" t="str" cm="1">
        <f t="array" ref="AL930">_xlfn.IFS(Table1[[#This Row],[JobSatisfaction]]=1,"Low",Table1[[#This Row],[JobSatisfaction]]=2,"Medium",Table1[[#This Row],[JobSatisfaction]]=3,"High",Table1[[#This Row],[JobSatisfaction]]=4,"Very High")</f>
        <v>Very High</v>
      </c>
      <c r="AM930">
        <f>IF(Table1[[#This Row],[Attrition]]="Yes",1,0)</f>
        <v>1</v>
      </c>
    </row>
    <row r="931" spans="1:39" ht="13.8" x14ac:dyDescent="0.25">
      <c r="A931">
        <v>28</v>
      </c>
      <c r="B931" t="str" cm="1">
        <f t="array" ref="B931">_xlfn.IFS(Table1[[#This Row],[Age]]&lt;30,"Under 30",Table1[[#This Row],[Age]]&lt;=40,"30-40",Table1[[#This Row],[Age]]&lt;=50,"41-50",Table1[[#This Row],[Age]]&gt;50,"Over 50")</f>
        <v>Under 30</v>
      </c>
      <c r="C931" t="s">
        <v>43</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t="str" cm="1">
        <f t="array" ref="AH931">_xlfn.IFS(Table1[[#This Row],[YearsAtCompany]]&lt;=2,"0-2 years",Table1[[#This Row],[YearsAtCompany]]&lt;=5,"3-5 years",Table1[[#This Row],[YearsAtCompany]]&lt;=10,"6-10 years",Table1[[#This Row],[YearsAtCompany]]&gt;10,"10+ years")</f>
        <v>0-2 years</v>
      </c>
      <c r="AI931">
        <v>2</v>
      </c>
      <c r="AJ931">
        <v>2</v>
      </c>
      <c r="AK931">
        <v>2</v>
      </c>
      <c r="AL931" t="str" cm="1">
        <f t="array" ref="AL931">_xlfn.IFS(Table1[[#This Row],[JobSatisfaction]]=1,"Low",Table1[[#This Row],[JobSatisfaction]]=2,"Medium",Table1[[#This Row],[JobSatisfaction]]=3,"High",Table1[[#This Row],[JobSatisfaction]]=4,"Very High")</f>
        <v>Very High</v>
      </c>
      <c r="AM931">
        <f>IF(Table1[[#This Row],[Attrition]]="Yes",1,0)</f>
        <v>0</v>
      </c>
    </row>
    <row r="932" spans="1:39" ht="13.8" x14ac:dyDescent="0.25">
      <c r="A932">
        <v>51</v>
      </c>
      <c r="B932" t="str" cm="1">
        <f t="array" ref="B932">_xlfn.IFS(Table1[[#This Row],[Age]]&lt;30,"Under 30",Table1[[#This Row],[Age]]&lt;=40,"30-40",Table1[[#This Row],[Age]]&lt;=50,"41-50",Table1[[#This Row],[Age]]&gt;50,"Over 50")</f>
        <v>Over 50</v>
      </c>
      <c r="C932" t="s">
        <v>43</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t="str" cm="1">
        <f t="array" ref="AH932">_xlfn.IFS(Table1[[#This Row],[YearsAtCompany]]&lt;=2,"0-2 years",Table1[[#This Row],[YearsAtCompany]]&lt;=5,"3-5 years",Table1[[#This Row],[YearsAtCompany]]&lt;=10,"6-10 years",Table1[[#This Row],[YearsAtCompany]]&gt;10,"10+ years")</f>
        <v>6-10 years</v>
      </c>
      <c r="AI932">
        <v>0</v>
      </c>
      <c r="AJ932">
        <v>7</v>
      </c>
      <c r="AK932">
        <v>7</v>
      </c>
      <c r="AL932" t="str" cm="1">
        <f t="array" ref="AL932">_xlfn.IFS(Table1[[#This Row],[JobSatisfaction]]=1,"Low",Table1[[#This Row],[JobSatisfaction]]=2,"Medium",Table1[[#This Row],[JobSatisfaction]]=3,"High",Table1[[#This Row],[JobSatisfaction]]=4,"Very High")</f>
        <v>High</v>
      </c>
      <c r="AM932">
        <f>IF(Table1[[#This Row],[Attrition]]="Yes",1,0)</f>
        <v>0</v>
      </c>
    </row>
    <row r="933" spans="1:39" ht="13.8" x14ac:dyDescent="0.25">
      <c r="A933">
        <v>30</v>
      </c>
      <c r="B933" t="str" cm="1">
        <f t="array" ref="B933">_xlfn.IFS(Table1[[#This Row],[Age]]&lt;30,"Under 30",Table1[[#This Row],[Age]]&lt;=40,"30-40",Table1[[#This Row],[Age]]&lt;=50,"41-50",Table1[[#This Row],[Age]]&gt;50,"Over 50")</f>
        <v>30-40</v>
      </c>
      <c r="C933" t="s">
        <v>43</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t="str" cm="1">
        <f t="array" ref="AH933">_xlfn.IFS(Table1[[#This Row],[YearsAtCompany]]&lt;=2,"0-2 years",Table1[[#This Row],[YearsAtCompany]]&lt;=5,"3-5 years",Table1[[#This Row],[YearsAtCompany]]&lt;=10,"6-10 years",Table1[[#This Row],[YearsAtCompany]]&gt;10,"10+ years")</f>
        <v>6-10 years</v>
      </c>
      <c r="AI933">
        <v>4</v>
      </c>
      <c r="AJ933">
        <v>1</v>
      </c>
      <c r="AK933">
        <v>7</v>
      </c>
      <c r="AL933" t="str" cm="1">
        <f t="array" ref="AL933">_xlfn.IFS(Table1[[#This Row],[JobSatisfaction]]=1,"Low",Table1[[#This Row],[JobSatisfaction]]=2,"Medium",Table1[[#This Row],[JobSatisfaction]]=3,"High",Table1[[#This Row],[JobSatisfaction]]=4,"Very High")</f>
        <v>High</v>
      </c>
      <c r="AM933">
        <f>IF(Table1[[#This Row],[Attrition]]="Yes",1,0)</f>
        <v>0</v>
      </c>
    </row>
    <row r="934" spans="1:39" ht="13.8" x14ac:dyDescent="0.25">
      <c r="A934">
        <v>29</v>
      </c>
      <c r="B934" t="str" cm="1">
        <f t="array" ref="B934">_xlfn.IFS(Table1[[#This Row],[Age]]&lt;30,"Under 30",Table1[[#This Row],[Age]]&lt;=40,"30-40",Table1[[#This Row],[Age]]&lt;=50,"41-50",Table1[[#This Row],[Age]]&gt;50,"Over 50")</f>
        <v>Under 30</v>
      </c>
      <c r="C934" t="s">
        <v>35</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t="str" cm="1">
        <f t="array" ref="AH934">_xlfn.IFS(Table1[[#This Row],[YearsAtCompany]]&lt;=2,"0-2 years",Table1[[#This Row],[YearsAtCompany]]&lt;=5,"3-5 years",Table1[[#This Row],[YearsAtCompany]]&lt;=10,"6-10 years",Table1[[#This Row],[YearsAtCompany]]&gt;10,"10+ years")</f>
        <v>6-10 years</v>
      </c>
      <c r="AI934">
        <v>7</v>
      </c>
      <c r="AJ934">
        <v>7</v>
      </c>
      <c r="AK934">
        <v>7</v>
      </c>
      <c r="AL934" t="str" cm="1">
        <f t="array" ref="AL934">_xlfn.IFS(Table1[[#This Row],[JobSatisfaction]]=1,"Low",Table1[[#This Row],[JobSatisfaction]]=2,"Medium",Table1[[#This Row],[JobSatisfaction]]=3,"High",Table1[[#This Row],[JobSatisfaction]]=4,"Very High")</f>
        <v>High</v>
      </c>
      <c r="AM934">
        <f>IF(Table1[[#This Row],[Attrition]]="Yes",1,0)</f>
        <v>1</v>
      </c>
    </row>
    <row r="935" spans="1:39" ht="13.8" x14ac:dyDescent="0.25">
      <c r="A935">
        <v>28</v>
      </c>
      <c r="B935" t="str" cm="1">
        <f t="array" ref="B935">_xlfn.IFS(Table1[[#This Row],[Age]]&lt;30,"Under 30",Table1[[#This Row],[Age]]&lt;=40,"30-40",Table1[[#This Row],[Age]]&lt;=50,"41-50",Table1[[#This Row],[Age]]&gt;50,"Over 50")</f>
        <v>Under 30</v>
      </c>
      <c r="C935" t="s">
        <v>43</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t="str" cm="1">
        <f t="array" ref="AH935">_xlfn.IFS(Table1[[#This Row],[YearsAtCompany]]&lt;=2,"0-2 years",Table1[[#This Row],[YearsAtCompany]]&lt;=5,"3-5 years",Table1[[#This Row],[YearsAtCompany]]&lt;=10,"6-10 years",Table1[[#This Row],[YearsAtCompany]]&gt;10,"10+ years")</f>
        <v>3-5 years</v>
      </c>
      <c r="AI935">
        <v>2</v>
      </c>
      <c r="AJ935">
        <v>1</v>
      </c>
      <c r="AK935">
        <v>2</v>
      </c>
      <c r="AL935" t="str" cm="1">
        <f t="array" ref="AL935">_xlfn.IFS(Table1[[#This Row],[JobSatisfaction]]=1,"Low",Table1[[#This Row],[JobSatisfaction]]=2,"Medium",Table1[[#This Row],[JobSatisfaction]]=3,"High",Table1[[#This Row],[JobSatisfaction]]=4,"Very High")</f>
        <v>Low</v>
      </c>
      <c r="AM935">
        <f>IF(Table1[[#This Row],[Attrition]]="Yes",1,0)</f>
        <v>0</v>
      </c>
    </row>
    <row r="936" spans="1:39" ht="13.8" x14ac:dyDescent="0.25">
      <c r="A936">
        <v>25</v>
      </c>
      <c r="B936" t="str" cm="1">
        <f t="array" ref="B936">_xlfn.IFS(Table1[[#This Row],[Age]]&lt;30,"Under 30",Table1[[#This Row],[Age]]&lt;=40,"30-40",Table1[[#This Row],[Age]]&lt;=50,"41-50",Table1[[#This Row],[Age]]&gt;50,"Over 50")</f>
        <v>Under 30</v>
      </c>
      <c r="C936" t="s">
        <v>43</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t="str" cm="1">
        <f t="array" ref="AH936">_xlfn.IFS(Table1[[#This Row],[YearsAtCompany]]&lt;=2,"0-2 years",Table1[[#This Row],[YearsAtCompany]]&lt;=5,"3-5 years",Table1[[#This Row],[YearsAtCompany]]&lt;=10,"6-10 years",Table1[[#This Row],[YearsAtCompany]]&gt;10,"10+ years")</f>
        <v>0-2 years</v>
      </c>
      <c r="AI936">
        <v>2</v>
      </c>
      <c r="AJ936">
        <v>2</v>
      </c>
      <c r="AK936">
        <v>1</v>
      </c>
      <c r="AL936" t="str" cm="1">
        <f t="array" ref="AL936">_xlfn.IFS(Table1[[#This Row],[JobSatisfaction]]=1,"Low",Table1[[#This Row],[JobSatisfaction]]=2,"Medium",Table1[[#This Row],[JobSatisfaction]]=3,"High",Table1[[#This Row],[JobSatisfaction]]=4,"Very High")</f>
        <v>Medium</v>
      </c>
      <c r="AM936">
        <f>IF(Table1[[#This Row],[Attrition]]="Yes",1,0)</f>
        <v>0</v>
      </c>
    </row>
    <row r="937" spans="1:39" ht="13.8" x14ac:dyDescent="0.25">
      <c r="A937">
        <v>32</v>
      </c>
      <c r="B937" t="str" cm="1">
        <f t="array" ref="B937">_xlfn.IFS(Table1[[#This Row],[Age]]&lt;30,"Under 30",Table1[[#This Row],[Age]]&lt;=40,"30-40",Table1[[#This Row],[Age]]&lt;=50,"41-50",Table1[[#This Row],[Age]]&gt;50,"Over 50")</f>
        <v>30-40</v>
      </c>
      <c r="C937" t="s">
        <v>43</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t="str" cm="1">
        <f t="array" ref="AH937">_xlfn.IFS(Table1[[#This Row],[YearsAtCompany]]&lt;=2,"0-2 years",Table1[[#This Row],[YearsAtCompany]]&lt;=5,"3-5 years",Table1[[#This Row],[YearsAtCompany]]&lt;=10,"6-10 years",Table1[[#This Row],[YearsAtCompany]]&gt;10,"10+ years")</f>
        <v>6-10 years</v>
      </c>
      <c r="AI937">
        <v>7</v>
      </c>
      <c r="AJ937">
        <v>0</v>
      </c>
      <c r="AK937">
        <v>8</v>
      </c>
      <c r="AL937" t="str" cm="1">
        <f t="array" ref="AL937">_xlfn.IFS(Table1[[#This Row],[JobSatisfaction]]=1,"Low",Table1[[#This Row],[JobSatisfaction]]=2,"Medium",Table1[[#This Row],[JobSatisfaction]]=3,"High",Table1[[#This Row],[JobSatisfaction]]=4,"Very High")</f>
        <v>Very High</v>
      </c>
      <c r="AM937">
        <f>IF(Table1[[#This Row],[Attrition]]="Yes",1,0)</f>
        <v>0</v>
      </c>
    </row>
    <row r="938" spans="1:39" ht="13.8" x14ac:dyDescent="0.25">
      <c r="A938">
        <v>45</v>
      </c>
      <c r="B938" t="str" cm="1">
        <f t="array" ref="B938">_xlfn.IFS(Table1[[#This Row],[Age]]&lt;30,"Under 30",Table1[[#This Row],[Age]]&lt;=40,"30-40",Table1[[#This Row],[Age]]&lt;=50,"41-50",Table1[[#This Row],[Age]]&gt;50,"Over 50")</f>
        <v>41-50</v>
      </c>
      <c r="C938" t="s">
        <v>43</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t="str" cm="1">
        <f t="array" ref="AH938">_xlfn.IFS(Table1[[#This Row],[YearsAtCompany]]&lt;=2,"0-2 years",Table1[[#This Row],[YearsAtCompany]]&lt;=5,"3-5 years",Table1[[#This Row],[YearsAtCompany]]&lt;=10,"6-10 years",Table1[[#This Row],[YearsAtCompany]]&gt;10,"10+ years")</f>
        <v>0-2 years</v>
      </c>
      <c r="AI938">
        <v>0</v>
      </c>
      <c r="AJ938">
        <v>0</v>
      </c>
      <c r="AK938">
        <v>0</v>
      </c>
      <c r="AL938" t="str" cm="1">
        <f t="array" ref="AL938">_xlfn.IFS(Table1[[#This Row],[JobSatisfaction]]=1,"Low",Table1[[#This Row],[JobSatisfaction]]=2,"Medium",Table1[[#This Row],[JobSatisfaction]]=3,"High",Table1[[#This Row],[JobSatisfaction]]=4,"Very High")</f>
        <v>Medium</v>
      </c>
      <c r="AM938">
        <f>IF(Table1[[#This Row],[Attrition]]="Yes",1,0)</f>
        <v>0</v>
      </c>
    </row>
    <row r="939" spans="1:39" ht="13.8" x14ac:dyDescent="0.25">
      <c r="A939">
        <v>39</v>
      </c>
      <c r="B939" t="str" cm="1">
        <f t="array" ref="B939">_xlfn.IFS(Table1[[#This Row],[Age]]&lt;30,"Under 30",Table1[[#This Row],[Age]]&lt;=40,"30-40",Table1[[#This Row],[Age]]&lt;=50,"41-50",Table1[[#This Row],[Age]]&gt;50,"Over 50")</f>
        <v>30-40</v>
      </c>
      <c r="C939" t="s">
        <v>43</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t="str" cm="1">
        <f t="array" ref="AH939">_xlfn.IFS(Table1[[#This Row],[YearsAtCompany]]&lt;=2,"0-2 years",Table1[[#This Row],[YearsAtCompany]]&lt;=5,"3-5 years",Table1[[#This Row],[YearsAtCompany]]&lt;=10,"6-10 years",Table1[[#This Row],[YearsAtCompany]]&gt;10,"10+ years")</f>
        <v>10+ years</v>
      </c>
      <c r="AI939">
        <v>9</v>
      </c>
      <c r="AJ939">
        <v>15</v>
      </c>
      <c r="AK939">
        <v>2</v>
      </c>
      <c r="AL939" t="str" cm="1">
        <f t="array" ref="AL939">_xlfn.IFS(Table1[[#This Row],[JobSatisfaction]]=1,"Low",Table1[[#This Row],[JobSatisfaction]]=2,"Medium",Table1[[#This Row],[JobSatisfaction]]=3,"High",Table1[[#This Row],[JobSatisfaction]]=4,"Very High")</f>
        <v>Medium</v>
      </c>
      <c r="AM939">
        <f>IF(Table1[[#This Row],[Attrition]]="Yes",1,0)</f>
        <v>0</v>
      </c>
    </row>
    <row r="940" spans="1:39" ht="13.8" x14ac:dyDescent="0.25">
      <c r="A940">
        <v>58</v>
      </c>
      <c r="B940" t="str" cm="1">
        <f t="array" ref="B940">_xlfn.IFS(Table1[[#This Row],[Age]]&lt;30,"Under 30",Table1[[#This Row],[Age]]&lt;=40,"30-40",Table1[[#This Row],[Age]]&lt;=50,"41-50",Table1[[#This Row],[Age]]&gt;50,"Over 50")</f>
        <v>Over 50</v>
      </c>
      <c r="C940" t="s">
        <v>43</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t="str" cm="1">
        <f t="array" ref="AH940">_xlfn.IFS(Table1[[#This Row],[YearsAtCompany]]&lt;=2,"0-2 years",Table1[[#This Row],[YearsAtCompany]]&lt;=5,"3-5 years",Table1[[#This Row],[YearsAtCompany]]&lt;=10,"6-10 years",Table1[[#This Row],[YearsAtCompany]]&gt;10,"10+ years")</f>
        <v>0-2 years</v>
      </c>
      <c r="AI940">
        <v>2</v>
      </c>
      <c r="AJ940">
        <v>2</v>
      </c>
      <c r="AK940">
        <v>2</v>
      </c>
      <c r="AL940" t="str" cm="1">
        <f t="array" ref="AL940">_xlfn.IFS(Table1[[#This Row],[JobSatisfaction]]=1,"Low",Table1[[#This Row],[JobSatisfaction]]=2,"Medium",Table1[[#This Row],[JobSatisfaction]]=3,"High",Table1[[#This Row],[JobSatisfaction]]=4,"Very High")</f>
        <v>High</v>
      </c>
      <c r="AM940">
        <f>IF(Table1[[#This Row],[Attrition]]="Yes",1,0)</f>
        <v>0</v>
      </c>
    </row>
    <row r="941" spans="1:39" ht="13.8" x14ac:dyDescent="0.25">
      <c r="A941">
        <v>32</v>
      </c>
      <c r="B941" t="str" cm="1">
        <f t="array" ref="B941">_xlfn.IFS(Table1[[#This Row],[Age]]&lt;30,"Under 30",Table1[[#This Row],[Age]]&lt;=40,"30-40",Table1[[#This Row],[Age]]&lt;=50,"41-50",Table1[[#This Row],[Age]]&gt;50,"Over 50")</f>
        <v>30-40</v>
      </c>
      <c r="C941" t="s">
        <v>35</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t="str" cm="1">
        <f t="array" ref="AH941">_xlfn.IFS(Table1[[#This Row],[YearsAtCompany]]&lt;=2,"0-2 years",Table1[[#This Row],[YearsAtCompany]]&lt;=5,"3-5 years",Table1[[#This Row],[YearsAtCompany]]&lt;=10,"6-10 years",Table1[[#This Row],[YearsAtCompany]]&gt;10,"10+ years")</f>
        <v>6-10 years</v>
      </c>
      <c r="AI941">
        <v>4</v>
      </c>
      <c r="AJ941">
        <v>1</v>
      </c>
      <c r="AK941">
        <v>1</v>
      </c>
      <c r="AL941" t="str" cm="1">
        <f t="array" ref="AL941">_xlfn.IFS(Table1[[#This Row],[JobSatisfaction]]=1,"Low",Table1[[#This Row],[JobSatisfaction]]=2,"Medium",Table1[[#This Row],[JobSatisfaction]]=3,"High",Table1[[#This Row],[JobSatisfaction]]=4,"Very High")</f>
        <v>High</v>
      </c>
      <c r="AM941">
        <f>IF(Table1[[#This Row],[Attrition]]="Yes",1,0)</f>
        <v>1</v>
      </c>
    </row>
    <row r="942" spans="1:39" ht="13.8" x14ac:dyDescent="0.25">
      <c r="A942">
        <v>39</v>
      </c>
      <c r="B942" t="str" cm="1">
        <f t="array" ref="B942">_xlfn.IFS(Table1[[#This Row],[Age]]&lt;30,"Under 30",Table1[[#This Row],[Age]]&lt;=40,"30-40",Table1[[#This Row],[Age]]&lt;=50,"41-50",Table1[[#This Row],[Age]]&gt;50,"Over 50")</f>
        <v>30-40</v>
      </c>
      <c r="C942" t="s">
        <v>35</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t="str" cm="1">
        <f t="array" ref="AH942">_xlfn.IFS(Table1[[#This Row],[YearsAtCompany]]&lt;=2,"0-2 years",Table1[[#This Row],[YearsAtCompany]]&lt;=5,"3-5 years",Table1[[#This Row],[YearsAtCompany]]&lt;=10,"6-10 years",Table1[[#This Row],[YearsAtCompany]]&gt;10,"10+ years")</f>
        <v>3-5 years</v>
      </c>
      <c r="AI942">
        <v>2</v>
      </c>
      <c r="AJ942">
        <v>0</v>
      </c>
      <c r="AK942">
        <v>3</v>
      </c>
      <c r="AL942" t="str" cm="1">
        <f t="array" ref="AL942">_xlfn.IFS(Table1[[#This Row],[JobSatisfaction]]=1,"Low",Table1[[#This Row],[JobSatisfaction]]=2,"Medium",Table1[[#This Row],[JobSatisfaction]]=3,"High",Table1[[#This Row],[JobSatisfaction]]=4,"Very High")</f>
        <v>Low</v>
      </c>
      <c r="AM942">
        <f>IF(Table1[[#This Row],[Attrition]]="Yes",1,0)</f>
        <v>1</v>
      </c>
    </row>
    <row r="943" spans="1:39" ht="13.8" x14ac:dyDescent="0.25">
      <c r="A943">
        <v>30</v>
      </c>
      <c r="B943" t="str" cm="1">
        <f t="array" ref="B943">_xlfn.IFS(Table1[[#This Row],[Age]]&lt;30,"Under 30",Table1[[#This Row],[Age]]&lt;=40,"30-40",Table1[[#This Row],[Age]]&lt;=50,"41-50",Table1[[#This Row],[Age]]&gt;50,"Over 50")</f>
        <v>30-40</v>
      </c>
      <c r="C943" t="s">
        <v>43</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t="str" cm="1">
        <f t="array" ref="AH943">_xlfn.IFS(Table1[[#This Row],[YearsAtCompany]]&lt;=2,"0-2 years",Table1[[#This Row],[YearsAtCompany]]&lt;=5,"3-5 years",Table1[[#This Row],[YearsAtCompany]]&lt;=10,"6-10 years",Table1[[#This Row],[YearsAtCompany]]&gt;10,"10+ years")</f>
        <v>6-10 years</v>
      </c>
      <c r="AI943">
        <v>2</v>
      </c>
      <c r="AJ943">
        <v>6</v>
      </c>
      <c r="AK943">
        <v>7</v>
      </c>
      <c r="AL943" t="str" cm="1">
        <f t="array" ref="AL943">_xlfn.IFS(Table1[[#This Row],[JobSatisfaction]]=1,"Low",Table1[[#This Row],[JobSatisfaction]]=2,"Medium",Table1[[#This Row],[JobSatisfaction]]=3,"High",Table1[[#This Row],[JobSatisfaction]]=4,"Very High")</f>
        <v>Very High</v>
      </c>
      <c r="AM943">
        <f>IF(Table1[[#This Row],[Attrition]]="Yes",1,0)</f>
        <v>0</v>
      </c>
    </row>
    <row r="944" spans="1:39" ht="13.8" x14ac:dyDescent="0.25">
      <c r="A944">
        <v>36</v>
      </c>
      <c r="B944" t="str" cm="1">
        <f t="array" ref="B944">_xlfn.IFS(Table1[[#This Row],[Age]]&lt;30,"Under 30",Table1[[#This Row],[Age]]&lt;=40,"30-40",Table1[[#This Row],[Age]]&lt;=50,"41-50",Table1[[#This Row],[Age]]&gt;50,"Over 50")</f>
        <v>30-40</v>
      </c>
      <c r="C944" t="s">
        <v>43</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t="str" cm="1">
        <f t="array" ref="AH944">_xlfn.IFS(Table1[[#This Row],[YearsAtCompany]]&lt;=2,"0-2 years",Table1[[#This Row],[YearsAtCompany]]&lt;=5,"3-5 years",Table1[[#This Row],[YearsAtCompany]]&lt;=10,"6-10 years",Table1[[#This Row],[YearsAtCompany]]&gt;10,"10+ years")</f>
        <v>6-10 years</v>
      </c>
      <c r="AI944">
        <v>7</v>
      </c>
      <c r="AJ944">
        <v>1</v>
      </c>
      <c r="AK944">
        <v>7</v>
      </c>
      <c r="AL944" t="str" cm="1">
        <f t="array" ref="AL944">_xlfn.IFS(Table1[[#This Row],[JobSatisfaction]]=1,"Low",Table1[[#This Row],[JobSatisfaction]]=2,"Medium",Table1[[#This Row],[JobSatisfaction]]=3,"High",Table1[[#This Row],[JobSatisfaction]]=4,"Very High")</f>
        <v>High</v>
      </c>
      <c r="AM944">
        <f>IF(Table1[[#This Row],[Attrition]]="Yes",1,0)</f>
        <v>0</v>
      </c>
    </row>
    <row r="945" spans="1:39" ht="13.8" x14ac:dyDescent="0.25">
      <c r="A945">
        <v>46</v>
      </c>
      <c r="B945" t="str" cm="1">
        <f t="array" ref="B945">_xlfn.IFS(Table1[[#This Row],[Age]]&lt;30,"Under 30",Table1[[#This Row],[Age]]&lt;=40,"30-40",Table1[[#This Row],[Age]]&lt;=50,"41-50",Table1[[#This Row],[Age]]&gt;50,"Over 50")</f>
        <v>41-50</v>
      </c>
      <c r="C945" t="s">
        <v>43</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t="str" cm="1">
        <f t="array" ref="AH945">_xlfn.IFS(Table1[[#This Row],[YearsAtCompany]]&lt;=2,"0-2 years",Table1[[#This Row],[YearsAtCompany]]&lt;=5,"3-5 years",Table1[[#This Row],[YearsAtCompany]]&lt;=10,"6-10 years",Table1[[#This Row],[YearsAtCompany]]&gt;10,"10+ years")</f>
        <v>6-10 years</v>
      </c>
      <c r="AI945">
        <v>6</v>
      </c>
      <c r="AJ945">
        <v>5</v>
      </c>
      <c r="AK945">
        <v>7</v>
      </c>
      <c r="AL945" t="str" cm="1">
        <f t="array" ref="AL945">_xlfn.IFS(Table1[[#This Row],[JobSatisfaction]]=1,"Low",Table1[[#This Row],[JobSatisfaction]]=2,"Medium",Table1[[#This Row],[JobSatisfaction]]=3,"High",Table1[[#This Row],[JobSatisfaction]]=4,"Very High")</f>
        <v>Low</v>
      </c>
      <c r="AM945">
        <f>IF(Table1[[#This Row],[Attrition]]="Yes",1,0)</f>
        <v>0</v>
      </c>
    </row>
    <row r="946" spans="1:39" ht="13.8" x14ac:dyDescent="0.25">
      <c r="A946">
        <v>28</v>
      </c>
      <c r="B946" t="str" cm="1">
        <f t="array" ref="B946">_xlfn.IFS(Table1[[#This Row],[Age]]&lt;30,"Under 30",Table1[[#This Row],[Age]]&lt;=40,"30-40",Table1[[#This Row],[Age]]&lt;=50,"41-50",Table1[[#This Row],[Age]]&gt;50,"Over 50")</f>
        <v>Under 30</v>
      </c>
      <c r="C946" t="s">
        <v>43</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t="str" cm="1">
        <f t="array" ref="AH946">_xlfn.IFS(Table1[[#This Row],[YearsAtCompany]]&lt;=2,"0-2 years",Table1[[#This Row],[YearsAtCompany]]&lt;=5,"3-5 years",Table1[[#This Row],[YearsAtCompany]]&lt;=10,"6-10 years",Table1[[#This Row],[YearsAtCompany]]&gt;10,"10+ years")</f>
        <v>6-10 years</v>
      </c>
      <c r="AI946">
        <v>8</v>
      </c>
      <c r="AJ946">
        <v>7</v>
      </c>
      <c r="AK946">
        <v>5</v>
      </c>
      <c r="AL946" t="str" cm="1">
        <f t="array" ref="AL946">_xlfn.IFS(Table1[[#This Row],[JobSatisfaction]]=1,"Low",Table1[[#This Row],[JobSatisfaction]]=2,"Medium",Table1[[#This Row],[JobSatisfaction]]=3,"High",Table1[[#This Row],[JobSatisfaction]]=4,"Very High")</f>
        <v>Very High</v>
      </c>
      <c r="AM946">
        <f>IF(Table1[[#This Row],[Attrition]]="Yes",1,0)</f>
        <v>0</v>
      </c>
    </row>
    <row r="947" spans="1:39" ht="13.8" x14ac:dyDescent="0.25">
      <c r="A947">
        <v>50</v>
      </c>
      <c r="B947" t="str" cm="1">
        <f t="array" ref="B947">_xlfn.IFS(Table1[[#This Row],[Age]]&lt;30,"Under 30",Table1[[#This Row],[Age]]&lt;=40,"30-40",Table1[[#This Row],[Age]]&lt;=50,"41-50",Table1[[#This Row],[Age]]&gt;50,"Over 50")</f>
        <v>41-50</v>
      </c>
      <c r="C947" t="s">
        <v>43</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t="str" cm="1">
        <f t="array" ref="AH947">_xlfn.IFS(Table1[[#This Row],[YearsAtCompany]]&lt;=2,"0-2 years",Table1[[#This Row],[YearsAtCompany]]&lt;=5,"3-5 years",Table1[[#This Row],[YearsAtCompany]]&lt;=10,"6-10 years",Table1[[#This Row],[YearsAtCompany]]&gt;10,"10+ years")</f>
        <v>3-5 years</v>
      </c>
      <c r="AI947">
        <v>2</v>
      </c>
      <c r="AJ947">
        <v>1</v>
      </c>
      <c r="AK947">
        <v>2</v>
      </c>
      <c r="AL947" t="str" cm="1">
        <f t="array" ref="AL947">_xlfn.IFS(Table1[[#This Row],[JobSatisfaction]]=1,"Low",Table1[[#This Row],[JobSatisfaction]]=2,"Medium",Table1[[#This Row],[JobSatisfaction]]=3,"High",Table1[[#This Row],[JobSatisfaction]]=4,"Very High")</f>
        <v>Low</v>
      </c>
      <c r="AM947">
        <f>IF(Table1[[#This Row],[Attrition]]="Yes",1,0)</f>
        <v>0</v>
      </c>
    </row>
    <row r="948" spans="1:39" ht="13.8" x14ac:dyDescent="0.25">
      <c r="A948">
        <v>40</v>
      </c>
      <c r="B948" t="str" cm="1">
        <f t="array" ref="B948">_xlfn.IFS(Table1[[#This Row],[Age]]&lt;30,"Under 30",Table1[[#This Row],[Age]]&lt;=40,"30-40",Table1[[#This Row],[Age]]&lt;=50,"41-50",Table1[[#This Row],[Age]]&gt;50,"Over 50")</f>
        <v>30-40</v>
      </c>
      <c r="C948" t="s">
        <v>35</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t="str" cm="1">
        <f t="array" ref="AH948">_xlfn.IFS(Table1[[#This Row],[YearsAtCompany]]&lt;=2,"0-2 years",Table1[[#This Row],[YearsAtCompany]]&lt;=5,"3-5 years",Table1[[#This Row],[YearsAtCompany]]&lt;=10,"6-10 years",Table1[[#This Row],[YearsAtCompany]]&gt;10,"10+ years")</f>
        <v>3-5 years</v>
      </c>
      <c r="AI948">
        <v>4</v>
      </c>
      <c r="AJ948">
        <v>1</v>
      </c>
      <c r="AK948">
        <v>0</v>
      </c>
      <c r="AL948" t="str" cm="1">
        <f t="array" ref="AL948">_xlfn.IFS(Table1[[#This Row],[JobSatisfaction]]=1,"Low",Table1[[#This Row],[JobSatisfaction]]=2,"Medium",Table1[[#This Row],[JobSatisfaction]]=3,"High",Table1[[#This Row],[JobSatisfaction]]=4,"Very High")</f>
        <v>Medium</v>
      </c>
      <c r="AM948">
        <f>IF(Table1[[#This Row],[Attrition]]="Yes",1,0)</f>
        <v>1</v>
      </c>
    </row>
    <row r="949" spans="1:39" ht="13.8" x14ac:dyDescent="0.25">
      <c r="A949">
        <v>52</v>
      </c>
      <c r="B949" t="str" cm="1">
        <f t="array" ref="B949">_xlfn.IFS(Table1[[#This Row],[Age]]&lt;30,"Under 30",Table1[[#This Row],[Age]]&lt;=40,"30-40",Table1[[#This Row],[Age]]&lt;=50,"41-50",Table1[[#This Row],[Age]]&gt;50,"Over 50")</f>
        <v>Over 50</v>
      </c>
      <c r="C949" t="s">
        <v>35</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t="str" cm="1">
        <f t="array" ref="AH949">_xlfn.IFS(Table1[[#This Row],[YearsAtCompany]]&lt;=2,"0-2 years",Table1[[#This Row],[YearsAtCompany]]&lt;=5,"3-5 years",Table1[[#This Row],[YearsAtCompany]]&lt;=10,"6-10 years",Table1[[#This Row],[YearsAtCompany]]&gt;10,"10+ years")</f>
        <v>6-10 years</v>
      </c>
      <c r="AI949">
        <v>7</v>
      </c>
      <c r="AJ949">
        <v>7</v>
      </c>
      <c r="AK949">
        <v>7</v>
      </c>
      <c r="AL949" t="str" cm="1">
        <f t="array" ref="AL949">_xlfn.IFS(Table1[[#This Row],[JobSatisfaction]]=1,"Low",Table1[[#This Row],[JobSatisfaction]]=2,"Medium",Table1[[#This Row],[JobSatisfaction]]=3,"High",Table1[[#This Row],[JobSatisfaction]]=4,"Very High")</f>
        <v>Medium</v>
      </c>
      <c r="AM949">
        <f>IF(Table1[[#This Row],[Attrition]]="Yes",1,0)</f>
        <v>1</v>
      </c>
    </row>
    <row r="950" spans="1:39" ht="13.8" x14ac:dyDescent="0.25">
      <c r="A950">
        <v>30</v>
      </c>
      <c r="B950" t="str" cm="1">
        <f t="array" ref="B950">_xlfn.IFS(Table1[[#This Row],[Age]]&lt;30,"Under 30",Table1[[#This Row],[Age]]&lt;=40,"30-40",Table1[[#This Row],[Age]]&lt;=50,"41-50",Table1[[#This Row],[Age]]&gt;50,"Over 50")</f>
        <v>30-40</v>
      </c>
      <c r="C950" t="s">
        <v>43</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t="str" cm="1">
        <f t="array" ref="AH950">_xlfn.IFS(Table1[[#This Row],[YearsAtCompany]]&lt;=2,"0-2 years",Table1[[#This Row],[YearsAtCompany]]&lt;=5,"3-5 years",Table1[[#This Row],[YearsAtCompany]]&lt;=10,"6-10 years",Table1[[#This Row],[YearsAtCompany]]&gt;10,"10+ years")</f>
        <v>6-10 years</v>
      </c>
      <c r="AI950">
        <v>1</v>
      </c>
      <c r="AJ950">
        <v>0</v>
      </c>
      <c r="AK950">
        <v>8</v>
      </c>
      <c r="AL950" t="str" cm="1">
        <f t="array" ref="AL950">_xlfn.IFS(Table1[[#This Row],[JobSatisfaction]]=1,"Low",Table1[[#This Row],[JobSatisfaction]]=2,"Medium",Table1[[#This Row],[JobSatisfaction]]=3,"High",Table1[[#This Row],[JobSatisfaction]]=4,"Very High")</f>
        <v>Low</v>
      </c>
      <c r="AM950">
        <f>IF(Table1[[#This Row],[Attrition]]="Yes",1,0)</f>
        <v>0</v>
      </c>
    </row>
    <row r="951" spans="1:39" ht="13.8" x14ac:dyDescent="0.25">
      <c r="A951">
        <v>39</v>
      </c>
      <c r="B951" t="str" cm="1">
        <f t="array" ref="B951">_xlfn.IFS(Table1[[#This Row],[Age]]&lt;30,"Under 30",Table1[[#This Row],[Age]]&lt;=40,"30-40",Table1[[#This Row],[Age]]&lt;=50,"41-50",Table1[[#This Row],[Age]]&gt;50,"Over 50")</f>
        <v>30-40</v>
      </c>
      <c r="C951" t="s">
        <v>43</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t="str" cm="1">
        <f t="array" ref="AH951">_xlfn.IFS(Table1[[#This Row],[YearsAtCompany]]&lt;=2,"0-2 years",Table1[[#This Row],[YearsAtCompany]]&lt;=5,"3-5 years",Table1[[#This Row],[YearsAtCompany]]&lt;=10,"6-10 years",Table1[[#This Row],[YearsAtCompany]]&gt;10,"10+ years")</f>
        <v>6-10 years</v>
      </c>
      <c r="AI951">
        <v>7</v>
      </c>
      <c r="AJ951">
        <v>1</v>
      </c>
      <c r="AK951">
        <v>7</v>
      </c>
      <c r="AL951" t="str" cm="1">
        <f t="array" ref="AL951">_xlfn.IFS(Table1[[#This Row],[JobSatisfaction]]=1,"Low",Table1[[#This Row],[JobSatisfaction]]=2,"Medium",Table1[[#This Row],[JobSatisfaction]]=3,"High",Table1[[#This Row],[JobSatisfaction]]=4,"Very High")</f>
        <v>High</v>
      </c>
      <c r="AM951">
        <f>IF(Table1[[#This Row],[Attrition]]="Yes",1,0)</f>
        <v>0</v>
      </c>
    </row>
    <row r="952" spans="1:39" ht="13.8" x14ac:dyDescent="0.25">
      <c r="A952">
        <v>31</v>
      </c>
      <c r="B952" t="str" cm="1">
        <f t="array" ref="B952">_xlfn.IFS(Table1[[#This Row],[Age]]&lt;30,"Under 30",Table1[[#This Row],[Age]]&lt;=40,"30-40",Table1[[#This Row],[Age]]&lt;=50,"41-50",Table1[[#This Row],[Age]]&gt;50,"Over 50")</f>
        <v>30-40</v>
      </c>
      <c r="C952" t="s">
        <v>43</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t="str" cm="1">
        <f t="array" ref="AH952">_xlfn.IFS(Table1[[#This Row],[YearsAtCompany]]&lt;=2,"0-2 years",Table1[[#This Row],[YearsAtCompany]]&lt;=5,"3-5 years",Table1[[#This Row],[YearsAtCompany]]&lt;=10,"6-10 years",Table1[[#This Row],[YearsAtCompany]]&gt;10,"10+ years")</f>
        <v>6-10 years</v>
      </c>
      <c r="AI952">
        <v>8</v>
      </c>
      <c r="AJ952">
        <v>9</v>
      </c>
      <c r="AK952">
        <v>6</v>
      </c>
      <c r="AL952" t="str" cm="1">
        <f t="array" ref="AL952">_xlfn.IFS(Table1[[#This Row],[JobSatisfaction]]=1,"Low",Table1[[#This Row],[JobSatisfaction]]=2,"Medium",Table1[[#This Row],[JobSatisfaction]]=3,"High",Table1[[#This Row],[JobSatisfaction]]=4,"Very High")</f>
        <v>High</v>
      </c>
      <c r="AM952">
        <f>IF(Table1[[#This Row],[Attrition]]="Yes",1,0)</f>
        <v>0</v>
      </c>
    </row>
    <row r="953" spans="1:39" ht="13.8" x14ac:dyDescent="0.25">
      <c r="A953">
        <v>41</v>
      </c>
      <c r="B953" t="str" cm="1">
        <f t="array" ref="B953">_xlfn.IFS(Table1[[#This Row],[Age]]&lt;30,"Under 30",Table1[[#This Row],[Age]]&lt;=40,"30-40",Table1[[#This Row],[Age]]&lt;=50,"41-50",Table1[[#This Row],[Age]]&gt;50,"Over 50")</f>
        <v>41-50</v>
      </c>
      <c r="C953" t="s">
        <v>43</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t="str" cm="1">
        <f t="array" ref="AH953">_xlfn.IFS(Table1[[#This Row],[YearsAtCompany]]&lt;=2,"0-2 years",Table1[[#This Row],[YearsAtCompany]]&lt;=5,"3-5 years",Table1[[#This Row],[YearsAtCompany]]&lt;=10,"6-10 years",Table1[[#This Row],[YearsAtCompany]]&gt;10,"10+ years")</f>
        <v>10+ years</v>
      </c>
      <c r="AI953">
        <v>2</v>
      </c>
      <c r="AJ953">
        <v>11</v>
      </c>
      <c r="AK953">
        <v>9</v>
      </c>
      <c r="AL953" t="str" cm="1">
        <f t="array" ref="AL953">_xlfn.IFS(Table1[[#This Row],[JobSatisfaction]]=1,"Low",Table1[[#This Row],[JobSatisfaction]]=2,"Medium",Table1[[#This Row],[JobSatisfaction]]=3,"High",Table1[[#This Row],[JobSatisfaction]]=4,"Very High")</f>
        <v>Medium</v>
      </c>
      <c r="AM953">
        <f>IF(Table1[[#This Row],[Attrition]]="Yes",1,0)</f>
        <v>0</v>
      </c>
    </row>
    <row r="954" spans="1:39" ht="13.8" x14ac:dyDescent="0.25">
      <c r="A954">
        <v>31</v>
      </c>
      <c r="B954" t="str" cm="1">
        <f t="array" ref="B954">_xlfn.IFS(Table1[[#This Row],[Age]]&lt;30,"Under 30",Table1[[#This Row],[Age]]&lt;=40,"30-40",Table1[[#This Row],[Age]]&lt;=50,"41-50",Table1[[#This Row],[Age]]&gt;50,"Over 50")</f>
        <v>30-40</v>
      </c>
      <c r="C954" t="s">
        <v>35</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t="str" cm="1">
        <f t="array" ref="AH954">_xlfn.IFS(Table1[[#This Row],[YearsAtCompany]]&lt;=2,"0-2 years",Table1[[#This Row],[YearsAtCompany]]&lt;=5,"3-5 years",Table1[[#This Row],[YearsAtCompany]]&lt;=10,"6-10 years",Table1[[#This Row],[YearsAtCompany]]&gt;10,"10+ years")</f>
        <v>3-5 years</v>
      </c>
      <c r="AI954">
        <v>2</v>
      </c>
      <c r="AJ954">
        <v>2</v>
      </c>
      <c r="AK954">
        <v>2</v>
      </c>
      <c r="AL954" t="str" cm="1">
        <f t="array" ref="AL954">_xlfn.IFS(Table1[[#This Row],[JobSatisfaction]]=1,"Low",Table1[[#This Row],[JobSatisfaction]]=2,"Medium",Table1[[#This Row],[JobSatisfaction]]=3,"High",Table1[[#This Row],[JobSatisfaction]]=4,"Very High")</f>
        <v>Medium</v>
      </c>
      <c r="AM954">
        <f>IF(Table1[[#This Row],[Attrition]]="Yes",1,0)</f>
        <v>1</v>
      </c>
    </row>
    <row r="955" spans="1:39" ht="13.8" x14ac:dyDescent="0.25">
      <c r="A955">
        <v>44</v>
      </c>
      <c r="B955" t="str" cm="1">
        <f t="array" ref="B955">_xlfn.IFS(Table1[[#This Row],[Age]]&lt;30,"Under 30",Table1[[#This Row],[Age]]&lt;=40,"30-40",Table1[[#This Row],[Age]]&lt;=50,"41-50",Table1[[#This Row],[Age]]&gt;50,"Over 50")</f>
        <v>41-50</v>
      </c>
      <c r="C955" t="s">
        <v>35</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t="str" cm="1">
        <f t="array" ref="AH955">_xlfn.IFS(Table1[[#This Row],[YearsAtCompany]]&lt;=2,"0-2 years",Table1[[#This Row],[YearsAtCompany]]&lt;=5,"3-5 years",Table1[[#This Row],[YearsAtCompany]]&lt;=10,"6-10 years",Table1[[#This Row],[YearsAtCompany]]&gt;10,"10+ years")</f>
        <v>3-5 years</v>
      </c>
      <c r="AI955">
        <v>2</v>
      </c>
      <c r="AJ955">
        <v>1</v>
      </c>
      <c r="AK955">
        <v>2</v>
      </c>
      <c r="AL955" t="str" cm="1">
        <f t="array" ref="AL955">_xlfn.IFS(Table1[[#This Row],[JobSatisfaction]]=1,"Low",Table1[[#This Row],[JobSatisfaction]]=2,"Medium",Table1[[#This Row],[JobSatisfaction]]=3,"High",Table1[[#This Row],[JobSatisfaction]]=4,"Very High")</f>
        <v>Low</v>
      </c>
      <c r="AM955">
        <f>IF(Table1[[#This Row],[Attrition]]="Yes",1,0)</f>
        <v>1</v>
      </c>
    </row>
    <row r="956" spans="1:39" ht="13.8" x14ac:dyDescent="0.25">
      <c r="A956">
        <v>42</v>
      </c>
      <c r="B956" t="str" cm="1">
        <f t="array" ref="B956">_xlfn.IFS(Table1[[#This Row],[Age]]&lt;30,"Under 30",Table1[[#This Row],[Age]]&lt;=40,"30-40",Table1[[#This Row],[Age]]&lt;=50,"41-50",Table1[[#This Row],[Age]]&gt;50,"Over 50")</f>
        <v>41-50</v>
      </c>
      <c r="C956" t="s">
        <v>43</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t="str" cm="1">
        <f t="array" ref="AH956">_xlfn.IFS(Table1[[#This Row],[YearsAtCompany]]&lt;=2,"0-2 years",Table1[[#This Row],[YearsAtCompany]]&lt;=5,"3-5 years",Table1[[#This Row],[YearsAtCompany]]&lt;=10,"6-10 years",Table1[[#This Row],[YearsAtCompany]]&gt;10,"10+ years")</f>
        <v>10+ years</v>
      </c>
      <c r="AI956">
        <v>8</v>
      </c>
      <c r="AJ956">
        <v>2</v>
      </c>
      <c r="AK956">
        <v>10</v>
      </c>
      <c r="AL956" t="str" cm="1">
        <f t="array" ref="AL956">_xlfn.IFS(Table1[[#This Row],[JobSatisfaction]]=1,"Low",Table1[[#This Row],[JobSatisfaction]]=2,"Medium",Table1[[#This Row],[JobSatisfaction]]=3,"High",Table1[[#This Row],[JobSatisfaction]]=4,"Very High")</f>
        <v>High</v>
      </c>
      <c r="AM956">
        <f>IF(Table1[[#This Row],[Attrition]]="Yes",1,0)</f>
        <v>0</v>
      </c>
    </row>
    <row r="957" spans="1:39" ht="13.8" x14ac:dyDescent="0.25">
      <c r="A957">
        <v>55</v>
      </c>
      <c r="B957" t="str" cm="1">
        <f t="array" ref="B957">_xlfn.IFS(Table1[[#This Row],[Age]]&lt;30,"Under 30",Table1[[#This Row],[Age]]&lt;=40,"30-40",Table1[[#This Row],[Age]]&lt;=50,"41-50",Table1[[#This Row],[Age]]&gt;50,"Over 50")</f>
        <v>Over 50</v>
      </c>
      <c r="C957" t="s">
        <v>43</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t="str" cm="1">
        <f t="array" ref="AH957">_xlfn.IFS(Table1[[#This Row],[YearsAtCompany]]&lt;=2,"0-2 years",Table1[[#This Row],[YearsAtCompany]]&lt;=5,"3-5 years",Table1[[#This Row],[YearsAtCompany]]&lt;=10,"6-10 years",Table1[[#This Row],[YearsAtCompany]]&gt;10,"10+ years")</f>
        <v>10+ years</v>
      </c>
      <c r="AI957">
        <v>9</v>
      </c>
      <c r="AJ957">
        <v>9</v>
      </c>
      <c r="AK957">
        <v>11</v>
      </c>
      <c r="AL957" t="str" cm="1">
        <f t="array" ref="AL957">_xlfn.IFS(Table1[[#This Row],[JobSatisfaction]]=1,"Low",Table1[[#This Row],[JobSatisfaction]]=2,"Medium",Table1[[#This Row],[JobSatisfaction]]=3,"High",Table1[[#This Row],[JobSatisfaction]]=4,"Very High")</f>
        <v>High</v>
      </c>
      <c r="AM957">
        <f>IF(Table1[[#This Row],[Attrition]]="Yes",1,0)</f>
        <v>0</v>
      </c>
    </row>
    <row r="958" spans="1:39" ht="13.8" x14ac:dyDescent="0.25">
      <c r="A958">
        <v>56</v>
      </c>
      <c r="B958" t="str" cm="1">
        <f t="array" ref="B958">_xlfn.IFS(Table1[[#This Row],[Age]]&lt;30,"Under 30",Table1[[#This Row],[Age]]&lt;=40,"30-40",Table1[[#This Row],[Age]]&lt;=50,"41-50",Table1[[#This Row],[Age]]&gt;50,"Over 50")</f>
        <v>Over 50</v>
      </c>
      <c r="C958" t="s">
        <v>43</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t="str" cm="1">
        <f t="array" ref="AH958">_xlfn.IFS(Table1[[#This Row],[YearsAtCompany]]&lt;=2,"0-2 years",Table1[[#This Row],[YearsAtCompany]]&lt;=5,"3-5 years",Table1[[#This Row],[YearsAtCompany]]&lt;=10,"6-10 years",Table1[[#This Row],[YearsAtCompany]]&gt;10,"10+ years")</f>
        <v>6-10 years</v>
      </c>
      <c r="AI958">
        <v>3</v>
      </c>
      <c r="AJ958">
        <v>7</v>
      </c>
      <c r="AK958">
        <v>7</v>
      </c>
      <c r="AL958" t="str" cm="1">
        <f t="array" ref="AL958">_xlfn.IFS(Table1[[#This Row],[JobSatisfaction]]=1,"Low",Table1[[#This Row],[JobSatisfaction]]=2,"Medium",Table1[[#This Row],[JobSatisfaction]]=3,"High",Table1[[#This Row],[JobSatisfaction]]=4,"Very High")</f>
        <v>Medium</v>
      </c>
      <c r="AM958">
        <f>IF(Table1[[#This Row],[Attrition]]="Yes",1,0)</f>
        <v>0</v>
      </c>
    </row>
    <row r="959" spans="1:39" ht="13.8" x14ac:dyDescent="0.25">
      <c r="A959">
        <v>40</v>
      </c>
      <c r="B959" t="str" cm="1">
        <f t="array" ref="B959">_xlfn.IFS(Table1[[#This Row],[Age]]&lt;30,"Under 30",Table1[[#This Row],[Age]]&lt;=40,"30-40",Table1[[#This Row],[Age]]&lt;=50,"41-50",Table1[[#This Row],[Age]]&gt;50,"Over 50")</f>
        <v>30-40</v>
      </c>
      <c r="C959" t="s">
        <v>43</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t="str" cm="1">
        <f t="array" ref="AH959">_xlfn.IFS(Table1[[#This Row],[YearsAtCompany]]&lt;=2,"0-2 years",Table1[[#This Row],[YearsAtCompany]]&lt;=5,"3-5 years",Table1[[#This Row],[YearsAtCompany]]&lt;=10,"6-10 years",Table1[[#This Row],[YearsAtCompany]]&gt;10,"10+ years")</f>
        <v>3-5 years</v>
      </c>
      <c r="AI959">
        <v>2</v>
      </c>
      <c r="AJ959">
        <v>0</v>
      </c>
      <c r="AK959">
        <v>0</v>
      </c>
      <c r="AL959" t="str" cm="1">
        <f t="array" ref="AL959">_xlfn.IFS(Table1[[#This Row],[JobSatisfaction]]=1,"Low",Table1[[#This Row],[JobSatisfaction]]=2,"Medium",Table1[[#This Row],[JobSatisfaction]]=3,"High",Table1[[#This Row],[JobSatisfaction]]=4,"Very High")</f>
        <v>High</v>
      </c>
      <c r="AM959">
        <f>IF(Table1[[#This Row],[Attrition]]="Yes",1,0)</f>
        <v>0</v>
      </c>
    </row>
    <row r="960" spans="1:39" ht="13.8" x14ac:dyDescent="0.25">
      <c r="A960">
        <v>34</v>
      </c>
      <c r="B960" t="str" cm="1">
        <f t="array" ref="B960">_xlfn.IFS(Table1[[#This Row],[Age]]&lt;30,"Under 30",Table1[[#This Row],[Age]]&lt;=40,"30-40",Table1[[#This Row],[Age]]&lt;=50,"41-50",Table1[[#This Row],[Age]]&gt;50,"Over 50")</f>
        <v>30-40</v>
      </c>
      <c r="C960" t="s">
        <v>43</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t="str" cm="1">
        <f t="array" ref="AH960">_xlfn.IFS(Table1[[#This Row],[YearsAtCompany]]&lt;=2,"0-2 years",Table1[[#This Row],[YearsAtCompany]]&lt;=5,"3-5 years",Table1[[#This Row],[YearsAtCompany]]&lt;=10,"6-10 years",Table1[[#This Row],[YearsAtCompany]]&gt;10,"10+ years")</f>
        <v>6-10 years</v>
      </c>
      <c r="AI960">
        <v>7</v>
      </c>
      <c r="AJ960">
        <v>1</v>
      </c>
      <c r="AK960">
        <v>6</v>
      </c>
      <c r="AL960" t="str" cm="1">
        <f t="array" ref="AL960">_xlfn.IFS(Table1[[#This Row],[JobSatisfaction]]=1,"Low",Table1[[#This Row],[JobSatisfaction]]=2,"Medium",Table1[[#This Row],[JobSatisfaction]]=3,"High",Table1[[#This Row],[JobSatisfaction]]=4,"Very High")</f>
        <v>Very High</v>
      </c>
      <c r="AM960">
        <f>IF(Table1[[#This Row],[Attrition]]="Yes",1,0)</f>
        <v>0</v>
      </c>
    </row>
    <row r="961" spans="1:39" ht="13.8" x14ac:dyDescent="0.25">
      <c r="A961">
        <v>40</v>
      </c>
      <c r="B961" t="str" cm="1">
        <f t="array" ref="B961">_xlfn.IFS(Table1[[#This Row],[Age]]&lt;30,"Under 30",Table1[[#This Row],[Age]]&lt;=40,"30-40",Table1[[#This Row],[Age]]&lt;=50,"41-50",Table1[[#This Row],[Age]]&gt;50,"Over 50")</f>
        <v>30-40</v>
      </c>
      <c r="C961" t="s">
        <v>43</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t="str" cm="1">
        <f t="array" ref="AH961">_xlfn.IFS(Table1[[#This Row],[YearsAtCompany]]&lt;=2,"0-2 years",Table1[[#This Row],[YearsAtCompany]]&lt;=5,"3-5 years",Table1[[#This Row],[YearsAtCompany]]&lt;=10,"6-10 years",Table1[[#This Row],[YearsAtCompany]]&gt;10,"10+ years")</f>
        <v>6-10 years</v>
      </c>
      <c r="AI961">
        <v>8</v>
      </c>
      <c r="AJ961">
        <v>8</v>
      </c>
      <c r="AK961">
        <v>8</v>
      </c>
      <c r="AL961" t="str" cm="1">
        <f t="array" ref="AL961">_xlfn.IFS(Table1[[#This Row],[JobSatisfaction]]=1,"Low",Table1[[#This Row],[JobSatisfaction]]=2,"Medium",Table1[[#This Row],[JobSatisfaction]]=3,"High",Table1[[#This Row],[JobSatisfaction]]=4,"Very High")</f>
        <v>Very High</v>
      </c>
      <c r="AM961">
        <f>IF(Table1[[#This Row],[Attrition]]="Yes",1,0)</f>
        <v>0</v>
      </c>
    </row>
    <row r="962" spans="1:39" ht="13.8" x14ac:dyDescent="0.25">
      <c r="A962">
        <v>41</v>
      </c>
      <c r="B962" t="str" cm="1">
        <f t="array" ref="B962">_xlfn.IFS(Table1[[#This Row],[Age]]&lt;30,"Under 30",Table1[[#This Row],[Age]]&lt;=40,"30-40",Table1[[#This Row],[Age]]&lt;=50,"41-50",Table1[[#This Row],[Age]]&gt;50,"Over 50")</f>
        <v>41-50</v>
      </c>
      <c r="C962" t="s">
        <v>43</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t="str" cm="1">
        <f t="array" ref="AH962">_xlfn.IFS(Table1[[#This Row],[YearsAtCompany]]&lt;=2,"0-2 years",Table1[[#This Row],[YearsAtCompany]]&lt;=5,"3-5 years",Table1[[#This Row],[YearsAtCompany]]&lt;=10,"6-10 years",Table1[[#This Row],[YearsAtCompany]]&gt;10,"10+ years")</f>
        <v>6-10 years</v>
      </c>
      <c r="AI962">
        <v>3</v>
      </c>
      <c r="AJ962">
        <v>1</v>
      </c>
      <c r="AK962">
        <v>7</v>
      </c>
      <c r="AL962" t="str" cm="1">
        <f t="array" ref="AL962">_xlfn.IFS(Table1[[#This Row],[JobSatisfaction]]=1,"Low",Table1[[#This Row],[JobSatisfaction]]=2,"Medium",Table1[[#This Row],[JobSatisfaction]]=3,"High",Table1[[#This Row],[JobSatisfaction]]=4,"Very High")</f>
        <v>Low</v>
      </c>
      <c r="AM962">
        <f>IF(Table1[[#This Row],[Attrition]]="Yes",1,0)</f>
        <v>0</v>
      </c>
    </row>
    <row r="963" spans="1:39" ht="13.8" x14ac:dyDescent="0.25">
      <c r="A963">
        <v>35</v>
      </c>
      <c r="B963" t="str" cm="1">
        <f t="array" ref="B963">_xlfn.IFS(Table1[[#This Row],[Age]]&lt;30,"Under 30",Table1[[#This Row],[Age]]&lt;=40,"30-40",Table1[[#This Row],[Age]]&lt;=50,"41-50",Table1[[#This Row],[Age]]&gt;50,"Over 50")</f>
        <v>30-40</v>
      </c>
      <c r="C963" t="s">
        <v>43</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t="str" cm="1">
        <f t="array" ref="AH963">_xlfn.IFS(Table1[[#This Row],[YearsAtCompany]]&lt;=2,"0-2 years",Table1[[#This Row],[YearsAtCompany]]&lt;=5,"3-5 years",Table1[[#This Row],[YearsAtCompany]]&lt;=10,"6-10 years",Table1[[#This Row],[YearsAtCompany]]&gt;10,"10+ years")</f>
        <v>6-10 years</v>
      </c>
      <c r="AI963">
        <v>6</v>
      </c>
      <c r="AJ963">
        <v>1</v>
      </c>
      <c r="AK963">
        <v>1</v>
      </c>
      <c r="AL963" t="str" cm="1">
        <f t="array" ref="AL963">_xlfn.IFS(Table1[[#This Row],[JobSatisfaction]]=1,"Low",Table1[[#This Row],[JobSatisfaction]]=2,"Medium",Table1[[#This Row],[JobSatisfaction]]=3,"High",Table1[[#This Row],[JobSatisfaction]]=4,"Very High")</f>
        <v>High</v>
      </c>
      <c r="AM963">
        <f>IF(Table1[[#This Row],[Attrition]]="Yes",1,0)</f>
        <v>0</v>
      </c>
    </row>
    <row r="964" spans="1:39" ht="13.8" x14ac:dyDescent="0.25">
      <c r="A964">
        <v>51</v>
      </c>
      <c r="B964" t="str" cm="1">
        <f t="array" ref="B964">_xlfn.IFS(Table1[[#This Row],[Age]]&lt;30,"Under 30",Table1[[#This Row],[Age]]&lt;=40,"30-40",Table1[[#This Row],[Age]]&lt;=50,"41-50",Table1[[#This Row],[Age]]&gt;50,"Over 50")</f>
        <v>Over 50</v>
      </c>
      <c r="C964" t="s">
        <v>43</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t="str" cm="1">
        <f t="array" ref="AH964">_xlfn.IFS(Table1[[#This Row],[YearsAtCompany]]&lt;=2,"0-2 years",Table1[[#This Row],[YearsAtCompany]]&lt;=5,"3-5 years",Table1[[#This Row],[YearsAtCompany]]&lt;=10,"6-10 years",Table1[[#This Row],[YearsAtCompany]]&gt;10,"10+ years")</f>
        <v>10+ years</v>
      </c>
      <c r="AI964">
        <v>9</v>
      </c>
      <c r="AJ964">
        <v>0</v>
      </c>
      <c r="AK964">
        <v>10</v>
      </c>
      <c r="AL964" t="str" cm="1">
        <f t="array" ref="AL964">_xlfn.IFS(Table1[[#This Row],[JobSatisfaction]]=1,"Low",Table1[[#This Row],[JobSatisfaction]]=2,"Medium",Table1[[#This Row],[JobSatisfaction]]=3,"High",Table1[[#This Row],[JobSatisfaction]]=4,"Very High")</f>
        <v>Medium</v>
      </c>
      <c r="AM964">
        <f>IF(Table1[[#This Row],[Attrition]]="Yes",1,0)</f>
        <v>0</v>
      </c>
    </row>
    <row r="965" spans="1:39" ht="13.8" x14ac:dyDescent="0.25">
      <c r="A965">
        <v>38</v>
      </c>
      <c r="B965" t="str" cm="1">
        <f t="array" ref="B965">_xlfn.IFS(Table1[[#This Row],[Age]]&lt;30,"Under 30",Table1[[#This Row],[Age]]&lt;=40,"30-40",Table1[[#This Row],[Age]]&lt;=50,"41-50",Table1[[#This Row],[Age]]&gt;50,"Over 50")</f>
        <v>30-40</v>
      </c>
      <c r="C965" t="s">
        <v>43</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t="str" cm="1">
        <f t="array" ref="AH965">_xlfn.IFS(Table1[[#This Row],[YearsAtCompany]]&lt;=2,"0-2 years",Table1[[#This Row],[YearsAtCompany]]&lt;=5,"3-5 years",Table1[[#This Row],[YearsAtCompany]]&lt;=10,"6-10 years",Table1[[#This Row],[YearsAtCompany]]&gt;10,"10+ years")</f>
        <v>6-10 years</v>
      </c>
      <c r="AI965">
        <v>7</v>
      </c>
      <c r="AJ965">
        <v>1</v>
      </c>
      <c r="AK965">
        <v>7</v>
      </c>
      <c r="AL965" t="str" cm="1">
        <f t="array" ref="AL965">_xlfn.IFS(Table1[[#This Row],[JobSatisfaction]]=1,"Low",Table1[[#This Row],[JobSatisfaction]]=2,"Medium",Table1[[#This Row],[JobSatisfaction]]=3,"High",Table1[[#This Row],[JobSatisfaction]]=4,"Very High")</f>
        <v>Low</v>
      </c>
      <c r="AM965">
        <f>IF(Table1[[#This Row],[Attrition]]="Yes",1,0)</f>
        <v>0</v>
      </c>
    </row>
    <row r="966" spans="1:39" ht="13.8" x14ac:dyDescent="0.25">
      <c r="A966">
        <v>34</v>
      </c>
      <c r="B966" t="str" cm="1">
        <f t="array" ref="B966">_xlfn.IFS(Table1[[#This Row],[Age]]&lt;30,"Under 30",Table1[[#This Row],[Age]]&lt;=40,"30-40",Table1[[#This Row],[Age]]&lt;=50,"41-50",Table1[[#This Row],[Age]]&gt;50,"Over 50")</f>
        <v>30-40</v>
      </c>
      <c r="C966" t="s">
        <v>43</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t="str" cm="1">
        <f t="array" ref="AH966">_xlfn.IFS(Table1[[#This Row],[YearsAtCompany]]&lt;=2,"0-2 years",Table1[[#This Row],[YearsAtCompany]]&lt;=5,"3-5 years",Table1[[#This Row],[YearsAtCompany]]&lt;=10,"6-10 years",Table1[[#This Row],[YearsAtCompany]]&gt;10,"10+ years")</f>
        <v>6-10 years</v>
      </c>
      <c r="AI966">
        <v>8</v>
      </c>
      <c r="AJ966">
        <v>9</v>
      </c>
      <c r="AK966">
        <v>6</v>
      </c>
      <c r="AL966" t="str" cm="1">
        <f t="array" ref="AL966">_xlfn.IFS(Table1[[#This Row],[JobSatisfaction]]=1,"Low",Table1[[#This Row],[JobSatisfaction]]=2,"Medium",Table1[[#This Row],[JobSatisfaction]]=3,"High",Table1[[#This Row],[JobSatisfaction]]=4,"Very High")</f>
        <v>Low</v>
      </c>
      <c r="AM966">
        <f>IF(Table1[[#This Row],[Attrition]]="Yes",1,0)</f>
        <v>0</v>
      </c>
    </row>
    <row r="967" spans="1:39" ht="13.8" x14ac:dyDescent="0.25">
      <c r="A967">
        <v>25</v>
      </c>
      <c r="B967" t="str" cm="1">
        <f t="array" ref="B967">_xlfn.IFS(Table1[[#This Row],[Age]]&lt;30,"Under 30",Table1[[#This Row],[Age]]&lt;=40,"30-40",Table1[[#This Row],[Age]]&lt;=50,"41-50",Table1[[#This Row],[Age]]&gt;50,"Over 50")</f>
        <v>Under 30</v>
      </c>
      <c r="C967" t="s">
        <v>43</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t="str" cm="1">
        <f t="array" ref="AH967">_xlfn.IFS(Table1[[#This Row],[YearsAtCompany]]&lt;=2,"0-2 years",Table1[[#This Row],[YearsAtCompany]]&lt;=5,"3-5 years",Table1[[#This Row],[YearsAtCompany]]&lt;=10,"6-10 years",Table1[[#This Row],[YearsAtCompany]]&gt;10,"10+ years")</f>
        <v>3-5 years</v>
      </c>
      <c r="AI967">
        <v>2</v>
      </c>
      <c r="AJ967">
        <v>1</v>
      </c>
      <c r="AK967">
        <v>2</v>
      </c>
      <c r="AL967" t="str" cm="1">
        <f t="array" ref="AL967">_xlfn.IFS(Table1[[#This Row],[JobSatisfaction]]=1,"Low",Table1[[#This Row],[JobSatisfaction]]=2,"Medium",Table1[[#This Row],[JobSatisfaction]]=3,"High",Table1[[#This Row],[JobSatisfaction]]=4,"Very High")</f>
        <v>Very High</v>
      </c>
      <c r="AM967">
        <f>IF(Table1[[#This Row],[Attrition]]="Yes",1,0)</f>
        <v>0</v>
      </c>
    </row>
    <row r="968" spans="1:39" ht="13.8" x14ac:dyDescent="0.25">
      <c r="A968">
        <v>58</v>
      </c>
      <c r="B968" t="str" cm="1">
        <f t="array" ref="B968">_xlfn.IFS(Table1[[#This Row],[Age]]&lt;30,"Under 30",Table1[[#This Row],[Age]]&lt;=40,"30-40",Table1[[#This Row],[Age]]&lt;=50,"41-50",Table1[[#This Row],[Age]]&gt;50,"Over 50")</f>
        <v>Over 50</v>
      </c>
      <c r="C968" t="s">
        <v>35</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t="str" cm="1">
        <f t="array" ref="AH968">_xlfn.IFS(Table1[[#This Row],[YearsAtCompany]]&lt;=2,"0-2 years",Table1[[#This Row],[YearsAtCompany]]&lt;=5,"3-5 years",Table1[[#This Row],[YearsAtCompany]]&lt;=10,"6-10 years",Table1[[#This Row],[YearsAtCompany]]&gt;10,"10+ years")</f>
        <v>6-10 years</v>
      </c>
      <c r="AI968">
        <v>9</v>
      </c>
      <c r="AJ968">
        <v>5</v>
      </c>
      <c r="AK968">
        <v>9</v>
      </c>
      <c r="AL968" t="str" cm="1">
        <f t="array" ref="AL968">_xlfn.IFS(Table1[[#This Row],[JobSatisfaction]]=1,"Low",Table1[[#This Row],[JobSatisfaction]]=2,"Medium",Table1[[#This Row],[JobSatisfaction]]=3,"High",Table1[[#This Row],[JobSatisfaction]]=4,"Very High")</f>
        <v>Low</v>
      </c>
      <c r="AM968">
        <f>IF(Table1[[#This Row],[Attrition]]="Yes",1,0)</f>
        <v>1</v>
      </c>
    </row>
    <row r="969" spans="1:39" ht="13.8" x14ac:dyDescent="0.25">
      <c r="A969">
        <v>40</v>
      </c>
      <c r="B969" t="str" cm="1">
        <f t="array" ref="B969">_xlfn.IFS(Table1[[#This Row],[Age]]&lt;30,"Under 30",Table1[[#This Row],[Age]]&lt;=40,"30-40",Table1[[#This Row],[Age]]&lt;=50,"41-50",Table1[[#This Row],[Age]]&gt;50,"Over 50")</f>
        <v>30-40</v>
      </c>
      <c r="C969" t="s">
        <v>43</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t="str" cm="1">
        <f t="array" ref="AH969">_xlfn.IFS(Table1[[#This Row],[YearsAtCompany]]&lt;=2,"0-2 years",Table1[[#This Row],[YearsAtCompany]]&lt;=5,"3-5 years",Table1[[#This Row],[YearsAtCompany]]&lt;=10,"6-10 years",Table1[[#This Row],[YearsAtCompany]]&gt;10,"10+ years")</f>
        <v>3-5 years</v>
      </c>
      <c r="AI969">
        <v>2</v>
      </c>
      <c r="AJ969">
        <v>0</v>
      </c>
      <c r="AK969">
        <v>3</v>
      </c>
      <c r="AL969" t="str" cm="1">
        <f t="array" ref="AL969">_xlfn.IFS(Table1[[#This Row],[JobSatisfaction]]=1,"Low",Table1[[#This Row],[JobSatisfaction]]=2,"Medium",Table1[[#This Row],[JobSatisfaction]]=3,"High",Table1[[#This Row],[JobSatisfaction]]=4,"Very High")</f>
        <v>Medium</v>
      </c>
      <c r="AM969">
        <f>IF(Table1[[#This Row],[Attrition]]="Yes",1,0)</f>
        <v>0</v>
      </c>
    </row>
    <row r="970" spans="1:39" ht="13.8" x14ac:dyDescent="0.25">
      <c r="A970">
        <v>36</v>
      </c>
      <c r="B970" t="str" cm="1">
        <f t="array" ref="B970">_xlfn.IFS(Table1[[#This Row],[Age]]&lt;30,"Under 30",Table1[[#This Row],[Age]]&lt;=40,"30-40",Table1[[#This Row],[Age]]&lt;=50,"41-50",Table1[[#This Row],[Age]]&gt;50,"Over 50")</f>
        <v>30-40</v>
      </c>
      <c r="C970" t="s">
        <v>43</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t="str" cm="1">
        <f t="array" ref="AH970">_xlfn.IFS(Table1[[#This Row],[YearsAtCompany]]&lt;=2,"0-2 years",Table1[[#This Row],[YearsAtCompany]]&lt;=5,"3-5 years",Table1[[#This Row],[YearsAtCompany]]&lt;=10,"6-10 years",Table1[[#This Row],[YearsAtCompany]]&gt;10,"10+ years")</f>
        <v>10+ years</v>
      </c>
      <c r="AI970">
        <v>7</v>
      </c>
      <c r="AJ970">
        <v>6</v>
      </c>
      <c r="AK970">
        <v>13</v>
      </c>
      <c r="AL970" t="str" cm="1">
        <f t="array" ref="AL970">_xlfn.IFS(Table1[[#This Row],[JobSatisfaction]]=1,"Low",Table1[[#This Row],[JobSatisfaction]]=2,"Medium",Table1[[#This Row],[JobSatisfaction]]=3,"High",Table1[[#This Row],[JobSatisfaction]]=4,"Very High")</f>
        <v>Low</v>
      </c>
      <c r="AM970">
        <f>IF(Table1[[#This Row],[Attrition]]="Yes",1,0)</f>
        <v>0</v>
      </c>
    </row>
    <row r="971" spans="1:39" ht="13.8" x14ac:dyDescent="0.25">
      <c r="A971">
        <v>48</v>
      </c>
      <c r="B971" t="str" cm="1">
        <f t="array" ref="B971">_xlfn.IFS(Table1[[#This Row],[Age]]&lt;30,"Under 30",Table1[[#This Row],[Age]]&lt;=40,"30-40",Table1[[#This Row],[Age]]&lt;=50,"41-50",Table1[[#This Row],[Age]]&gt;50,"Over 50")</f>
        <v>41-50</v>
      </c>
      <c r="C971" t="s">
        <v>43</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t="str" cm="1">
        <f t="array" ref="AH971">_xlfn.IFS(Table1[[#This Row],[YearsAtCompany]]&lt;=2,"0-2 years",Table1[[#This Row],[YearsAtCompany]]&lt;=5,"3-5 years",Table1[[#This Row],[YearsAtCompany]]&lt;=10,"6-10 years",Table1[[#This Row],[YearsAtCompany]]&gt;10,"10+ years")</f>
        <v>6-10 years</v>
      </c>
      <c r="AI971">
        <v>9</v>
      </c>
      <c r="AJ971">
        <v>0</v>
      </c>
      <c r="AK971">
        <v>8</v>
      </c>
      <c r="AL971" t="str" cm="1">
        <f t="array" ref="AL971">_xlfn.IFS(Table1[[#This Row],[JobSatisfaction]]=1,"Low",Table1[[#This Row],[JobSatisfaction]]=2,"Medium",Table1[[#This Row],[JobSatisfaction]]=3,"High",Table1[[#This Row],[JobSatisfaction]]=4,"Very High")</f>
        <v>Very High</v>
      </c>
      <c r="AM971">
        <f>IF(Table1[[#This Row],[Attrition]]="Yes",1,0)</f>
        <v>0</v>
      </c>
    </row>
    <row r="972" spans="1:39" ht="13.8" x14ac:dyDescent="0.25">
      <c r="A972">
        <v>27</v>
      </c>
      <c r="B972" t="str" cm="1">
        <f t="array" ref="B972">_xlfn.IFS(Table1[[#This Row],[Age]]&lt;30,"Under 30",Table1[[#This Row],[Age]]&lt;=40,"30-40",Table1[[#This Row],[Age]]&lt;=50,"41-50",Table1[[#This Row],[Age]]&gt;50,"Over 50")</f>
        <v>Under 30</v>
      </c>
      <c r="C972" t="s">
        <v>43</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t="str" cm="1">
        <f t="array" ref="AH972">_xlfn.IFS(Table1[[#This Row],[YearsAtCompany]]&lt;=2,"0-2 years",Table1[[#This Row],[YearsAtCompany]]&lt;=5,"3-5 years",Table1[[#This Row],[YearsAtCompany]]&lt;=10,"6-10 years",Table1[[#This Row],[YearsAtCompany]]&gt;10,"10+ years")</f>
        <v>0-2 years</v>
      </c>
      <c r="AI972">
        <v>0</v>
      </c>
      <c r="AJ972">
        <v>0</v>
      </c>
      <c r="AK972">
        <v>0</v>
      </c>
      <c r="AL972" t="str" cm="1">
        <f t="array" ref="AL972">_xlfn.IFS(Table1[[#This Row],[JobSatisfaction]]=1,"Low",Table1[[#This Row],[JobSatisfaction]]=2,"Medium",Table1[[#This Row],[JobSatisfaction]]=3,"High",Table1[[#This Row],[JobSatisfaction]]=4,"Very High")</f>
        <v>Very High</v>
      </c>
      <c r="AM972">
        <f>IF(Table1[[#This Row],[Attrition]]="Yes",1,0)</f>
        <v>0</v>
      </c>
    </row>
    <row r="973" spans="1:39" ht="13.8" x14ac:dyDescent="0.25">
      <c r="A973">
        <v>51</v>
      </c>
      <c r="B973" t="str" cm="1">
        <f t="array" ref="B973">_xlfn.IFS(Table1[[#This Row],[Age]]&lt;30,"Under 30",Table1[[#This Row],[Age]]&lt;=40,"30-40",Table1[[#This Row],[Age]]&lt;=50,"41-50",Table1[[#This Row],[Age]]&gt;50,"Over 50")</f>
        <v>Over 50</v>
      </c>
      <c r="C973" t="s">
        <v>43</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t="str" cm="1">
        <f t="array" ref="AH973">_xlfn.IFS(Table1[[#This Row],[YearsAtCompany]]&lt;=2,"0-2 years",Table1[[#This Row],[YearsAtCompany]]&lt;=5,"3-5 years",Table1[[#This Row],[YearsAtCompany]]&lt;=10,"6-10 years",Table1[[#This Row],[YearsAtCompany]]&gt;10,"10+ years")</f>
        <v>3-5 years</v>
      </c>
      <c r="AI973">
        <v>2</v>
      </c>
      <c r="AJ973">
        <v>0</v>
      </c>
      <c r="AK973">
        <v>3</v>
      </c>
      <c r="AL973" t="str" cm="1">
        <f t="array" ref="AL973">_xlfn.IFS(Table1[[#This Row],[JobSatisfaction]]=1,"Low",Table1[[#This Row],[JobSatisfaction]]=2,"Medium",Table1[[#This Row],[JobSatisfaction]]=3,"High",Table1[[#This Row],[JobSatisfaction]]=4,"Very High")</f>
        <v>Medium</v>
      </c>
      <c r="AM973">
        <f>IF(Table1[[#This Row],[Attrition]]="Yes",1,0)</f>
        <v>0</v>
      </c>
    </row>
    <row r="974" spans="1:39" ht="13.8" x14ac:dyDescent="0.25">
      <c r="A974">
        <v>18</v>
      </c>
      <c r="B974" t="str" cm="1">
        <f t="array" ref="B974">_xlfn.IFS(Table1[[#This Row],[Age]]&lt;30,"Under 30",Table1[[#This Row],[Age]]&lt;=40,"30-40",Table1[[#This Row],[Age]]&lt;=50,"41-50",Table1[[#This Row],[Age]]&gt;50,"Over 50")</f>
        <v>Under 30</v>
      </c>
      <c r="C974" t="s">
        <v>43</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t="str" cm="1">
        <f t="array" ref="AH974">_xlfn.IFS(Table1[[#This Row],[YearsAtCompany]]&lt;=2,"0-2 years",Table1[[#This Row],[YearsAtCompany]]&lt;=5,"3-5 years",Table1[[#This Row],[YearsAtCompany]]&lt;=10,"6-10 years",Table1[[#This Row],[YearsAtCompany]]&gt;10,"10+ years")</f>
        <v>0-2 years</v>
      </c>
      <c r="AI974">
        <v>0</v>
      </c>
      <c r="AJ974">
        <v>0</v>
      </c>
      <c r="AK974">
        <v>0</v>
      </c>
      <c r="AL974" t="str" cm="1">
        <f t="array" ref="AL974">_xlfn.IFS(Table1[[#This Row],[JobSatisfaction]]=1,"Low",Table1[[#This Row],[JobSatisfaction]]=2,"Medium",Table1[[#This Row],[JobSatisfaction]]=3,"High",Table1[[#This Row],[JobSatisfaction]]=4,"Very High")</f>
        <v>Very High</v>
      </c>
      <c r="AM974">
        <f>IF(Table1[[#This Row],[Attrition]]="Yes",1,0)</f>
        <v>0</v>
      </c>
    </row>
    <row r="975" spans="1:39" ht="13.8" x14ac:dyDescent="0.25">
      <c r="A975">
        <v>35</v>
      </c>
      <c r="B975" t="str" cm="1">
        <f t="array" ref="B975">_xlfn.IFS(Table1[[#This Row],[Age]]&lt;30,"Under 30",Table1[[#This Row],[Age]]&lt;=40,"30-40",Table1[[#This Row],[Age]]&lt;=50,"41-50",Table1[[#This Row],[Age]]&gt;50,"Over 50")</f>
        <v>30-40</v>
      </c>
      <c r="C975" t="s">
        <v>43</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t="str" cm="1">
        <f t="array" ref="AH975">_xlfn.IFS(Table1[[#This Row],[YearsAtCompany]]&lt;=2,"0-2 years",Table1[[#This Row],[YearsAtCompany]]&lt;=5,"3-5 years",Table1[[#This Row],[YearsAtCompany]]&lt;=10,"6-10 years",Table1[[#This Row],[YearsAtCompany]]&gt;10,"10+ years")</f>
        <v>6-10 years</v>
      </c>
      <c r="AI975">
        <v>7</v>
      </c>
      <c r="AJ975">
        <v>0</v>
      </c>
      <c r="AK975">
        <v>0</v>
      </c>
      <c r="AL975" t="str" cm="1">
        <f t="array" ref="AL975">_xlfn.IFS(Table1[[#This Row],[JobSatisfaction]]=1,"Low",Table1[[#This Row],[JobSatisfaction]]=2,"Medium",Table1[[#This Row],[JobSatisfaction]]=3,"High",Table1[[#This Row],[JobSatisfaction]]=4,"Very High")</f>
        <v>Very High</v>
      </c>
      <c r="AM975">
        <f>IF(Table1[[#This Row],[Attrition]]="Yes",1,0)</f>
        <v>0</v>
      </c>
    </row>
    <row r="976" spans="1:39" ht="13.8" x14ac:dyDescent="0.25">
      <c r="A976">
        <v>27</v>
      </c>
      <c r="B976" t="str" cm="1">
        <f t="array" ref="B976">_xlfn.IFS(Table1[[#This Row],[Age]]&lt;30,"Under 30",Table1[[#This Row],[Age]]&lt;=40,"30-40",Table1[[#This Row],[Age]]&lt;=50,"41-50",Table1[[#This Row],[Age]]&gt;50,"Over 50")</f>
        <v>Under 30</v>
      </c>
      <c r="C976" t="s">
        <v>43</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t="str" cm="1">
        <f t="array" ref="AH976">_xlfn.IFS(Table1[[#This Row],[YearsAtCompany]]&lt;=2,"0-2 years",Table1[[#This Row],[YearsAtCompany]]&lt;=5,"3-5 years",Table1[[#This Row],[YearsAtCompany]]&lt;=10,"6-10 years",Table1[[#This Row],[YearsAtCompany]]&gt;10,"10+ years")</f>
        <v>6-10 years</v>
      </c>
      <c r="AI976">
        <v>2</v>
      </c>
      <c r="AJ976">
        <v>0</v>
      </c>
      <c r="AK976">
        <v>0</v>
      </c>
      <c r="AL976" t="str" cm="1">
        <f t="array" ref="AL976">_xlfn.IFS(Table1[[#This Row],[JobSatisfaction]]=1,"Low",Table1[[#This Row],[JobSatisfaction]]=2,"Medium",Table1[[#This Row],[JobSatisfaction]]=3,"High",Table1[[#This Row],[JobSatisfaction]]=4,"Very High")</f>
        <v>Very High</v>
      </c>
      <c r="AM976">
        <f>IF(Table1[[#This Row],[Attrition]]="Yes",1,0)</f>
        <v>0</v>
      </c>
    </row>
    <row r="977" spans="1:39" ht="13.8" x14ac:dyDescent="0.25">
      <c r="A977">
        <v>55</v>
      </c>
      <c r="B977" t="str" cm="1">
        <f t="array" ref="B977">_xlfn.IFS(Table1[[#This Row],[Age]]&lt;30,"Under 30",Table1[[#This Row],[Age]]&lt;=40,"30-40",Table1[[#This Row],[Age]]&lt;=50,"41-50",Table1[[#This Row],[Age]]&gt;50,"Over 50")</f>
        <v>Over 50</v>
      </c>
      <c r="C977" t="s">
        <v>35</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t="str" cm="1">
        <f t="array" ref="AH977">_xlfn.IFS(Table1[[#This Row],[YearsAtCompany]]&lt;=2,"0-2 years",Table1[[#This Row],[YearsAtCompany]]&lt;=5,"3-5 years",Table1[[#This Row],[YearsAtCompany]]&lt;=10,"6-10 years",Table1[[#This Row],[YearsAtCompany]]&gt;10,"10+ years")</f>
        <v>10+ years</v>
      </c>
      <c r="AI977">
        <v>7</v>
      </c>
      <c r="AJ977">
        <v>3</v>
      </c>
      <c r="AK977">
        <v>8</v>
      </c>
      <c r="AL977" t="str" cm="1">
        <f t="array" ref="AL977">_xlfn.IFS(Table1[[#This Row],[JobSatisfaction]]=1,"Low",Table1[[#This Row],[JobSatisfaction]]=2,"Medium",Table1[[#This Row],[JobSatisfaction]]=3,"High",Table1[[#This Row],[JobSatisfaction]]=4,"Very High")</f>
        <v>High</v>
      </c>
      <c r="AM977">
        <f>IF(Table1[[#This Row],[Attrition]]="Yes",1,0)</f>
        <v>1</v>
      </c>
    </row>
    <row r="978" spans="1:39" ht="13.8" x14ac:dyDescent="0.25">
      <c r="A978">
        <v>56</v>
      </c>
      <c r="B978" t="str" cm="1">
        <f t="array" ref="B978">_xlfn.IFS(Table1[[#This Row],[Age]]&lt;30,"Under 30",Table1[[#This Row],[Age]]&lt;=40,"30-40",Table1[[#This Row],[Age]]&lt;=50,"41-50",Table1[[#This Row],[Age]]&gt;50,"Over 50")</f>
        <v>Over 50</v>
      </c>
      <c r="C978" t="s">
        <v>43</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t="str" cm="1">
        <f t="array" ref="AH978">_xlfn.IFS(Table1[[#This Row],[YearsAtCompany]]&lt;=2,"0-2 years",Table1[[#This Row],[YearsAtCompany]]&lt;=5,"3-5 years",Table1[[#This Row],[YearsAtCompany]]&lt;=10,"6-10 years",Table1[[#This Row],[YearsAtCompany]]&gt;10,"10+ years")</f>
        <v>10+ years</v>
      </c>
      <c r="AI978">
        <v>16</v>
      </c>
      <c r="AJ978">
        <v>15</v>
      </c>
      <c r="AK978">
        <v>9</v>
      </c>
      <c r="AL978" t="str" cm="1">
        <f t="array" ref="AL978">_xlfn.IFS(Table1[[#This Row],[JobSatisfaction]]=1,"Low",Table1[[#This Row],[JobSatisfaction]]=2,"Medium",Table1[[#This Row],[JobSatisfaction]]=3,"High",Table1[[#This Row],[JobSatisfaction]]=4,"Very High")</f>
        <v>Medium</v>
      </c>
      <c r="AM978">
        <f>IF(Table1[[#This Row],[Attrition]]="Yes",1,0)</f>
        <v>0</v>
      </c>
    </row>
    <row r="979" spans="1:39" ht="13.8" x14ac:dyDescent="0.25">
      <c r="A979">
        <v>34</v>
      </c>
      <c r="B979" t="str" cm="1">
        <f t="array" ref="B979">_xlfn.IFS(Table1[[#This Row],[Age]]&lt;30,"Under 30",Table1[[#This Row],[Age]]&lt;=40,"30-40",Table1[[#This Row],[Age]]&lt;=50,"41-50",Table1[[#This Row],[Age]]&gt;50,"Over 50")</f>
        <v>30-40</v>
      </c>
      <c r="C979" t="s">
        <v>43</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t="str" cm="1">
        <f t="array" ref="AH979">_xlfn.IFS(Table1[[#This Row],[YearsAtCompany]]&lt;=2,"0-2 years",Table1[[#This Row],[YearsAtCompany]]&lt;=5,"3-5 years",Table1[[#This Row],[YearsAtCompany]]&lt;=10,"6-10 years",Table1[[#This Row],[YearsAtCompany]]&gt;10,"10+ years")</f>
        <v>3-5 years</v>
      </c>
      <c r="AI979">
        <v>4</v>
      </c>
      <c r="AJ979">
        <v>0</v>
      </c>
      <c r="AK979">
        <v>0</v>
      </c>
      <c r="AL979" t="str" cm="1">
        <f t="array" ref="AL979">_xlfn.IFS(Table1[[#This Row],[JobSatisfaction]]=1,"Low",Table1[[#This Row],[JobSatisfaction]]=2,"Medium",Table1[[#This Row],[JobSatisfaction]]=3,"High",Table1[[#This Row],[JobSatisfaction]]=4,"Very High")</f>
        <v>High</v>
      </c>
      <c r="AM979">
        <f>IF(Table1[[#This Row],[Attrition]]="Yes",1,0)</f>
        <v>0</v>
      </c>
    </row>
    <row r="980" spans="1:39" ht="13.8" x14ac:dyDescent="0.25">
      <c r="A980">
        <v>40</v>
      </c>
      <c r="B980" t="str" cm="1">
        <f t="array" ref="B980">_xlfn.IFS(Table1[[#This Row],[Age]]&lt;30,"Under 30",Table1[[#This Row],[Age]]&lt;=40,"30-40",Table1[[#This Row],[Age]]&lt;=50,"41-50",Table1[[#This Row],[Age]]&gt;50,"Over 50")</f>
        <v>30-40</v>
      </c>
      <c r="C980" t="s">
        <v>43</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t="str" cm="1">
        <f t="array" ref="AH980">_xlfn.IFS(Table1[[#This Row],[YearsAtCompany]]&lt;=2,"0-2 years",Table1[[#This Row],[YearsAtCompany]]&lt;=5,"3-5 years",Table1[[#This Row],[YearsAtCompany]]&lt;=10,"6-10 years",Table1[[#This Row],[YearsAtCompany]]&gt;10,"10+ years")</f>
        <v>10+ years</v>
      </c>
      <c r="AI980">
        <v>11</v>
      </c>
      <c r="AJ980">
        <v>11</v>
      </c>
      <c r="AK980">
        <v>8</v>
      </c>
      <c r="AL980" t="str" cm="1">
        <f t="array" ref="AL980">_xlfn.IFS(Table1[[#This Row],[JobSatisfaction]]=1,"Low",Table1[[#This Row],[JobSatisfaction]]=2,"Medium",Table1[[#This Row],[JobSatisfaction]]=3,"High",Table1[[#This Row],[JobSatisfaction]]=4,"Very High")</f>
        <v>High</v>
      </c>
      <c r="AM980">
        <f>IF(Table1[[#This Row],[Attrition]]="Yes",1,0)</f>
        <v>0</v>
      </c>
    </row>
    <row r="981" spans="1:39" ht="13.8" x14ac:dyDescent="0.25">
      <c r="A981">
        <v>34</v>
      </c>
      <c r="B981" t="str" cm="1">
        <f t="array" ref="B981">_xlfn.IFS(Table1[[#This Row],[Age]]&lt;30,"Under 30",Table1[[#This Row],[Age]]&lt;=40,"30-40",Table1[[#This Row],[Age]]&lt;=50,"41-50",Table1[[#This Row],[Age]]&gt;50,"Over 50")</f>
        <v>30-40</v>
      </c>
      <c r="C981" t="s">
        <v>43</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t="str" cm="1">
        <f t="array" ref="AH981">_xlfn.IFS(Table1[[#This Row],[YearsAtCompany]]&lt;=2,"0-2 years",Table1[[#This Row],[YearsAtCompany]]&lt;=5,"3-5 years",Table1[[#This Row],[YearsAtCompany]]&lt;=10,"6-10 years",Table1[[#This Row],[YearsAtCompany]]&gt;10,"10+ years")</f>
        <v>6-10 years</v>
      </c>
      <c r="AI981">
        <v>7</v>
      </c>
      <c r="AJ981">
        <v>7</v>
      </c>
      <c r="AK981">
        <v>7</v>
      </c>
      <c r="AL981" t="str" cm="1">
        <f t="array" ref="AL981">_xlfn.IFS(Table1[[#This Row],[JobSatisfaction]]=1,"Low",Table1[[#This Row],[JobSatisfaction]]=2,"Medium",Table1[[#This Row],[JobSatisfaction]]=3,"High",Table1[[#This Row],[JobSatisfaction]]=4,"Very High")</f>
        <v>High</v>
      </c>
      <c r="AM981">
        <f>IF(Table1[[#This Row],[Attrition]]="Yes",1,0)</f>
        <v>0</v>
      </c>
    </row>
    <row r="982" spans="1:39" ht="13.8" x14ac:dyDescent="0.25">
      <c r="A982">
        <v>31</v>
      </c>
      <c r="B982" t="str" cm="1">
        <f t="array" ref="B982">_xlfn.IFS(Table1[[#This Row],[Age]]&lt;30,"Under 30",Table1[[#This Row],[Age]]&lt;=40,"30-40",Table1[[#This Row],[Age]]&lt;=50,"41-50",Table1[[#This Row],[Age]]&gt;50,"Over 50")</f>
        <v>30-40</v>
      </c>
      <c r="C982" t="s">
        <v>35</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t="str" cm="1">
        <f t="array" ref="AH982">_xlfn.IFS(Table1[[#This Row],[YearsAtCompany]]&lt;=2,"0-2 years",Table1[[#This Row],[YearsAtCompany]]&lt;=5,"3-5 years",Table1[[#This Row],[YearsAtCompany]]&lt;=10,"6-10 years",Table1[[#This Row],[YearsAtCompany]]&gt;10,"10+ years")</f>
        <v>0-2 years</v>
      </c>
      <c r="AI982">
        <v>0</v>
      </c>
      <c r="AJ982">
        <v>0</v>
      </c>
      <c r="AK982">
        <v>0</v>
      </c>
      <c r="AL982" t="str" cm="1">
        <f t="array" ref="AL982">_xlfn.IFS(Table1[[#This Row],[JobSatisfaction]]=1,"Low",Table1[[#This Row],[JobSatisfaction]]=2,"Medium",Table1[[#This Row],[JobSatisfaction]]=3,"High",Table1[[#This Row],[JobSatisfaction]]=4,"Very High")</f>
        <v>Very High</v>
      </c>
      <c r="AM982">
        <f>IF(Table1[[#This Row],[Attrition]]="Yes",1,0)</f>
        <v>1</v>
      </c>
    </row>
    <row r="983" spans="1:39" ht="13.8" x14ac:dyDescent="0.25">
      <c r="A983">
        <v>35</v>
      </c>
      <c r="B983" t="str" cm="1">
        <f t="array" ref="B983">_xlfn.IFS(Table1[[#This Row],[Age]]&lt;30,"Under 30",Table1[[#This Row],[Age]]&lt;=40,"30-40",Table1[[#This Row],[Age]]&lt;=50,"41-50",Table1[[#This Row],[Age]]&gt;50,"Over 50")</f>
        <v>30-40</v>
      </c>
      <c r="C983" t="s">
        <v>35</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t="str" cm="1">
        <f t="array" ref="AH983">_xlfn.IFS(Table1[[#This Row],[YearsAtCompany]]&lt;=2,"0-2 years",Table1[[#This Row],[YearsAtCompany]]&lt;=5,"3-5 years",Table1[[#This Row],[YearsAtCompany]]&lt;=10,"6-10 years",Table1[[#This Row],[YearsAtCompany]]&gt;10,"10+ years")</f>
        <v>3-5 years</v>
      </c>
      <c r="AI983">
        <v>2</v>
      </c>
      <c r="AJ983">
        <v>3</v>
      </c>
      <c r="AK983">
        <v>2</v>
      </c>
      <c r="AL983" t="str" cm="1">
        <f t="array" ref="AL983">_xlfn.IFS(Table1[[#This Row],[JobSatisfaction]]=1,"Low",Table1[[#This Row],[JobSatisfaction]]=2,"Medium",Table1[[#This Row],[JobSatisfaction]]=3,"High",Table1[[#This Row],[JobSatisfaction]]=4,"Very High")</f>
        <v>High</v>
      </c>
      <c r="AM983">
        <f>IF(Table1[[#This Row],[Attrition]]="Yes",1,0)</f>
        <v>1</v>
      </c>
    </row>
    <row r="984" spans="1:39" ht="13.8" x14ac:dyDescent="0.25">
      <c r="A984">
        <v>38</v>
      </c>
      <c r="B984" t="str" cm="1">
        <f t="array" ref="B984">_xlfn.IFS(Table1[[#This Row],[Age]]&lt;30,"Under 30",Table1[[#This Row],[Age]]&lt;=40,"30-40",Table1[[#This Row],[Age]]&lt;=50,"41-50",Table1[[#This Row],[Age]]&gt;50,"Over 50")</f>
        <v>30-40</v>
      </c>
      <c r="C984" t="s">
        <v>43</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t="str" cm="1">
        <f t="array" ref="AH984">_xlfn.IFS(Table1[[#This Row],[YearsAtCompany]]&lt;=2,"0-2 years",Table1[[#This Row],[YearsAtCompany]]&lt;=5,"3-5 years",Table1[[#This Row],[YearsAtCompany]]&lt;=10,"6-10 years",Table1[[#This Row],[YearsAtCompany]]&gt;10,"10+ years")</f>
        <v>3-5 years</v>
      </c>
      <c r="AI984">
        <v>2</v>
      </c>
      <c r="AJ984">
        <v>0</v>
      </c>
      <c r="AK984">
        <v>3</v>
      </c>
      <c r="AL984" t="str" cm="1">
        <f t="array" ref="AL984">_xlfn.IFS(Table1[[#This Row],[JobSatisfaction]]=1,"Low",Table1[[#This Row],[JobSatisfaction]]=2,"Medium",Table1[[#This Row],[JobSatisfaction]]=3,"High",Table1[[#This Row],[JobSatisfaction]]=4,"Very High")</f>
        <v>High</v>
      </c>
      <c r="AM984">
        <f>IF(Table1[[#This Row],[Attrition]]="Yes",1,0)</f>
        <v>0</v>
      </c>
    </row>
    <row r="985" spans="1:39" ht="13.8" x14ac:dyDescent="0.25">
      <c r="A985">
        <v>34</v>
      </c>
      <c r="B985" t="str" cm="1">
        <f t="array" ref="B985">_xlfn.IFS(Table1[[#This Row],[Age]]&lt;30,"Under 30",Table1[[#This Row],[Age]]&lt;=40,"30-40",Table1[[#This Row],[Age]]&lt;=50,"41-50",Table1[[#This Row],[Age]]&gt;50,"Over 50")</f>
        <v>30-40</v>
      </c>
      <c r="C985" t="s">
        <v>43</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t="str" cm="1">
        <f t="array" ref="AH985">_xlfn.IFS(Table1[[#This Row],[YearsAtCompany]]&lt;=2,"0-2 years",Table1[[#This Row],[YearsAtCompany]]&lt;=5,"3-5 years",Table1[[#This Row],[YearsAtCompany]]&lt;=10,"6-10 years",Table1[[#This Row],[YearsAtCompany]]&gt;10,"10+ years")</f>
        <v>10+ years</v>
      </c>
      <c r="AI985">
        <v>11</v>
      </c>
      <c r="AJ985">
        <v>4</v>
      </c>
      <c r="AK985">
        <v>11</v>
      </c>
      <c r="AL985" t="str" cm="1">
        <f t="array" ref="AL985">_xlfn.IFS(Table1[[#This Row],[JobSatisfaction]]=1,"Low",Table1[[#This Row],[JobSatisfaction]]=2,"Medium",Table1[[#This Row],[JobSatisfaction]]=3,"High",Table1[[#This Row],[JobSatisfaction]]=4,"Very High")</f>
        <v>Very High</v>
      </c>
      <c r="AM985">
        <f>IF(Table1[[#This Row],[Attrition]]="Yes",1,0)</f>
        <v>0</v>
      </c>
    </row>
    <row r="986" spans="1:39" ht="13.8" x14ac:dyDescent="0.25">
      <c r="A986">
        <v>28</v>
      </c>
      <c r="B986" t="str" cm="1">
        <f t="array" ref="B986">_xlfn.IFS(Table1[[#This Row],[Age]]&lt;30,"Under 30",Table1[[#This Row],[Age]]&lt;=40,"30-40",Table1[[#This Row],[Age]]&lt;=50,"41-50",Table1[[#This Row],[Age]]&gt;50,"Over 50")</f>
        <v>Under 30</v>
      </c>
      <c r="C986" t="s">
        <v>43</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t="str" cm="1">
        <f t="array" ref="AH986">_xlfn.IFS(Table1[[#This Row],[YearsAtCompany]]&lt;=2,"0-2 years",Table1[[#This Row],[YearsAtCompany]]&lt;=5,"3-5 years",Table1[[#This Row],[YearsAtCompany]]&lt;=10,"6-10 years",Table1[[#This Row],[YearsAtCompany]]&gt;10,"10+ years")</f>
        <v>3-5 years</v>
      </c>
      <c r="AI986">
        <v>3</v>
      </c>
      <c r="AJ986">
        <v>0</v>
      </c>
      <c r="AK986">
        <v>4</v>
      </c>
      <c r="AL986" t="str" cm="1">
        <f t="array" ref="AL986">_xlfn.IFS(Table1[[#This Row],[JobSatisfaction]]=1,"Low",Table1[[#This Row],[JobSatisfaction]]=2,"Medium",Table1[[#This Row],[JobSatisfaction]]=3,"High",Table1[[#This Row],[JobSatisfaction]]=4,"Very High")</f>
        <v>Low</v>
      </c>
      <c r="AM986">
        <f>IF(Table1[[#This Row],[Attrition]]="Yes",1,0)</f>
        <v>0</v>
      </c>
    </row>
    <row r="987" spans="1:39" ht="13.8" x14ac:dyDescent="0.25">
      <c r="A987">
        <v>31</v>
      </c>
      <c r="B987" t="str" cm="1">
        <f t="array" ref="B987">_xlfn.IFS(Table1[[#This Row],[Age]]&lt;30,"Under 30",Table1[[#This Row],[Age]]&lt;=40,"30-40",Table1[[#This Row],[Age]]&lt;=50,"41-50",Table1[[#This Row],[Age]]&gt;50,"Over 50")</f>
        <v>30-40</v>
      </c>
      <c r="C987" t="s">
        <v>35</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t="str" cm="1">
        <f t="array" ref="AH987">_xlfn.IFS(Table1[[#This Row],[YearsAtCompany]]&lt;=2,"0-2 years",Table1[[#This Row],[YearsAtCompany]]&lt;=5,"3-5 years",Table1[[#This Row],[YearsAtCompany]]&lt;=10,"6-10 years",Table1[[#This Row],[YearsAtCompany]]&gt;10,"10+ years")</f>
        <v>6-10 years</v>
      </c>
      <c r="AI987">
        <v>2</v>
      </c>
      <c r="AJ987">
        <v>6</v>
      </c>
      <c r="AK987">
        <v>7</v>
      </c>
      <c r="AL987" t="str" cm="1">
        <f t="array" ref="AL987">_xlfn.IFS(Table1[[#This Row],[JobSatisfaction]]=1,"Low",Table1[[#This Row],[JobSatisfaction]]=2,"Medium",Table1[[#This Row],[JobSatisfaction]]=3,"High",Table1[[#This Row],[JobSatisfaction]]=4,"Very High")</f>
        <v>High</v>
      </c>
      <c r="AM987">
        <f>IF(Table1[[#This Row],[Attrition]]="Yes",1,0)</f>
        <v>1</v>
      </c>
    </row>
    <row r="988" spans="1:39" ht="13.8" x14ac:dyDescent="0.25">
      <c r="A988">
        <v>39</v>
      </c>
      <c r="B988" t="str" cm="1">
        <f t="array" ref="B988">_xlfn.IFS(Table1[[#This Row],[Age]]&lt;30,"Under 30",Table1[[#This Row],[Age]]&lt;=40,"30-40",Table1[[#This Row],[Age]]&lt;=50,"41-50",Table1[[#This Row],[Age]]&gt;50,"Over 50")</f>
        <v>30-40</v>
      </c>
      <c r="C988" t="s">
        <v>43</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t="str" cm="1">
        <f t="array" ref="AH988">_xlfn.IFS(Table1[[#This Row],[YearsAtCompany]]&lt;=2,"0-2 years",Table1[[#This Row],[YearsAtCompany]]&lt;=5,"3-5 years",Table1[[#This Row],[YearsAtCompany]]&lt;=10,"6-10 years",Table1[[#This Row],[YearsAtCompany]]&gt;10,"10+ years")</f>
        <v>3-5 years</v>
      </c>
      <c r="AI988">
        <v>4</v>
      </c>
      <c r="AJ988">
        <v>1</v>
      </c>
      <c r="AK988">
        <v>4</v>
      </c>
      <c r="AL988" t="str" cm="1">
        <f t="array" ref="AL988">_xlfn.IFS(Table1[[#This Row],[JobSatisfaction]]=1,"Low",Table1[[#This Row],[JobSatisfaction]]=2,"Medium",Table1[[#This Row],[JobSatisfaction]]=3,"High",Table1[[#This Row],[JobSatisfaction]]=4,"Very High")</f>
        <v>Very High</v>
      </c>
      <c r="AM988">
        <f>IF(Table1[[#This Row],[Attrition]]="Yes",1,0)</f>
        <v>0</v>
      </c>
    </row>
    <row r="989" spans="1:39" ht="13.8" x14ac:dyDescent="0.25">
      <c r="A989">
        <v>51</v>
      </c>
      <c r="B989" t="str" cm="1">
        <f t="array" ref="B989">_xlfn.IFS(Table1[[#This Row],[Age]]&lt;30,"Under 30",Table1[[#This Row],[Age]]&lt;=40,"30-40",Table1[[#This Row],[Age]]&lt;=50,"41-50",Table1[[#This Row],[Age]]&gt;50,"Over 50")</f>
        <v>Over 50</v>
      </c>
      <c r="C989" t="s">
        <v>43</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t="str" cm="1">
        <f t="array" ref="AH989">_xlfn.IFS(Table1[[#This Row],[YearsAtCompany]]&lt;=2,"0-2 years",Table1[[#This Row],[YearsAtCompany]]&lt;=5,"3-5 years",Table1[[#This Row],[YearsAtCompany]]&lt;=10,"6-10 years",Table1[[#This Row],[YearsAtCompany]]&gt;10,"10+ years")</f>
        <v>3-5 years</v>
      </c>
      <c r="AI989">
        <v>2</v>
      </c>
      <c r="AJ989">
        <v>3</v>
      </c>
      <c r="AK989">
        <v>2</v>
      </c>
      <c r="AL989" t="str" cm="1">
        <f t="array" ref="AL989">_xlfn.IFS(Table1[[#This Row],[JobSatisfaction]]=1,"Low",Table1[[#This Row],[JobSatisfaction]]=2,"Medium",Table1[[#This Row],[JobSatisfaction]]=3,"High",Table1[[#This Row],[JobSatisfaction]]=4,"Very High")</f>
        <v>Medium</v>
      </c>
      <c r="AM989">
        <f>IF(Table1[[#This Row],[Attrition]]="Yes",1,0)</f>
        <v>0</v>
      </c>
    </row>
    <row r="990" spans="1:39" ht="13.8" x14ac:dyDescent="0.25">
      <c r="A990">
        <v>41</v>
      </c>
      <c r="B990" t="str" cm="1">
        <f t="array" ref="B990">_xlfn.IFS(Table1[[#This Row],[Age]]&lt;30,"Under 30",Table1[[#This Row],[Age]]&lt;=40,"30-40",Table1[[#This Row],[Age]]&lt;=50,"41-50",Table1[[#This Row],[Age]]&gt;50,"Over 50")</f>
        <v>41-50</v>
      </c>
      <c r="C990" t="s">
        <v>43</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t="str" cm="1">
        <f t="array" ref="AH990">_xlfn.IFS(Table1[[#This Row],[YearsAtCompany]]&lt;=2,"0-2 years",Table1[[#This Row],[YearsAtCompany]]&lt;=5,"3-5 years",Table1[[#This Row],[YearsAtCompany]]&lt;=10,"6-10 years",Table1[[#This Row],[YearsAtCompany]]&gt;10,"10+ years")</f>
        <v>6-10 years</v>
      </c>
      <c r="AI990">
        <v>2</v>
      </c>
      <c r="AJ990">
        <v>3</v>
      </c>
      <c r="AK990">
        <v>3</v>
      </c>
      <c r="AL990" t="str" cm="1">
        <f t="array" ref="AL990">_xlfn.IFS(Table1[[#This Row],[JobSatisfaction]]=1,"Low",Table1[[#This Row],[JobSatisfaction]]=2,"Medium",Table1[[#This Row],[JobSatisfaction]]=3,"High",Table1[[#This Row],[JobSatisfaction]]=4,"Very High")</f>
        <v>Very High</v>
      </c>
      <c r="AM990">
        <f>IF(Table1[[#This Row],[Attrition]]="Yes",1,0)</f>
        <v>0</v>
      </c>
    </row>
    <row r="991" spans="1:39" ht="13.8" x14ac:dyDescent="0.25">
      <c r="A991">
        <v>37</v>
      </c>
      <c r="B991" t="str" cm="1">
        <f t="array" ref="B991">_xlfn.IFS(Table1[[#This Row],[Age]]&lt;30,"Under 30",Table1[[#This Row],[Age]]&lt;=40,"30-40",Table1[[#This Row],[Age]]&lt;=50,"41-50",Table1[[#This Row],[Age]]&gt;50,"Over 50")</f>
        <v>30-40</v>
      </c>
      <c r="C991" t="s">
        <v>43</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t="str" cm="1">
        <f t="array" ref="AH991">_xlfn.IFS(Table1[[#This Row],[YearsAtCompany]]&lt;=2,"0-2 years",Table1[[#This Row],[YearsAtCompany]]&lt;=5,"3-5 years",Table1[[#This Row],[YearsAtCompany]]&lt;=10,"6-10 years",Table1[[#This Row],[YearsAtCompany]]&gt;10,"10+ years")</f>
        <v>6-10 years</v>
      </c>
      <c r="AI991">
        <v>4</v>
      </c>
      <c r="AJ991">
        <v>1</v>
      </c>
      <c r="AK991">
        <v>3</v>
      </c>
      <c r="AL991" t="str" cm="1">
        <f t="array" ref="AL991">_xlfn.IFS(Table1[[#This Row],[JobSatisfaction]]=1,"Low",Table1[[#This Row],[JobSatisfaction]]=2,"Medium",Table1[[#This Row],[JobSatisfaction]]=3,"High",Table1[[#This Row],[JobSatisfaction]]=4,"Very High")</f>
        <v>High</v>
      </c>
      <c r="AM991">
        <f>IF(Table1[[#This Row],[Attrition]]="Yes",1,0)</f>
        <v>0</v>
      </c>
    </row>
    <row r="992" spans="1:39" ht="13.8" x14ac:dyDescent="0.25">
      <c r="A992">
        <v>33</v>
      </c>
      <c r="B992" t="str" cm="1">
        <f t="array" ref="B992">_xlfn.IFS(Table1[[#This Row],[Age]]&lt;30,"Under 30",Table1[[#This Row],[Age]]&lt;=40,"30-40",Table1[[#This Row],[Age]]&lt;=50,"41-50",Table1[[#This Row],[Age]]&gt;50,"Over 50")</f>
        <v>30-40</v>
      </c>
      <c r="C992" t="s">
        <v>43</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t="str" cm="1">
        <f t="array" ref="AH992">_xlfn.IFS(Table1[[#This Row],[YearsAtCompany]]&lt;=2,"0-2 years",Table1[[#This Row],[YearsAtCompany]]&lt;=5,"3-5 years",Table1[[#This Row],[YearsAtCompany]]&lt;=10,"6-10 years",Table1[[#This Row],[YearsAtCompany]]&gt;10,"10+ years")</f>
        <v>3-5 years</v>
      </c>
      <c r="AI992">
        <v>4</v>
      </c>
      <c r="AJ992">
        <v>1</v>
      </c>
      <c r="AK992">
        <v>2</v>
      </c>
      <c r="AL992" t="str" cm="1">
        <f t="array" ref="AL992">_xlfn.IFS(Table1[[#This Row],[JobSatisfaction]]=1,"Low",Table1[[#This Row],[JobSatisfaction]]=2,"Medium",Table1[[#This Row],[JobSatisfaction]]=3,"High",Table1[[#This Row],[JobSatisfaction]]=4,"Very High")</f>
        <v>Very High</v>
      </c>
      <c r="AM992">
        <f>IF(Table1[[#This Row],[Attrition]]="Yes",1,0)</f>
        <v>0</v>
      </c>
    </row>
    <row r="993" spans="1:39" ht="13.8" x14ac:dyDescent="0.25">
      <c r="A993">
        <v>32</v>
      </c>
      <c r="B993" t="str" cm="1">
        <f t="array" ref="B993">_xlfn.IFS(Table1[[#This Row],[Age]]&lt;30,"Under 30",Table1[[#This Row],[Age]]&lt;=40,"30-40",Table1[[#This Row],[Age]]&lt;=50,"41-50",Table1[[#This Row],[Age]]&gt;50,"Over 50")</f>
        <v>30-40</v>
      </c>
      <c r="C993" t="s">
        <v>43</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t="str" cm="1">
        <f t="array" ref="AH993">_xlfn.IFS(Table1[[#This Row],[YearsAtCompany]]&lt;=2,"0-2 years",Table1[[#This Row],[YearsAtCompany]]&lt;=5,"3-5 years",Table1[[#This Row],[YearsAtCompany]]&lt;=10,"6-10 years",Table1[[#This Row],[YearsAtCompany]]&gt;10,"10+ years")</f>
        <v>3-5 years</v>
      </c>
      <c r="AI993">
        <v>2</v>
      </c>
      <c r="AJ993">
        <v>1</v>
      </c>
      <c r="AK993">
        <v>2</v>
      </c>
      <c r="AL993" t="str" cm="1">
        <f t="array" ref="AL993">_xlfn.IFS(Table1[[#This Row],[JobSatisfaction]]=1,"Low",Table1[[#This Row],[JobSatisfaction]]=2,"Medium",Table1[[#This Row],[JobSatisfaction]]=3,"High",Table1[[#This Row],[JobSatisfaction]]=4,"Very High")</f>
        <v>Medium</v>
      </c>
      <c r="AM993">
        <f>IF(Table1[[#This Row],[Attrition]]="Yes",1,0)</f>
        <v>0</v>
      </c>
    </row>
    <row r="994" spans="1:39" ht="13.8" x14ac:dyDescent="0.25">
      <c r="A994">
        <v>39</v>
      </c>
      <c r="B994" t="str" cm="1">
        <f t="array" ref="B994">_xlfn.IFS(Table1[[#This Row],[Age]]&lt;30,"Under 30",Table1[[#This Row],[Age]]&lt;=40,"30-40",Table1[[#This Row],[Age]]&lt;=50,"41-50",Table1[[#This Row],[Age]]&gt;50,"Over 50")</f>
        <v>30-40</v>
      </c>
      <c r="C994" t="s">
        <v>43</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t="str" cm="1">
        <f t="array" ref="AH994">_xlfn.IFS(Table1[[#This Row],[YearsAtCompany]]&lt;=2,"0-2 years",Table1[[#This Row],[YearsAtCompany]]&lt;=5,"3-5 years",Table1[[#This Row],[YearsAtCompany]]&lt;=10,"6-10 years",Table1[[#This Row],[YearsAtCompany]]&gt;10,"10+ years")</f>
        <v>6-10 years</v>
      </c>
      <c r="AI994">
        <v>4</v>
      </c>
      <c r="AJ994">
        <v>0</v>
      </c>
      <c r="AK994">
        <v>5</v>
      </c>
      <c r="AL994" t="str" cm="1">
        <f t="array" ref="AL994">_xlfn.IFS(Table1[[#This Row],[JobSatisfaction]]=1,"Low",Table1[[#This Row],[JobSatisfaction]]=2,"Medium",Table1[[#This Row],[JobSatisfaction]]=3,"High",Table1[[#This Row],[JobSatisfaction]]=4,"Very High")</f>
        <v>High</v>
      </c>
      <c r="AM994">
        <f>IF(Table1[[#This Row],[Attrition]]="Yes",1,0)</f>
        <v>0</v>
      </c>
    </row>
    <row r="995" spans="1:39" ht="13.8" x14ac:dyDescent="0.25">
      <c r="A995">
        <v>25</v>
      </c>
      <c r="B995" t="str" cm="1">
        <f t="array" ref="B995">_xlfn.IFS(Table1[[#This Row],[Age]]&lt;30,"Under 30",Table1[[#This Row],[Age]]&lt;=40,"30-40",Table1[[#This Row],[Age]]&lt;=50,"41-50",Table1[[#This Row],[Age]]&gt;50,"Over 50")</f>
        <v>Under 30</v>
      </c>
      <c r="C995" t="s">
        <v>43</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t="str" cm="1">
        <f t="array" ref="AH995">_xlfn.IFS(Table1[[#This Row],[YearsAtCompany]]&lt;=2,"0-2 years",Table1[[#This Row],[YearsAtCompany]]&lt;=5,"3-5 years",Table1[[#This Row],[YearsAtCompany]]&lt;=10,"6-10 years",Table1[[#This Row],[YearsAtCompany]]&gt;10,"10+ years")</f>
        <v>3-5 years</v>
      </c>
      <c r="AI995">
        <v>2</v>
      </c>
      <c r="AJ995">
        <v>1</v>
      </c>
      <c r="AK995">
        <v>2</v>
      </c>
      <c r="AL995" t="str" cm="1">
        <f t="array" ref="AL995">_xlfn.IFS(Table1[[#This Row],[JobSatisfaction]]=1,"Low",Table1[[#This Row],[JobSatisfaction]]=2,"Medium",Table1[[#This Row],[JobSatisfaction]]=3,"High",Table1[[#This Row],[JobSatisfaction]]=4,"Very High")</f>
        <v>High</v>
      </c>
      <c r="AM995">
        <f>IF(Table1[[#This Row],[Attrition]]="Yes",1,0)</f>
        <v>0</v>
      </c>
    </row>
    <row r="996" spans="1:39" ht="13.8" x14ac:dyDescent="0.25">
      <c r="A996">
        <v>52</v>
      </c>
      <c r="B996" t="str" cm="1">
        <f t="array" ref="B996">_xlfn.IFS(Table1[[#This Row],[Age]]&lt;30,"Under 30",Table1[[#This Row],[Age]]&lt;=40,"30-40",Table1[[#This Row],[Age]]&lt;=50,"41-50",Table1[[#This Row],[Age]]&gt;50,"Over 50")</f>
        <v>Over 50</v>
      </c>
      <c r="C996" t="s">
        <v>43</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t="str" cm="1">
        <f t="array" ref="AH996">_xlfn.IFS(Table1[[#This Row],[YearsAtCompany]]&lt;=2,"0-2 years",Table1[[#This Row],[YearsAtCompany]]&lt;=5,"3-5 years",Table1[[#This Row],[YearsAtCompany]]&lt;=10,"6-10 years",Table1[[#This Row],[YearsAtCompany]]&gt;10,"10+ years")</f>
        <v>3-5 years</v>
      </c>
      <c r="AI996">
        <v>3</v>
      </c>
      <c r="AJ996">
        <v>0</v>
      </c>
      <c r="AK996">
        <v>2</v>
      </c>
      <c r="AL996" t="str" cm="1">
        <f t="array" ref="AL996">_xlfn.IFS(Table1[[#This Row],[JobSatisfaction]]=1,"Low",Table1[[#This Row],[JobSatisfaction]]=2,"Medium",Table1[[#This Row],[JobSatisfaction]]=3,"High",Table1[[#This Row],[JobSatisfaction]]=4,"Very High")</f>
        <v>High</v>
      </c>
      <c r="AM996">
        <f>IF(Table1[[#This Row],[Attrition]]="Yes",1,0)</f>
        <v>0</v>
      </c>
    </row>
    <row r="997" spans="1:39" ht="13.8" x14ac:dyDescent="0.25">
      <c r="A997">
        <v>43</v>
      </c>
      <c r="B997" t="str" cm="1">
        <f t="array" ref="B997">_xlfn.IFS(Table1[[#This Row],[Age]]&lt;30,"Under 30",Table1[[#This Row],[Age]]&lt;=40,"30-40",Table1[[#This Row],[Age]]&lt;=50,"41-50",Table1[[#This Row],[Age]]&gt;50,"Over 50")</f>
        <v>41-50</v>
      </c>
      <c r="C997" t="s">
        <v>43</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t="str" cm="1">
        <f t="array" ref="AH997">_xlfn.IFS(Table1[[#This Row],[YearsAtCompany]]&lt;=2,"0-2 years",Table1[[#This Row],[YearsAtCompany]]&lt;=5,"3-5 years",Table1[[#This Row],[YearsAtCompany]]&lt;=10,"6-10 years",Table1[[#This Row],[YearsAtCompany]]&gt;10,"10+ years")</f>
        <v>10+ years</v>
      </c>
      <c r="AI997">
        <v>7</v>
      </c>
      <c r="AJ997">
        <v>1</v>
      </c>
      <c r="AK997">
        <v>8</v>
      </c>
      <c r="AL997" t="str" cm="1">
        <f t="array" ref="AL997">_xlfn.IFS(Table1[[#This Row],[JobSatisfaction]]=1,"Low",Table1[[#This Row],[JobSatisfaction]]=2,"Medium",Table1[[#This Row],[JobSatisfaction]]=3,"High",Table1[[#This Row],[JobSatisfaction]]=4,"Very High")</f>
        <v>High</v>
      </c>
      <c r="AM997">
        <f>IF(Table1[[#This Row],[Attrition]]="Yes",1,0)</f>
        <v>0</v>
      </c>
    </row>
    <row r="998" spans="1:39" ht="13.8" x14ac:dyDescent="0.25">
      <c r="A998">
        <v>27</v>
      </c>
      <c r="B998" t="str" cm="1">
        <f t="array" ref="B998">_xlfn.IFS(Table1[[#This Row],[Age]]&lt;30,"Under 30",Table1[[#This Row],[Age]]&lt;=40,"30-40",Table1[[#This Row],[Age]]&lt;=50,"41-50",Table1[[#This Row],[Age]]&gt;50,"Over 50")</f>
        <v>Under 30</v>
      </c>
      <c r="C998" t="s">
        <v>43</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t="str" cm="1">
        <f t="array" ref="AH998">_xlfn.IFS(Table1[[#This Row],[YearsAtCompany]]&lt;=2,"0-2 years",Table1[[#This Row],[YearsAtCompany]]&lt;=5,"3-5 years",Table1[[#This Row],[YearsAtCompany]]&lt;=10,"6-10 years",Table1[[#This Row],[YearsAtCompany]]&gt;10,"10+ years")</f>
        <v>6-10 years</v>
      </c>
      <c r="AI998">
        <v>2</v>
      </c>
      <c r="AJ998">
        <v>4</v>
      </c>
      <c r="AK998">
        <v>4</v>
      </c>
      <c r="AL998" t="str" cm="1">
        <f t="array" ref="AL998">_xlfn.IFS(Table1[[#This Row],[JobSatisfaction]]=1,"Low",Table1[[#This Row],[JobSatisfaction]]=2,"Medium",Table1[[#This Row],[JobSatisfaction]]=3,"High",Table1[[#This Row],[JobSatisfaction]]=4,"Very High")</f>
        <v>Very High</v>
      </c>
      <c r="AM998">
        <f>IF(Table1[[#This Row],[Attrition]]="Yes",1,0)</f>
        <v>0</v>
      </c>
    </row>
    <row r="999" spans="1:39" ht="13.8" x14ac:dyDescent="0.25">
      <c r="A999">
        <v>27</v>
      </c>
      <c r="B999" t="str" cm="1">
        <f t="array" ref="B999">_xlfn.IFS(Table1[[#This Row],[Age]]&lt;30,"Under 30",Table1[[#This Row],[Age]]&lt;=40,"30-40",Table1[[#This Row],[Age]]&lt;=50,"41-50",Table1[[#This Row],[Age]]&gt;50,"Over 50")</f>
        <v>Under 30</v>
      </c>
      <c r="C999" t="s">
        <v>35</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t="str" cm="1">
        <f t="array" ref="AH999">_xlfn.IFS(Table1[[#This Row],[YearsAtCompany]]&lt;=2,"0-2 years",Table1[[#This Row],[YearsAtCompany]]&lt;=5,"3-5 years",Table1[[#This Row],[YearsAtCompany]]&lt;=10,"6-10 years",Table1[[#This Row],[YearsAtCompany]]&gt;10,"10+ years")</f>
        <v>6-10 years</v>
      </c>
      <c r="AI999">
        <v>2</v>
      </c>
      <c r="AJ999">
        <v>7</v>
      </c>
      <c r="AK999">
        <v>7</v>
      </c>
      <c r="AL999" t="str" cm="1">
        <f t="array" ref="AL999">_xlfn.IFS(Table1[[#This Row],[JobSatisfaction]]=1,"Low",Table1[[#This Row],[JobSatisfaction]]=2,"Medium",Table1[[#This Row],[JobSatisfaction]]=3,"High",Table1[[#This Row],[JobSatisfaction]]=4,"Very High")</f>
        <v>High</v>
      </c>
      <c r="AM999">
        <f>IF(Table1[[#This Row],[Attrition]]="Yes",1,0)</f>
        <v>1</v>
      </c>
    </row>
    <row r="1000" spans="1:39" ht="13.8" x14ac:dyDescent="0.25">
      <c r="A1000">
        <v>26</v>
      </c>
      <c r="B1000" t="str" cm="1">
        <f t="array" ref="B1000">_xlfn.IFS(Table1[[#This Row],[Age]]&lt;30,"Under 30",Table1[[#This Row],[Age]]&lt;=40,"30-40",Table1[[#This Row],[Age]]&lt;=50,"41-50",Table1[[#This Row],[Age]]&gt;50,"Over 50")</f>
        <v>Under 30</v>
      </c>
      <c r="C1000" t="s">
        <v>43</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t="str" cm="1">
        <f t="array" ref="AH1000">_xlfn.IFS(Table1[[#This Row],[YearsAtCompany]]&lt;=2,"0-2 years",Table1[[#This Row],[YearsAtCompany]]&lt;=5,"3-5 years",Table1[[#This Row],[YearsAtCompany]]&lt;=10,"6-10 years",Table1[[#This Row],[YearsAtCompany]]&gt;10,"10+ years")</f>
        <v>3-5 years</v>
      </c>
      <c r="AI1000">
        <v>3</v>
      </c>
      <c r="AJ1000">
        <v>1</v>
      </c>
      <c r="AK1000">
        <v>1</v>
      </c>
      <c r="AL1000" t="str" cm="1">
        <f t="array" ref="AL1000">_xlfn.IFS(Table1[[#This Row],[JobSatisfaction]]=1,"Low",Table1[[#This Row],[JobSatisfaction]]=2,"Medium",Table1[[#This Row],[JobSatisfaction]]=3,"High",Table1[[#This Row],[JobSatisfaction]]=4,"Very High")</f>
        <v>Very High</v>
      </c>
      <c r="AM1000">
        <f>IF(Table1[[#This Row],[Attrition]]="Yes",1,0)</f>
        <v>0</v>
      </c>
    </row>
    <row r="1001" spans="1:39" ht="13.8" x14ac:dyDescent="0.25">
      <c r="A1001">
        <v>42</v>
      </c>
      <c r="B1001" t="str" cm="1">
        <f t="array" ref="B1001">_xlfn.IFS(Table1[[#This Row],[Age]]&lt;30,"Under 30",Table1[[#This Row],[Age]]&lt;=40,"30-40",Table1[[#This Row],[Age]]&lt;=50,"41-50",Table1[[#This Row],[Age]]&gt;50,"Over 50")</f>
        <v>41-50</v>
      </c>
      <c r="C1001" t="s">
        <v>43</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t="str" cm="1">
        <f t="array" ref="AH1001">_xlfn.IFS(Table1[[#This Row],[YearsAtCompany]]&lt;=2,"0-2 years",Table1[[#This Row],[YearsAtCompany]]&lt;=5,"3-5 years",Table1[[#This Row],[YearsAtCompany]]&lt;=10,"6-10 years",Table1[[#This Row],[YearsAtCompany]]&gt;10,"10+ years")</f>
        <v>10+ years</v>
      </c>
      <c r="AI1001">
        <v>7</v>
      </c>
      <c r="AJ1001">
        <v>0</v>
      </c>
      <c r="AK1001">
        <v>9</v>
      </c>
      <c r="AL1001" t="str" cm="1">
        <f t="array" ref="AL1001">_xlfn.IFS(Table1[[#This Row],[JobSatisfaction]]=1,"Low",Table1[[#This Row],[JobSatisfaction]]=2,"Medium",Table1[[#This Row],[JobSatisfaction]]=3,"High",Table1[[#This Row],[JobSatisfaction]]=4,"Very High")</f>
        <v>Low</v>
      </c>
      <c r="AM1001">
        <f>IF(Table1[[#This Row],[Attrition]]="Yes",1,0)</f>
        <v>0</v>
      </c>
    </row>
    <row r="1002" spans="1:39" ht="13.8" x14ac:dyDescent="0.25">
      <c r="A1002">
        <v>52</v>
      </c>
      <c r="B1002" t="str" cm="1">
        <f t="array" ref="B1002">_xlfn.IFS(Table1[[#This Row],[Age]]&lt;30,"Under 30",Table1[[#This Row],[Age]]&lt;=40,"30-40",Table1[[#This Row],[Age]]&lt;=50,"41-50",Table1[[#This Row],[Age]]&gt;50,"Over 50")</f>
        <v>Over 50</v>
      </c>
      <c r="C1002" t="s">
        <v>43</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t="str" cm="1">
        <f t="array" ref="AH1002">_xlfn.IFS(Table1[[#This Row],[YearsAtCompany]]&lt;=2,"0-2 years",Table1[[#This Row],[YearsAtCompany]]&lt;=5,"3-5 years",Table1[[#This Row],[YearsAtCompany]]&lt;=10,"6-10 years",Table1[[#This Row],[YearsAtCompany]]&gt;10,"10+ years")</f>
        <v>3-5 years</v>
      </c>
      <c r="AI1002">
        <v>4</v>
      </c>
      <c r="AJ1002">
        <v>0</v>
      </c>
      <c r="AK1002">
        <v>4</v>
      </c>
      <c r="AL1002" t="str" cm="1">
        <f t="array" ref="AL1002">_xlfn.IFS(Table1[[#This Row],[JobSatisfaction]]=1,"Low",Table1[[#This Row],[JobSatisfaction]]=2,"Medium",Table1[[#This Row],[JobSatisfaction]]=3,"High",Table1[[#This Row],[JobSatisfaction]]=4,"Very High")</f>
        <v>Low</v>
      </c>
      <c r="AM1002">
        <f>IF(Table1[[#This Row],[Attrition]]="Yes",1,0)</f>
        <v>0</v>
      </c>
    </row>
    <row r="1003" spans="1:39" ht="13.8" x14ac:dyDescent="0.25">
      <c r="A1003">
        <v>37</v>
      </c>
      <c r="B1003" t="str" cm="1">
        <f t="array" ref="B1003">_xlfn.IFS(Table1[[#This Row],[Age]]&lt;30,"Under 30",Table1[[#This Row],[Age]]&lt;=40,"30-40",Table1[[#This Row],[Age]]&lt;=50,"41-50",Table1[[#This Row],[Age]]&gt;50,"Over 50")</f>
        <v>30-40</v>
      </c>
      <c r="C1003" t="s">
        <v>43</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t="str" cm="1">
        <f t="array" ref="AH1003">_xlfn.IFS(Table1[[#This Row],[YearsAtCompany]]&lt;=2,"0-2 years",Table1[[#This Row],[YearsAtCompany]]&lt;=5,"3-5 years",Table1[[#This Row],[YearsAtCompany]]&lt;=10,"6-10 years",Table1[[#This Row],[YearsAtCompany]]&gt;10,"10+ years")</f>
        <v>3-5 years</v>
      </c>
      <c r="AI1003">
        <v>2</v>
      </c>
      <c r="AJ1003">
        <v>0</v>
      </c>
      <c r="AK1003">
        <v>2</v>
      </c>
      <c r="AL1003" t="str" cm="1">
        <f t="array" ref="AL1003">_xlfn.IFS(Table1[[#This Row],[JobSatisfaction]]=1,"Low",Table1[[#This Row],[JobSatisfaction]]=2,"Medium",Table1[[#This Row],[JobSatisfaction]]=3,"High",Table1[[#This Row],[JobSatisfaction]]=4,"Very High")</f>
        <v>High</v>
      </c>
      <c r="AM1003">
        <f>IF(Table1[[#This Row],[Attrition]]="Yes",1,0)</f>
        <v>0</v>
      </c>
    </row>
    <row r="1004" spans="1:39" ht="13.8" x14ac:dyDescent="0.25">
      <c r="A1004">
        <v>35</v>
      </c>
      <c r="B1004" t="str" cm="1">
        <f t="array" ref="B1004">_xlfn.IFS(Table1[[#This Row],[Age]]&lt;30,"Under 30",Table1[[#This Row],[Age]]&lt;=40,"30-40",Table1[[#This Row],[Age]]&lt;=50,"41-50",Table1[[#This Row],[Age]]&gt;50,"Over 50")</f>
        <v>30-40</v>
      </c>
      <c r="C1004" t="s">
        <v>43</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t="str" cm="1">
        <f t="array" ref="AH1004">_xlfn.IFS(Table1[[#This Row],[YearsAtCompany]]&lt;=2,"0-2 years",Table1[[#This Row],[YearsAtCompany]]&lt;=5,"3-5 years",Table1[[#This Row],[YearsAtCompany]]&lt;=10,"6-10 years",Table1[[#This Row],[YearsAtCompany]]&gt;10,"10+ years")</f>
        <v>0-2 years</v>
      </c>
      <c r="AI1004">
        <v>2</v>
      </c>
      <c r="AJ1004">
        <v>2</v>
      </c>
      <c r="AK1004">
        <v>2</v>
      </c>
      <c r="AL1004" t="str" cm="1">
        <f t="array" ref="AL1004">_xlfn.IFS(Table1[[#This Row],[JobSatisfaction]]=1,"Low",Table1[[#This Row],[JobSatisfaction]]=2,"Medium",Table1[[#This Row],[JobSatisfaction]]=3,"High",Table1[[#This Row],[JobSatisfaction]]=4,"Very High")</f>
        <v>Very High</v>
      </c>
      <c r="AM1004">
        <f>IF(Table1[[#This Row],[Attrition]]="Yes",1,0)</f>
        <v>0</v>
      </c>
    </row>
    <row r="1005" spans="1:39" ht="13.8" x14ac:dyDescent="0.25">
      <c r="A1005">
        <v>25</v>
      </c>
      <c r="B1005" t="str" cm="1">
        <f t="array" ref="B1005">_xlfn.IFS(Table1[[#This Row],[Age]]&lt;30,"Under 30",Table1[[#This Row],[Age]]&lt;=40,"30-40",Table1[[#This Row],[Age]]&lt;=50,"41-50",Table1[[#This Row],[Age]]&gt;50,"Over 50")</f>
        <v>Under 30</v>
      </c>
      <c r="C1005" t="s">
        <v>43</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t="str" cm="1">
        <f t="array" ref="AH1005">_xlfn.IFS(Table1[[#This Row],[YearsAtCompany]]&lt;=2,"0-2 years",Table1[[#This Row],[YearsAtCompany]]&lt;=5,"3-5 years",Table1[[#This Row],[YearsAtCompany]]&lt;=10,"6-10 years",Table1[[#This Row],[YearsAtCompany]]&gt;10,"10+ years")</f>
        <v>3-5 years</v>
      </c>
      <c r="AI1005">
        <v>2</v>
      </c>
      <c r="AJ1005">
        <v>0</v>
      </c>
      <c r="AK1005">
        <v>2</v>
      </c>
      <c r="AL1005" t="str" cm="1">
        <f t="array" ref="AL1005">_xlfn.IFS(Table1[[#This Row],[JobSatisfaction]]=1,"Low",Table1[[#This Row],[JobSatisfaction]]=2,"Medium",Table1[[#This Row],[JobSatisfaction]]=3,"High",Table1[[#This Row],[JobSatisfaction]]=4,"Very High")</f>
        <v>Very High</v>
      </c>
      <c r="AM1005">
        <f>IF(Table1[[#This Row],[Attrition]]="Yes",1,0)</f>
        <v>0</v>
      </c>
    </row>
    <row r="1006" spans="1:39" ht="13.8" x14ac:dyDescent="0.25">
      <c r="A1006">
        <v>26</v>
      </c>
      <c r="B1006" t="str" cm="1">
        <f t="array" ref="B1006">_xlfn.IFS(Table1[[#This Row],[Age]]&lt;30,"Under 30",Table1[[#This Row],[Age]]&lt;=40,"30-40",Table1[[#This Row],[Age]]&lt;=50,"41-50",Table1[[#This Row],[Age]]&gt;50,"Over 50")</f>
        <v>Under 30</v>
      </c>
      <c r="C1006" t="s">
        <v>43</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t="str" cm="1">
        <f t="array" ref="AH1006">_xlfn.IFS(Table1[[#This Row],[YearsAtCompany]]&lt;=2,"0-2 years",Table1[[#This Row],[YearsAtCompany]]&lt;=5,"3-5 years",Table1[[#This Row],[YearsAtCompany]]&lt;=10,"6-10 years",Table1[[#This Row],[YearsAtCompany]]&gt;10,"10+ years")</f>
        <v>6-10 years</v>
      </c>
      <c r="AI1006">
        <v>7</v>
      </c>
      <c r="AJ1006">
        <v>0</v>
      </c>
      <c r="AK1006">
        <v>7</v>
      </c>
      <c r="AL1006" t="str" cm="1">
        <f t="array" ref="AL1006">_xlfn.IFS(Table1[[#This Row],[JobSatisfaction]]=1,"Low",Table1[[#This Row],[JobSatisfaction]]=2,"Medium",Table1[[#This Row],[JobSatisfaction]]=3,"High",Table1[[#This Row],[JobSatisfaction]]=4,"Very High")</f>
        <v>Low</v>
      </c>
      <c r="AM1006">
        <f>IF(Table1[[#This Row],[Attrition]]="Yes",1,0)</f>
        <v>0</v>
      </c>
    </row>
    <row r="1007" spans="1:39" ht="13.8" x14ac:dyDescent="0.25">
      <c r="A1007">
        <v>29</v>
      </c>
      <c r="B1007" t="str" cm="1">
        <f t="array" ref="B1007">_xlfn.IFS(Table1[[#This Row],[Age]]&lt;30,"Under 30",Table1[[#This Row],[Age]]&lt;=40,"30-40",Table1[[#This Row],[Age]]&lt;=50,"41-50",Table1[[#This Row],[Age]]&gt;50,"Over 50")</f>
        <v>Under 30</v>
      </c>
      <c r="C1007" t="s">
        <v>43</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t="str" cm="1">
        <f t="array" ref="AH1007">_xlfn.IFS(Table1[[#This Row],[YearsAtCompany]]&lt;=2,"0-2 years",Table1[[#This Row],[YearsAtCompany]]&lt;=5,"3-5 years",Table1[[#This Row],[YearsAtCompany]]&lt;=10,"6-10 years",Table1[[#This Row],[YearsAtCompany]]&gt;10,"10+ years")</f>
        <v>6-10 years</v>
      </c>
      <c r="AI1007">
        <v>9</v>
      </c>
      <c r="AJ1007">
        <v>0</v>
      </c>
      <c r="AK1007">
        <v>9</v>
      </c>
      <c r="AL1007" t="str" cm="1">
        <f t="array" ref="AL1007">_xlfn.IFS(Table1[[#This Row],[JobSatisfaction]]=1,"Low",Table1[[#This Row],[JobSatisfaction]]=2,"Medium",Table1[[#This Row],[JobSatisfaction]]=3,"High",Table1[[#This Row],[JobSatisfaction]]=4,"Very High")</f>
        <v>Low</v>
      </c>
      <c r="AM1007">
        <f>IF(Table1[[#This Row],[Attrition]]="Yes",1,0)</f>
        <v>0</v>
      </c>
    </row>
    <row r="1008" spans="1:39" ht="13.8" x14ac:dyDescent="0.25">
      <c r="A1008">
        <v>49</v>
      </c>
      <c r="B1008" t="str" cm="1">
        <f t="array" ref="B1008">_xlfn.IFS(Table1[[#This Row],[Age]]&lt;30,"Under 30",Table1[[#This Row],[Age]]&lt;=40,"30-40",Table1[[#This Row],[Age]]&lt;=50,"41-50",Table1[[#This Row],[Age]]&gt;50,"Over 50")</f>
        <v>41-50</v>
      </c>
      <c r="C1008" t="s">
        <v>35</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t="str" cm="1">
        <f t="array" ref="AH1008">_xlfn.IFS(Table1[[#This Row],[YearsAtCompany]]&lt;=2,"0-2 years",Table1[[#This Row],[YearsAtCompany]]&lt;=5,"3-5 years",Table1[[#This Row],[YearsAtCompany]]&lt;=10,"6-10 years",Table1[[#This Row],[YearsAtCompany]]&gt;10,"10+ years")</f>
        <v>3-5 years</v>
      </c>
      <c r="AI1008">
        <v>3</v>
      </c>
      <c r="AJ1008">
        <v>1</v>
      </c>
      <c r="AK1008">
        <v>3</v>
      </c>
      <c r="AL1008" t="str" cm="1">
        <f t="array" ref="AL1008">_xlfn.IFS(Table1[[#This Row],[JobSatisfaction]]=1,"Low",Table1[[#This Row],[JobSatisfaction]]=2,"Medium",Table1[[#This Row],[JobSatisfaction]]=3,"High",Table1[[#This Row],[JobSatisfaction]]=4,"Very High")</f>
        <v>Low</v>
      </c>
      <c r="AM1008">
        <f>IF(Table1[[#This Row],[Attrition]]="Yes",1,0)</f>
        <v>1</v>
      </c>
    </row>
    <row r="1009" spans="1:39" ht="13.8" x14ac:dyDescent="0.25">
      <c r="A1009">
        <v>29</v>
      </c>
      <c r="B1009" t="str" cm="1">
        <f t="array" ref="B1009">_xlfn.IFS(Table1[[#This Row],[Age]]&lt;30,"Under 30",Table1[[#This Row],[Age]]&lt;=40,"30-40",Table1[[#This Row],[Age]]&lt;=50,"41-50",Table1[[#This Row],[Age]]&gt;50,"Over 50")</f>
        <v>Under 30</v>
      </c>
      <c r="C1009" t="s">
        <v>35</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t="str" cm="1">
        <f t="array" ref="AH1009">_xlfn.IFS(Table1[[#This Row],[YearsAtCompany]]&lt;=2,"0-2 years",Table1[[#This Row],[YearsAtCompany]]&lt;=5,"3-5 years",Table1[[#This Row],[YearsAtCompany]]&lt;=10,"6-10 years",Table1[[#This Row],[YearsAtCompany]]&gt;10,"10+ years")</f>
        <v>6-10 years</v>
      </c>
      <c r="AI1009">
        <v>7</v>
      </c>
      <c r="AJ1009">
        <v>7</v>
      </c>
      <c r="AK1009">
        <v>7</v>
      </c>
      <c r="AL1009" t="str" cm="1">
        <f t="array" ref="AL1009">_xlfn.IFS(Table1[[#This Row],[JobSatisfaction]]=1,"Low",Table1[[#This Row],[JobSatisfaction]]=2,"Medium",Table1[[#This Row],[JobSatisfaction]]=3,"High",Table1[[#This Row],[JobSatisfaction]]=4,"Very High")</f>
        <v>Very High</v>
      </c>
      <c r="AM1009">
        <f>IF(Table1[[#This Row],[Attrition]]="Yes",1,0)</f>
        <v>1</v>
      </c>
    </row>
    <row r="1010" spans="1:39" ht="13.8" x14ac:dyDescent="0.25">
      <c r="A1010">
        <v>54</v>
      </c>
      <c r="B1010" t="str" cm="1">
        <f t="array" ref="B1010">_xlfn.IFS(Table1[[#This Row],[Age]]&lt;30,"Under 30",Table1[[#This Row],[Age]]&lt;=40,"30-40",Table1[[#This Row],[Age]]&lt;=50,"41-50",Table1[[#This Row],[Age]]&gt;50,"Over 50")</f>
        <v>Over 50</v>
      </c>
      <c r="C1010" t="s">
        <v>43</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t="str" cm="1">
        <f t="array" ref="AH1010">_xlfn.IFS(Table1[[#This Row],[YearsAtCompany]]&lt;=2,"0-2 years",Table1[[#This Row],[YearsAtCompany]]&lt;=5,"3-5 years",Table1[[#This Row],[YearsAtCompany]]&lt;=10,"6-10 years",Table1[[#This Row],[YearsAtCompany]]&gt;10,"10+ years")</f>
        <v>10+ years</v>
      </c>
      <c r="AI1010">
        <v>7</v>
      </c>
      <c r="AJ1010">
        <v>12</v>
      </c>
      <c r="AK1010">
        <v>7</v>
      </c>
      <c r="AL1010" t="str" cm="1">
        <f t="array" ref="AL1010">_xlfn.IFS(Table1[[#This Row],[JobSatisfaction]]=1,"Low",Table1[[#This Row],[JobSatisfaction]]=2,"Medium",Table1[[#This Row],[JobSatisfaction]]=3,"High",Table1[[#This Row],[JobSatisfaction]]=4,"Very High")</f>
        <v>Very High</v>
      </c>
      <c r="AM1010">
        <f>IF(Table1[[#This Row],[Attrition]]="Yes",1,0)</f>
        <v>0</v>
      </c>
    </row>
    <row r="1011" spans="1:39" ht="13.8" x14ac:dyDescent="0.25">
      <c r="A1011">
        <v>58</v>
      </c>
      <c r="B1011" t="str" cm="1">
        <f t="array" ref="B1011">_xlfn.IFS(Table1[[#This Row],[Age]]&lt;30,"Under 30",Table1[[#This Row],[Age]]&lt;=40,"30-40",Table1[[#This Row],[Age]]&lt;=50,"41-50",Table1[[#This Row],[Age]]&gt;50,"Over 50")</f>
        <v>Over 50</v>
      </c>
      <c r="C1011" t="s">
        <v>43</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t="str" cm="1">
        <f t="array" ref="AH1011">_xlfn.IFS(Table1[[#This Row],[YearsAtCompany]]&lt;=2,"0-2 years",Table1[[#This Row],[YearsAtCompany]]&lt;=5,"3-5 years",Table1[[#This Row],[YearsAtCompany]]&lt;=10,"6-10 years",Table1[[#This Row],[YearsAtCompany]]&gt;10,"10+ years")</f>
        <v>6-10 years</v>
      </c>
      <c r="AI1011">
        <v>8</v>
      </c>
      <c r="AJ1011">
        <v>1</v>
      </c>
      <c r="AK1011">
        <v>5</v>
      </c>
      <c r="AL1011" t="str" cm="1">
        <f t="array" ref="AL1011">_xlfn.IFS(Table1[[#This Row],[JobSatisfaction]]=1,"Low",Table1[[#This Row],[JobSatisfaction]]=2,"Medium",Table1[[#This Row],[JobSatisfaction]]=3,"High",Table1[[#This Row],[JobSatisfaction]]=4,"Very High")</f>
        <v>Low</v>
      </c>
      <c r="AM1011">
        <f>IF(Table1[[#This Row],[Attrition]]="Yes",1,0)</f>
        <v>0</v>
      </c>
    </row>
    <row r="1012" spans="1:39" ht="13.8" x14ac:dyDescent="0.25">
      <c r="A1012">
        <v>55</v>
      </c>
      <c r="B1012" t="str" cm="1">
        <f t="array" ref="B1012">_xlfn.IFS(Table1[[#This Row],[Age]]&lt;30,"Under 30",Table1[[#This Row],[Age]]&lt;=40,"30-40",Table1[[#This Row],[Age]]&lt;=50,"41-50",Table1[[#This Row],[Age]]&gt;50,"Over 50")</f>
        <v>Over 50</v>
      </c>
      <c r="C1012" t="s">
        <v>43</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t="str" cm="1">
        <f t="array" ref="AH1012">_xlfn.IFS(Table1[[#This Row],[YearsAtCompany]]&lt;=2,"0-2 years",Table1[[#This Row],[YearsAtCompany]]&lt;=5,"3-5 years",Table1[[#This Row],[YearsAtCompany]]&lt;=10,"6-10 years",Table1[[#This Row],[YearsAtCompany]]&gt;10,"10+ years")</f>
        <v>6-10 years</v>
      </c>
      <c r="AI1012">
        <v>7</v>
      </c>
      <c r="AJ1012">
        <v>0</v>
      </c>
      <c r="AK1012">
        <v>0</v>
      </c>
      <c r="AL1012" t="str" cm="1">
        <f t="array" ref="AL1012">_xlfn.IFS(Table1[[#This Row],[JobSatisfaction]]=1,"Low",Table1[[#This Row],[JobSatisfaction]]=2,"Medium",Table1[[#This Row],[JobSatisfaction]]=3,"High",Table1[[#This Row],[JobSatisfaction]]=4,"Very High")</f>
        <v>Very High</v>
      </c>
      <c r="AM1012">
        <f>IF(Table1[[#This Row],[Attrition]]="Yes",1,0)</f>
        <v>0</v>
      </c>
    </row>
    <row r="1013" spans="1:39" ht="13.8" x14ac:dyDescent="0.25">
      <c r="A1013">
        <v>36</v>
      </c>
      <c r="B1013" t="str" cm="1">
        <f t="array" ref="B1013">_xlfn.IFS(Table1[[#This Row],[Age]]&lt;30,"Under 30",Table1[[#This Row],[Age]]&lt;=40,"30-40",Table1[[#This Row],[Age]]&lt;=50,"41-50",Table1[[#This Row],[Age]]&gt;50,"Over 50")</f>
        <v>30-40</v>
      </c>
      <c r="C1013" t="s">
        <v>43</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t="str" cm="1">
        <f t="array" ref="AH1013">_xlfn.IFS(Table1[[#This Row],[YearsAtCompany]]&lt;=2,"0-2 years",Table1[[#This Row],[YearsAtCompany]]&lt;=5,"3-5 years",Table1[[#This Row],[YearsAtCompany]]&lt;=10,"6-10 years",Table1[[#This Row],[YearsAtCompany]]&gt;10,"10+ years")</f>
        <v>3-5 years</v>
      </c>
      <c r="AI1013">
        <v>4</v>
      </c>
      <c r="AJ1013">
        <v>0</v>
      </c>
      <c r="AK1013">
        <v>1</v>
      </c>
      <c r="AL1013" t="str" cm="1">
        <f t="array" ref="AL1013">_xlfn.IFS(Table1[[#This Row],[JobSatisfaction]]=1,"Low",Table1[[#This Row],[JobSatisfaction]]=2,"Medium",Table1[[#This Row],[JobSatisfaction]]=3,"High",Table1[[#This Row],[JobSatisfaction]]=4,"Very High")</f>
        <v>Medium</v>
      </c>
      <c r="AM1013">
        <f>IF(Table1[[#This Row],[Attrition]]="Yes",1,0)</f>
        <v>0</v>
      </c>
    </row>
    <row r="1014" spans="1:39" ht="13.8" x14ac:dyDescent="0.25">
      <c r="A1014">
        <v>31</v>
      </c>
      <c r="B1014" t="str" cm="1">
        <f t="array" ref="B1014">_xlfn.IFS(Table1[[#This Row],[Age]]&lt;30,"Under 30",Table1[[#This Row],[Age]]&lt;=40,"30-40",Table1[[#This Row],[Age]]&lt;=50,"41-50",Table1[[#This Row],[Age]]&gt;50,"Over 50")</f>
        <v>30-40</v>
      </c>
      <c r="C1014" t="s">
        <v>35</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t="str" cm="1">
        <f t="array" ref="AH1014">_xlfn.IFS(Table1[[#This Row],[YearsAtCompany]]&lt;=2,"0-2 years",Table1[[#This Row],[YearsAtCompany]]&lt;=5,"3-5 years",Table1[[#This Row],[YearsAtCompany]]&lt;=10,"6-10 years",Table1[[#This Row],[YearsAtCompany]]&gt;10,"10+ years")</f>
        <v>0-2 years</v>
      </c>
      <c r="AI1014">
        <v>0</v>
      </c>
      <c r="AJ1014">
        <v>0</v>
      </c>
      <c r="AK1014">
        <v>0</v>
      </c>
      <c r="AL1014" t="str" cm="1">
        <f t="array" ref="AL1014">_xlfn.IFS(Table1[[#This Row],[JobSatisfaction]]=1,"Low",Table1[[#This Row],[JobSatisfaction]]=2,"Medium",Table1[[#This Row],[JobSatisfaction]]=3,"High",Table1[[#This Row],[JobSatisfaction]]=4,"Very High")</f>
        <v>High</v>
      </c>
      <c r="AM1014">
        <f>IF(Table1[[#This Row],[Attrition]]="Yes",1,0)</f>
        <v>1</v>
      </c>
    </row>
    <row r="1015" spans="1:39" ht="13.8" x14ac:dyDescent="0.25">
      <c r="A1015">
        <v>30</v>
      </c>
      <c r="B1015" t="str" cm="1">
        <f t="array" ref="B1015">_xlfn.IFS(Table1[[#This Row],[Age]]&lt;30,"Under 30",Table1[[#This Row],[Age]]&lt;=40,"30-40",Table1[[#This Row],[Age]]&lt;=50,"41-50",Table1[[#This Row],[Age]]&gt;50,"Over 50")</f>
        <v>30-40</v>
      </c>
      <c r="C1015" t="s">
        <v>43</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t="str" cm="1">
        <f t="array" ref="AH1015">_xlfn.IFS(Table1[[#This Row],[YearsAtCompany]]&lt;=2,"0-2 years",Table1[[#This Row],[YearsAtCompany]]&lt;=5,"3-5 years",Table1[[#This Row],[YearsAtCompany]]&lt;=10,"6-10 years",Table1[[#This Row],[YearsAtCompany]]&gt;10,"10+ years")</f>
        <v>3-5 years</v>
      </c>
      <c r="AI1015">
        <v>2</v>
      </c>
      <c r="AJ1015">
        <v>0</v>
      </c>
      <c r="AK1015">
        <v>2</v>
      </c>
      <c r="AL1015" t="str" cm="1">
        <f t="array" ref="AL1015">_xlfn.IFS(Table1[[#This Row],[JobSatisfaction]]=1,"Low",Table1[[#This Row],[JobSatisfaction]]=2,"Medium",Table1[[#This Row],[JobSatisfaction]]=3,"High",Table1[[#This Row],[JobSatisfaction]]=4,"Very High")</f>
        <v>Low</v>
      </c>
      <c r="AM1015">
        <f>IF(Table1[[#This Row],[Attrition]]="Yes",1,0)</f>
        <v>0</v>
      </c>
    </row>
    <row r="1016" spans="1:39" ht="13.8" x14ac:dyDescent="0.25">
      <c r="A1016">
        <v>31</v>
      </c>
      <c r="B1016" t="str" cm="1">
        <f t="array" ref="B1016">_xlfn.IFS(Table1[[#This Row],[Age]]&lt;30,"Under 30",Table1[[#This Row],[Age]]&lt;=40,"30-40",Table1[[#This Row],[Age]]&lt;=50,"41-50",Table1[[#This Row],[Age]]&gt;50,"Over 50")</f>
        <v>30-40</v>
      </c>
      <c r="C1016" t="s">
        <v>43</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t="str" cm="1">
        <f t="array" ref="AH1016">_xlfn.IFS(Table1[[#This Row],[YearsAtCompany]]&lt;=2,"0-2 years",Table1[[#This Row],[YearsAtCompany]]&lt;=5,"3-5 years",Table1[[#This Row],[YearsAtCompany]]&lt;=10,"6-10 years",Table1[[#This Row],[YearsAtCompany]]&gt;10,"10+ years")</f>
        <v>3-5 years</v>
      </c>
      <c r="AI1016">
        <v>2</v>
      </c>
      <c r="AJ1016">
        <v>1</v>
      </c>
      <c r="AK1016">
        <v>0</v>
      </c>
      <c r="AL1016" t="str" cm="1">
        <f t="array" ref="AL1016">_xlfn.IFS(Table1[[#This Row],[JobSatisfaction]]=1,"Low",Table1[[#This Row],[JobSatisfaction]]=2,"Medium",Table1[[#This Row],[JobSatisfaction]]=3,"High",Table1[[#This Row],[JobSatisfaction]]=4,"Very High")</f>
        <v>Medium</v>
      </c>
      <c r="AM1016">
        <f>IF(Table1[[#This Row],[Attrition]]="Yes",1,0)</f>
        <v>0</v>
      </c>
    </row>
    <row r="1017" spans="1:39" ht="13.8" x14ac:dyDescent="0.25">
      <c r="A1017">
        <v>34</v>
      </c>
      <c r="B1017" t="str" cm="1">
        <f t="array" ref="B1017">_xlfn.IFS(Table1[[#This Row],[Age]]&lt;30,"Under 30",Table1[[#This Row],[Age]]&lt;=40,"30-40",Table1[[#This Row],[Age]]&lt;=50,"41-50",Table1[[#This Row],[Age]]&gt;50,"Over 50")</f>
        <v>30-40</v>
      </c>
      <c r="C1017" t="s">
        <v>43</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t="str" cm="1">
        <f t="array" ref="AH1017">_xlfn.IFS(Table1[[#This Row],[YearsAtCompany]]&lt;=2,"0-2 years",Table1[[#This Row],[YearsAtCompany]]&lt;=5,"3-5 years",Table1[[#This Row],[YearsAtCompany]]&lt;=10,"6-10 years",Table1[[#This Row],[YearsAtCompany]]&gt;10,"10+ years")</f>
        <v>3-5 years</v>
      </c>
      <c r="AI1017">
        <v>3</v>
      </c>
      <c r="AJ1017">
        <v>1</v>
      </c>
      <c r="AK1017">
        <v>3</v>
      </c>
      <c r="AL1017" t="str" cm="1">
        <f t="array" ref="AL1017">_xlfn.IFS(Table1[[#This Row],[JobSatisfaction]]=1,"Low",Table1[[#This Row],[JobSatisfaction]]=2,"Medium",Table1[[#This Row],[JobSatisfaction]]=3,"High",Table1[[#This Row],[JobSatisfaction]]=4,"Very High")</f>
        <v>Low</v>
      </c>
      <c r="AM1017">
        <f>IF(Table1[[#This Row],[Attrition]]="Yes",1,0)</f>
        <v>0</v>
      </c>
    </row>
    <row r="1018" spans="1:39" ht="13.8" x14ac:dyDescent="0.25">
      <c r="A1018">
        <v>31</v>
      </c>
      <c r="B1018" t="str" cm="1">
        <f t="array" ref="B1018">_xlfn.IFS(Table1[[#This Row],[Age]]&lt;30,"Under 30",Table1[[#This Row],[Age]]&lt;=40,"30-40",Table1[[#This Row],[Age]]&lt;=50,"41-50",Table1[[#This Row],[Age]]&gt;50,"Over 50")</f>
        <v>30-40</v>
      </c>
      <c r="C1018" t="s">
        <v>35</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t="str" cm="1">
        <f t="array" ref="AH1018">_xlfn.IFS(Table1[[#This Row],[YearsAtCompany]]&lt;=2,"0-2 years",Table1[[#This Row],[YearsAtCompany]]&lt;=5,"3-5 years",Table1[[#This Row],[YearsAtCompany]]&lt;=10,"6-10 years",Table1[[#This Row],[YearsAtCompany]]&gt;10,"10+ years")</f>
        <v>0-2 years</v>
      </c>
      <c r="AI1018">
        <v>0</v>
      </c>
      <c r="AJ1018">
        <v>0</v>
      </c>
      <c r="AK1018">
        <v>0</v>
      </c>
      <c r="AL1018" t="str" cm="1">
        <f t="array" ref="AL1018">_xlfn.IFS(Table1[[#This Row],[JobSatisfaction]]=1,"Low",Table1[[#This Row],[JobSatisfaction]]=2,"Medium",Table1[[#This Row],[JobSatisfaction]]=3,"High",Table1[[#This Row],[JobSatisfaction]]=4,"Very High")</f>
        <v>Medium</v>
      </c>
      <c r="AM1018">
        <f>IF(Table1[[#This Row],[Attrition]]="Yes",1,0)</f>
        <v>1</v>
      </c>
    </row>
    <row r="1019" spans="1:39" ht="13.8" x14ac:dyDescent="0.25">
      <c r="A1019">
        <v>27</v>
      </c>
      <c r="B1019" t="str" cm="1">
        <f t="array" ref="B1019">_xlfn.IFS(Table1[[#This Row],[Age]]&lt;30,"Under 30",Table1[[#This Row],[Age]]&lt;=40,"30-40",Table1[[#This Row],[Age]]&lt;=50,"41-50",Table1[[#This Row],[Age]]&gt;50,"Over 50")</f>
        <v>Under 30</v>
      </c>
      <c r="C1019" t="s">
        <v>43</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t="str" cm="1">
        <f t="array" ref="AH1019">_xlfn.IFS(Table1[[#This Row],[YearsAtCompany]]&lt;=2,"0-2 years",Table1[[#This Row],[YearsAtCompany]]&lt;=5,"3-5 years",Table1[[#This Row],[YearsAtCompany]]&lt;=10,"6-10 years",Table1[[#This Row],[YearsAtCompany]]&gt;10,"10+ years")</f>
        <v>3-5 years</v>
      </c>
      <c r="AI1019">
        <v>0</v>
      </c>
      <c r="AJ1019">
        <v>1</v>
      </c>
      <c r="AK1019">
        <v>4</v>
      </c>
      <c r="AL1019" t="str" cm="1">
        <f t="array" ref="AL1019">_xlfn.IFS(Table1[[#This Row],[JobSatisfaction]]=1,"Low",Table1[[#This Row],[JobSatisfaction]]=2,"Medium",Table1[[#This Row],[JobSatisfaction]]=3,"High",Table1[[#This Row],[JobSatisfaction]]=4,"Very High")</f>
        <v>Low</v>
      </c>
      <c r="AM1019">
        <f>IF(Table1[[#This Row],[Attrition]]="Yes",1,0)</f>
        <v>0</v>
      </c>
    </row>
    <row r="1020" spans="1:39" ht="13.8" x14ac:dyDescent="0.25">
      <c r="A1020">
        <v>36</v>
      </c>
      <c r="B1020" t="str" cm="1">
        <f t="array" ref="B1020">_xlfn.IFS(Table1[[#This Row],[Age]]&lt;30,"Under 30",Table1[[#This Row],[Age]]&lt;=40,"30-40",Table1[[#This Row],[Age]]&lt;=50,"41-50",Table1[[#This Row],[Age]]&gt;50,"Over 50")</f>
        <v>30-40</v>
      </c>
      <c r="C1020" t="s">
        <v>43</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t="str" cm="1">
        <f t="array" ref="AH1020">_xlfn.IFS(Table1[[#This Row],[YearsAtCompany]]&lt;=2,"0-2 years",Table1[[#This Row],[YearsAtCompany]]&lt;=5,"3-5 years",Table1[[#This Row],[YearsAtCompany]]&lt;=10,"6-10 years",Table1[[#This Row],[YearsAtCompany]]&gt;10,"10+ years")</f>
        <v>6-10 years</v>
      </c>
      <c r="AI1020">
        <v>4</v>
      </c>
      <c r="AJ1020">
        <v>1</v>
      </c>
      <c r="AK1020">
        <v>8</v>
      </c>
      <c r="AL1020" t="str" cm="1">
        <f t="array" ref="AL1020">_xlfn.IFS(Table1[[#This Row],[JobSatisfaction]]=1,"Low",Table1[[#This Row],[JobSatisfaction]]=2,"Medium",Table1[[#This Row],[JobSatisfaction]]=3,"High",Table1[[#This Row],[JobSatisfaction]]=4,"Very High")</f>
        <v>Very High</v>
      </c>
      <c r="AM1020">
        <f>IF(Table1[[#This Row],[Attrition]]="Yes",1,0)</f>
        <v>0</v>
      </c>
    </row>
    <row r="1021" spans="1:39" ht="13.8" x14ac:dyDescent="0.25">
      <c r="A1021">
        <v>36</v>
      </c>
      <c r="B1021" t="str" cm="1">
        <f t="array" ref="B1021">_xlfn.IFS(Table1[[#This Row],[Age]]&lt;30,"Under 30",Table1[[#This Row],[Age]]&lt;=40,"30-40",Table1[[#This Row],[Age]]&lt;=50,"41-50",Table1[[#This Row],[Age]]&gt;50,"Over 50")</f>
        <v>30-40</v>
      </c>
      <c r="C1021" t="s">
        <v>43</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t="str" cm="1">
        <f t="array" ref="AH1021">_xlfn.IFS(Table1[[#This Row],[YearsAtCompany]]&lt;=2,"0-2 years",Table1[[#This Row],[YearsAtCompany]]&lt;=5,"3-5 years",Table1[[#This Row],[YearsAtCompany]]&lt;=10,"6-10 years",Table1[[#This Row],[YearsAtCompany]]&gt;10,"10+ years")</f>
        <v>3-5 years</v>
      </c>
      <c r="AI1021">
        <v>2</v>
      </c>
      <c r="AJ1021">
        <v>0</v>
      </c>
      <c r="AK1021">
        <v>2</v>
      </c>
      <c r="AL1021" t="str" cm="1">
        <f t="array" ref="AL1021">_xlfn.IFS(Table1[[#This Row],[JobSatisfaction]]=1,"Low",Table1[[#This Row],[JobSatisfaction]]=2,"Medium",Table1[[#This Row],[JobSatisfaction]]=3,"High",Table1[[#This Row],[JobSatisfaction]]=4,"Very High")</f>
        <v>Low</v>
      </c>
      <c r="AM1021">
        <f>IF(Table1[[#This Row],[Attrition]]="Yes",1,0)</f>
        <v>0</v>
      </c>
    </row>
    <row r="1022" spans="1:39" ht="13.8" x14ac:dyDescent="0.25">
      <c r="A1022">
        <v>47</v>
      </c>
      <c r="B1022" t="str" cm="1">
        <f t="array" ref="B1022">_xlfn.IFS(Table1[[#This Row],[Age]]&lt;30,"Under 30",Table1[[#This Row],[Age]]&lt;=40,"30-40",Table1[[#This Row],[Age]]&lt;=50,"41-50",Table1[[#This Row],[Age]]&gt;50,"Over 50")</f>
        <v>41-50</v>
      </c>
      <c r="C1022" t="s">
        <v>43</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t="str" cm="1">
        <f t="array" ref="AH1022">_xlfn.IFS(Table1[[#This Row],[YearsAtCompany]]&lt;=2,"0-2 years",Table1[[#This Row],[YearsAtCompany]]&lt;=5,"3-5 years",Table1[[#This Row],[YearsAtCompany]]&lt;=10,"6-10 years",Table1[[#This Row],[YearsAtCompany]]&gt;10,"10+ years")</f>
        <v>6-10 years</v>
      </c>
      <c r="AI1022">
        <v>5</v>
      </c>
      <c r="AJ1022">
        <v>1</v>
      </c>
      <c r="AK1022">
        <v>2</v>
      </c>
      <c r="AL1022" t="str" cm="1">
        <f t="array" ref="AL1022">_xlfn.IFS(Table1[[#This Row],[JobSatisfaction]]=1,"Low",Table1[[#This Row],[JobSatisfaction]]=2,"Medium",Table1[[#This Row],[JobSatisfaction]]=3,"High",Table1[[#This Row],[JobSatisfaction]]=4,"Very High")</f>
        <v>Very High</v>
      </c>
      <c r="AM1022">
        <f>IF(Table1[[#This Row],[Attrition]]="Yes",1,0)</f>
        <v>0</v>
      </c>
    </row>
    <row r="1023" spans="1:39" ht="13.8" x14ac:dyDescent="0.25">
      <c r="A1023">
        <v>25</v>
      </c>
      <c r="B1023" t="str" cm="1">
        <f t="array" ref="B1023">_xlfn.IFS(Table1[[#This Row],[Age]]&lt;30,"Under 30",Table1[[#This Row],[Age]]&lt;=40,"30-40",Table1[[#This Row],[Age]]&lt;=50,"41-50",Table1[[#This Row],[Age]]&gt;50,"Over 50")</f>
        <v>Under 30</v>
      </c>
      <c r="C1023" t="s">
        <v>35</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t="str" cm="1">
        <f t="array" ref="AH1023">_xlfn.IFS(Table1[[#This Row],[YearsAtCompany]]&lt;=2,"0-2 years",Table1[[#This Row],[YearsAtCompany]]&lt;=5,"3-5 years",Table1[[#This Row],[YearsAtCompany]]&lt;=10,"6-10 years",Table1[[#This Row],[YearsAtCompany]]&gt;10,"10+ years")</f>
        <v>3-5 years</v>
      </c>
      <c r="AI1023">
        <v>2</v>
      </c>
      <c r="AJ1023">
        <v>2</v>
      </c>
      <c r="AK1023">
        <v>2</v>
      </c>
      <c r="AL1023" t="str" cm="1">
        <f t="array" ref="AL1023">_xlfn.IFS(Table1[[#This Row],[JobSatisfaction]]=1,"Low",Table1[[#This Row],[JobSatisfaction]]=2,"Medium",Table1[[#This Row],[JobSatisfaction]]=3,"High",Table1[[#This Row],[JobSatisfaction]]=4,"Very High")</f>
        <v>Low</v>
      </c>
      <c r="AM1023">
        <f>IF(Table1[[#This Row],[Attrition]]="Yes",1,0)</f>
        <v>1</v>
      </c>
    </row>
    <row r="1024" spans="1:39" ht="13.8" x14ac:dyDescent="0.25">
      <c r="A1024">
        <v>37</v>
      </c>
      <c r="B1024" t="str" cm="1">
        <f t="array" ref="B1024">_xlfn.IFS(Table1[[#This Row],[Age]]&lt;30,"Under 30",Table1[[#This Row],[Age]]&lt;=40,"30-40",Table1[[#This Row],[Age]]&lt;=50,"41-50",Table1[[#This Row],[Age]]&gt;50,"Over 50")</f>
        <v>30-40</v>
      </c>
      <c r="C1024" t="s">
        <v>43</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t="str" cm="1">
        <f t="array" ref="AH1024">_xlfn.IFS(Table1[[#This Row],[YearsAtCompany]]&lt;=2,"0-2 years",Table1[[#This Row],[YearsAtCompany]]&lt;=5,"3-5 years",Table1[[#This Row],[YearsAtCompany]]&lt;=10,"6-10 years",Table1[[#This Row],[YearsAtCompany]]&gt;10,"10+ years")</f>
        <v>6-10 years</v>
      </c>
      <c r="AI1024">
        <v>5</v>
      </c>
      <c r="AJ1024">
        <v>1</v>
      </c>
      <c r="AK1024">
        <v>3</v>
      </c>
      <c r="AL1024" t="str" cm="1">
        <f t="array" ref="AL1024">_xlfn.IFS(Table1[[#This Row],[JobSatisfaction]]=1,"Low",Table1[[#This Row],[JobSatisfaction]]=2,"Medium",Table1[[#This Row],[JobSatisfaction]]=3,"High",Table1[[#This Row],[JobSatisfaction]]=4,"Very High")</f>
        <v>High</v>
      </c>
      <c r="AM1024">
        <f>IF(Table1[[#This Row],[Attrition]]="Yes",1,0)</f>
        <v>0</v>
      </c>
    </row>
    <row r="1025" spans="1:39" ht="13.8" x14ac:dyDescent="0.25">
      <c r="A1025">
        <v>56</v>
      </c>
      <c r="B1025" t="str" cm="1">
        <f t="array" ref="B1025">_xlfn.IFS(Table1[[#This Row],[Age]]&lt;30,"Under 30",Table1[[#This Row],[Age]]&lt;=40,"30-40",Table1[[#This Row],[Age]]&lt;=50,"41-50",Table1[[#This Row],[Age]]&gt;50,"Over 50")</f>
        <v>Over 50</v>
      </c>
      <c r="C1025" t="s">
        <v>43</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t="str" cm="1">
        <f t="array" ref="AH1025">_xlfn.IFS(Table1[[#This Row],[YearsAtCompany]]&lt;=2,"0-2 years",Table1[[#This Row],[YearsAtCompany]]&lt;=5,"3-5 years",Table1[[#This Row],[YearsAtCompany]]&lt;=10,"6-10 years",Table1[[#This Row],[YearsAtCompany]]&gt;10,"10+ years")</f>
        <v>3-5 years</v>
      </c>
      <c r="AI1025">
        <v>2</v>
      </c>
      <c r="AJ1025">
        <v>1</v>
      </c>
      <c r="AK1025">
        <v>0</v>
      </c>
      <c r="AL1025" t="str" cm="1">
        <f t="array" ref="AL1025">_xlfn.IFS(Table1[[#This Row],[JobSatisfaction]]=1,"Low",Table1[[#This Row],[JobSatisfaction]]=2,"Medium",Table1[[#This Row],[JobSatisfaction]]=3,"High",Table1[[#This Row],[JobSatisfaction]]=4,"Very High")</f>
        <v>Low</v>
      </c>
      <c r="AM1025">
        <f>IF(Table1[[#This Row],[Attrition]]="Yes",1,0)</f>
        <v>0</v>
      </c>
    </row>
    <row r="1026" spans="1:39" ht="13.8" x14ac:dyDescent="0.25">
      <c r="A1026">
        <v>47</v>
      </c>
      <c r="B1026" t="str" cm="1">
        <f t="array" ref="B1026">_xlfn.IFS(Table1[[#This Row],[Age]]&lt;30,"Under 30",Table1[[#This Row],[Age]]&lt;=40,"30-40",Table1[[#This Row],[Age]]&lt;=50,"41-50",Table1[[#This Row],[Age]]&gt;50,"Over 50")</f>
        <v>41-50</v>
      </c>
      <c r="C1026" t="s">
        <v>43</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t="str" cm="1">
        <f t="array" ref="AH1026">_xlfn.IFS(Table1[[#This Row],[YearsAtCompany]]&lt;=2,"0-2 years",Table1[[#This Row],[YearsAtCompany]]&lt;=5,"3-5 years",Table1[[#This Row],[YearsAtCompany]]&lt;=10,"6-10 years",Table1[[#This Row],[YearsAtCompany]]&gt;10,"10+ years")</f>
        <v>10+ years</v>
      </c>
      <c r="AI1026">
        <v>17</v>
      </c>
      <c r="AJ1026">
        <v>5</v>
      </c>
      <c r="AK1026">
        <v>6</v>
      </c>
      <c r="AL1026" t="str" cm="1">
        <f t="array" ref="AL1026">_xlfn.IFS(Table1[[#This Row],[JobSatisfaction]]=1,"Low",Table1[[#This Row],[JobSatisfaction]]=2,"Medium",Table1[[#This Row],[JobSatisfaction]]=3,"High",Table1[[#This Row],[JobSatisfaction]]=4,"Very High")</f>
        <v>High</v>
      </c>
      <c r="AM1026">
        <f>IF(Table1[[#This Row],[Attrition]]="Yes",1,0)</f>
        <v>0</v>
      </c>
    </row>
    <row r="1027" spans="1:39" ht="13.8" x14ac:dyDescent="0.25">
      <c r="A1027">
        <v>24</v>
      </c>
      <c r="B1027" t="str" cm="1">
        <f t="array" ref="B1027">_xlfn.IFS(Table1[[#This Row],[Age]]&lt;30,"Under 30",Table1[[#This Row],[Age]]&lt;=40,"30-40",Table1[[#This Row],[Age]]&lt;=50,"41-50",Table1[[#This Row],[Age]]&gt;50,"Over 50")</f>
        <v>Under 30</v>
      </c>
      <c r="C1027" t="s">
        <v>43</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t="str" cm="1">
        <f t="array" ref="AH1027">_xlfn.IFS(Table1[[#This Row],[YearsAtCompany]]&lt;=2,"0-2 years",Table1[[#This Row],[YearsAtCompany]]&lt;=5,"3-5 years",Table1[[#This Row],[YearsAtCompany]]&lt;=10,"6-10 years",Table1[[#This Row],[YearsAtCompany]]&gt;10,"10+ years")</f>
        <v>3-5 years</v>
      </c>
      <c r="AI1027">
        <v>4</v>
      </c>
      <c r="AJ1027">
        <v>0</v>
      </c>
      <c r="AK1027">
        <v>3</v>
      </c>
      <c r="AL1027" t="str" cm="1">
        <f t="array" ref="AL1027">_xlfn.IFS(Table1[[#This Row],[JobSatisfaction]]=1,"Low",Table1[[#This Row],[JobSatisfaction]]=2,"Medium",Table1[[#This Row],[JobSatisfaction]]=3,"High",Table1[[#This Row],[JobSatisfaction]]=4,"Very High")</f>
        <v>High</v>
      </c>
      <c r="AM1027">
        <f>IF(Table1[[#This Row],[Attrition]]="Yes",1,0)</f>
        <v>0</v>
      </c>
    </row>
    <row r="1028" spans="1:39" ht="13.8" x14ac:dyDescent="0.25">
      <c r="A1028">
        <v>32</v>
      </c>
      <c r="B1028" t="str" cm="1">
        <f t="array" ref="B1028">_xlfn.IFS(Table1[[#This Row],[Age]]&lt;30,"Under 30",Table1[[#This Row],[Age]]&lt;=40,"30-40",Table1[[#This Row],[Age]]&lt;=50,"41-50",Table1[[#This Row],[Age]]&gt;50,"Over 50")</f>
        <v>30-40</v>
      </c>
      <c r="C1028" t="s">
        <v>43</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t="str" cm="1">
        <f t="array" ref="AH1028">_xlfn.IFS(Table1[[#This Row],[YearsAtCompany]]&lt;=2,"0-2 years",Table1[[#This Row],[YearsAtCompany]]&lt;=5,"3-5 years",Table1[[#This Row],[YearsAtCompany]]&lt;=10,"6-10 years",Table1[[#This Row],[YearsAtCompany]]&gt;10,"10+ years")</f>
        <v>3-5 years</v>
      </c>
      <c r="AI1028">
        <v>3</v>
      </c>
      <c r="AJ1028">
        <v>0</v>
      </c>
      <c r="AK1028">
        <v>3</v>
      </c>
      <c r="AL1028" t="str" cm="1">
        <f t="array" ref="AL1028">_xlfn.IFS(Table1[[#This Row],[JobSatisfaction]]=1,"Low",Table1[[#This Row],[JobSatisfaction]]=2,"Medium",Table1[[#This Row],[JobSatisfaction]]=3,"High",Table1[[#This Row],[JobSatisfaction]]=4,"Very High")</f>
        <v>Very High</v>
      </c>
      <c r="AM1028">
        <f>IF(Table1[[#This Row],[Attrition]]="Yes",1,0)</f>
        <v>0</v>
      </c>
    </row>
    <row r="1029" spans="1:39" ht="13.8" x14ac:dyDescent="0.25">
      <c r="A1029">
        <v>34</v>
      </c>
      <c r="B1029" t="str" cm="1">
        <f t="array" ref="B1029">_xlfn.IFS(Table1[[#This Row],[Age]]&lt;30,"Under 30",Table1[[#This Row],[Age]]&lt;=40,"30-40",Table1[[#This Row],[Age]]&lt;=50,"41-50",Table1[[#This Row],[Age]]&gt;50,"Over 50")</f>
        <v>30-40</v>
      </c>
      <c r="C1029" t="s">
        <v>43</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t="str" cm="1">
        <f t="array" ref="AH1029">_xlfn.IFS(Table1[[#This Row],[YearsAtCompany]]&lt;=2,"0-2 years",Table1[[#This Row],[YearsAtCompany]]&lt;=5,"3-5 years",Table1[[#This Row],[YearsAtCompany]]&lt;=10,"6-10 years",Table1[[#This Row],[YearsAtCompany]]&gt;10,"10+ years")</f>
        <v>3-5 years</v>
      </c>
      <c r="AI1029">
        <v>4</v>
      </c>
      <c r="AJ1029">
        <v>0</v>
      </c>
      <c r="AK1029">
        <v>2</v>
      </c>
      <c r="AL1029" t="str" cm="1">
        <f t="array" ref="AL1029">_xlfn.IFS(Table1[[#This Row],[JobSatisfaction]]=1,"Low",Table1[[#This Row],[JobSatisfaction]]=2,"Medium",Table1[[#This Row],[JobSatisfaction]]=3,"High",Table1[[#This Row],[JobSatisfaction]]=4,"Very High")</f>
        <v>Medium</v>
      </c>
      <c r="AM1029">
        <f>IF(Table1[[#This Row],[Attrition]]="Yes",1,0)</f>
        <v>0</v>
      </c>
    </row>
    <row r="1030" spans="1:39" ht="13.8" x14ac:dyDescent="0.25">
      <c r="A1030">
        <v>41</v>
      </c>
      <c r="B1030" t="str" cm="1">
        <f t="array" ref="B1030">_xlfn.IFS(Table1[[#This Row],[Age]]&lt;30,"Under 30",Table1[[#This Row],[Age]]&lt;=40,"30-40",Table1[[#This Row],[Age]]&lt;=50,"41-50",Table1[[#This Row],[Age]]&gt;50,"Over 50")</f>
        <v>41-50</v>
      </c>
      <c r="C1030" t="s">
        <v>43</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t="str" cm="1">
        <f t="array" ref="AH1030">_xlfn.IFS(Table1[[#This Row],[YearsAtCompany]]&lt;=2,"0-2 years",Table1[[#This Row],[YearsAtCompany]]&lt;=5,"3-5 years",Table1[[#This Row],[YearsAtCompany]]&lt;=10,"6-10 years",Table1[[#This Row],[YearsAtCompany]]&gt;10,"10+ years")</f>
        <v>3-5 years</v>
      </c>
      <c r="AI1030">
        <v>2</v>
      </c>
      <c r="AJ1030">
        <v>0</v>
      </c>
      <c r="AK1030">
        <v>3</v>
      </c>
      <c r="AL1030" t="str" cm="1">
        <f t="array" ref="AL1030">_xlfn.IFS(Table1[[#This Row],[JobSatisfaction]]=1,"Low",Table1[[#This Row],[JobSatisfaction]]=2,"Medium",Table1[[#This Row],[JobSatisfaction]]=3,"High",Table1[[#This Row],[JobSatisfaction]]=4,"Very High")</f>
        <v>High</v>
      </c>
      <c r="AM1030">
        <f>IF(Table1[[#This Row],[Attrition]]="Yes",1,0)</f>
        <v>0</v>
      </c>
    </row>
    <row r="1031" spans="1:39" ht="13.8" x14ac:dyDescent="0.25">
      <c r="A1031">
        <v>40</v>
      </c>
      <c r="B1031" t="str" cm="1">
        <f t="array" ref="B1031">_xlfn.IFS(Table1[[#This Row],[Age]]&lt;30,"Under 30",Table1[[#This Row],[Age]]&lt;=40,"30-40",Table1[[#This Row],[Age]]&lt;=50,"41-50",Table1[[#This Row],[Age]]&gt;50,"Over 50")</f>
        <v>30-40</v>
      </c>
      <c r="C1031" t="s">
        <v>43</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t="str" cm="1">
        <f t="array" ref="AH1031">_xlfn.IFS(Table1[[#This Row],[YearsAtCompany]]&lt;=2,"0-2 years",Table1[[#This Row],[YearsAtCompany]]&lt;=5,"3-5 years",Table1[[#This Row],[YearsAtCompany]]&lt;=10,"6-10 years",Table1[[#This Row],[YearsAtCompany]]&gt;10,"10+ years")</f>
        <v>6-10 years</v>
      </c>
      <c r="AI1031">
        <v>7</v>
      </c>
      <c r="AJ1031">
        <v>0</v>
      </c>
      <c r="AK1031">
        <v>7</v>
      </c>
      <c r="AL1031" t="str" cm="1">
        <f t="array" ref="AL1031">_xlfn.IFS(Table1[[#This Row],[JobSatisfaction]]=1,"Low",Table1[[#This Row],[JobSatisfaction]]=2,"Medium",Table1[[#This Row],[JobSatisfaction]]=3,"High",Table1[[#This Row],[JobSatisfaction]]=4,"Very High")</f>
        <v>High</v>
      </c>
      <c r="AM1031">
        <f>IF(Table1[[#This Row],[Attrition]]="Yes",1,0)</f>
        <v>0</v>
      </c>
    </row>
    <row r="1032" spans="1:39" ht="13.8" x14ac:dyDescent="0.25">
      <c r="A1032">
        <v>31</v>
      </c>
      <c r="B1032" t="str" cm="1">
        <f t="array" ref="B1032">_xlfn.IFS(Table1[[#This Row],[Age]]&lt;30,"Under 30",Table1[[#This Row],[Age]]&lt;=40,"30-40",Table1[[#This Row],[Age]]&lt;=50,"41-50",Table1[[#This Row],[Age]]&gt;50,"Over 50")</f>
        <v>30-40</v>
      </c>
      <c r="C1032" t="s">
        <v>43</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t="str" cm="1">
        <f t="array" ref="AH1032">_xlfn.IFS(Table1[[#This Row],[YearsAtCompany]]&lt;=2,"0-2 years",Table1[[#This Row],[YearsAtCompany]]&lt;=5,"3-5 years",Table1[[#This Row],[YearsAtCompany]]&lt;=10,"6-10 years",Table1[[#This Row],[YearsAtCompany]]&gt;10,"10+ years")</f>
        <v>10+ years</v>
      </c>
      <c r="AI1032">
        <v>7</v>
      </c>
      <c r="AJ1032">
        <v>9</v>
      </c>
      <c r="AK1032">
        <v>9</v>
      </c>
      <c r="AL1032" t="str" cm="1">
        <f t="array" ref="AL1032">_xlfn.IFS(Table1[[#This Row],[JobSatisfaction]]=1,"Low",Table1[[#This Row],[JobSatisfaction]]=2,"Medium",Table1[[#This Row],[JobSatisfaction]]=3,"High",Table1[[#This Row],[JobSatisfaction]]=4,"Very High")</f>
        <v>Very High</v>
      </c>
      <c r="AM1032">
        <f>IF(Table1[[#This Row],[Attrition]]="Yes",1,0)</f>
        <v>0</v>
      </c>
    </row>
    <row r="1033" spans="1:39" ht="13.8" x14ac:dyDescent="0.25">
      <c r="A1033">
        <v>46</v>
      </c>
      <c r="B1033" t="str" cm="1">
        <f t="array" ref="B1033">_xlfn.IFS(Table1[[#This Row],[Age]]&lt;30,"Under 30",Table1[[#This Row],[Age]]&lt;=40,"30-40",Table1[[#This Row],[Age]]&lt;=50,"41-50",Table1[[#This Row],[Age]]&gt;50,"Over 50")</f>
        <v>41-50</v>
      </c>
      <c r="C1033" t="s">
        <v>35</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t="str" cm="1">
        <f t="array" ref="AH1033">_xlfn.IFS(Table1[[#This Row],[YearsAtCompany]]&lt;=2,"0-2 years",Table1[[#This Row],[YearsAtCompany]]&lt;=5,"3-5 years",Table1[[#This Row],[YearsAtCompany]]&lt;=10,"6-10 years",Table1[[#This Row],[YearsAtCompany]]&gt;10,"10+ years")</f>
        <v>6-10 years</v>
      </c>
      <c r="AI1033">
        <v>7</v>
      </c>
      <c r="AJ1033">
        <v>4</v>
      </c>
      <c r="AK1033">
        <v>3</v>
      </c>
      <c r="AL1033" t="str" cm="1">
        <f t="array" ref="AL1033">_xlfn.IFS(Table1[[#This Row],[JobSatisfaction]]=1,"Low",Table1[[#This Row],[JobSatisfaction]]=2,"Medium",Table1[[#This Row],[JobSatisfaction]]=3,"High",Table1[[#This Row],[JobSatisfaction]]=4,"Very High")</f>
        <v>Very High</v>
      </c>
      <c r="AM1033">
        <f>IF(Table1[[#This Row],[Attrition]]="Yes",1,0)</f>
        <v>1</v>
      </c>
    </row>
    <row r="1034" spans="1:39" ht="13.8" x14ac:dyDescent="0.25">
      <c r="A1034">
        <v>39</v>
      </c>
      <c r="B1034" t="str" cm="1">
        <f t="array" ref="B1034">_xlfn.IFS(Table1[[#This Row],[Age]]&lt;30,"Under 30",Table1[[#This Row],[Age]]&lt;=40,"30-40",Table1[[#This Row],[Age]]&lt;=50,"41-50",Table1[[#This Row],[Age]]&gt;50,"Over 50")</f>
        <v>30-40</v>
      </c>
      <c r="C1034" t="s">
        <v>35</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t="str" cm="1">
        <f t="array" ref="AH1034">_xlfn.IFS(Table1[[#This Row],[YearsAtCompany]]&lt;=2,"0-2 years",Table1[[#This Row],[YearsAtCompany]]&lt;=5,"3-5 years",Table1[[#This Row],[YearsAtCompany]]&lt;=10,"6-10 years",Table1[[#This Row],[YearsAtCompany]]&gt;10,"10+ years")</f>
        <v>0-2 years</v>
      </c>
      <c r="AI1034">
        <v>0</v>
      </c>
      <c r="AJ1034">
        <v>0</v>
      </c>
      <c r="AK1034">
        <v>0</v>
      </c>
      <c r="AL1034" t="str" cm="1">
        <f t="array" ref="AL1034">_xlfn.IFS(Table1[[#This Row],[JobSatisfaction]]=1,"Low",Table1[[#This Row],[JobSatisfaction]]=2,"Medium",Table1[[#This Row],[JobSatisfaction]]=3,"High",Table1[[#This Row],[JobSatisfaction]]=4,"Very High")</f>
        <v>Low</v>
      </c>
      <c r="AM1034">
        <f>IF(Table1[[#This Row],[Attrition]]="Yes",1,0)</f>
        <v>1</v>
      </c>
    </row>
    <row r="1035" spans="1:39" ht="13.8" x14ac:dyDescent="0.25">
      <c r="A1035">
        <v>31</v>
      </c>
      <c r="B1035" t="str" cm="1">
        <f t="array" ref="B1035">_xlfn.IFS(Table1[[#This Row],[Age]]&lt;30,"Under 30",Table1[[#This Row],[Age]]&lt;=40,"30-40",Table1[[#This Row],[Age]]&lt;=50,"41-50",Table1[[#This Row],[Age]]&gt;50,"Over 50")</f>
        <v>30-40</v>
      </c>
      <c r="C1035" t="s">
        <v>35</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t="str" cm="1">
        <f t="array" ref="AH1035">_xlfn.IFS(Table1[[#This Row],[YearsAtCompany]]&lt;=2,"0-2 years",Table1[[#This Row],[YearsAtCompany]]&lt;=5,"3-5 years",Table1[[#This Row],[YearsAtCompany]]&lt;=10,"6-10 years",Table1[[#This Row],[YearsAtCompany]]&gt;10,"10+ years")</f>
        <v>6-10 years</v>
      </c>
      <c r="AI1035">
        <v>8</v>
      </c>
      <c r="AJ1035">
        <v>4</v>
      </c>
      <c r="AK1035">
        <v>7</v>
      </c>
      <c r="AL1035" t="str" cm="1">
        <f t="array" ref="AL1035">_xlfn.IFS(Table1[[#This Row],[JobSatisfaction]]=1,"Low",Table1[[#This Row],[JobSatisfaction]]=2,"Medium",Table1[[#This Row],[JobSatisfaction]]=3,"High",Table1[[#This Row],[JobSatisfaction]]=4,"Very High")</f>
        <v>Medium</v>
      </c>
      <c r="AM1035">
        <f>IF(Table1[[#This Row],[Attrition]]="Yes",1,0)</f>
        <v>1</v>
      </c>
    </row>
    <row r="1036" spans="1:39" ht="13.8" x14ac:dyDescent="0.25">
      <c r="A1036">
        <v>45</v>
      </c>
      <c r="B1036" t="str" cm="1">
        <f t="array" ref="B1036">_xlfn.IFS(Table1[[#This Row],[Age]]&lt;30,"Under 30",Table1[[#This Row],[Age]]&lt;=40,"30-40",Table1[[#This Row],[Age]]&lt;=50,"41-50",Table1[[#This Row],[Age]]&gt;50,"Over 50")</f>
        <v>41-50</v>
      </c>
      <c r="C1036" t="s">
        <v>43</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t="str" cm="1">
        <f t="array" ref="AH1036">_xlfn.IFS(Table1[[#This Row],[YearsAtCompany]]&lt;=2,"0-2 years",Table1[[#This Row],[YearsAtCompany]]&lt;=5,"3-5 years",Table1[[#This Row],[YearsAtCompany]]&lt;=10,"6-10 years",Table1[[#This Row],[YearsAtCompany]]&gt;10,"10+ years")</f>
        <v>6-10 years</v>
      </c>
      <c r="AI1036">
        <v>7</v>
      </c>
      <c r="AJ1036">
        <v>0</v>
      </c>
      <c r="AK1036">
        <v>7</v>
      </c>
      <c r="AL1036" t="str" cm="1">
        <f t="array" ref="AL1036">_xlfn.IFS(Table1[[#This Row],[JobSatisfaction]]=1,"Low",Table1[[#This Row],[JobSatisfaction]]=2,"Medium",Table1[[#This Row],[JobSatisfaction]]=3,"High",Table1[[#This Row],[JobSatisfaction]]=4,"Very High")</f>
        <v>Low</v>
      </c>
      <c r="AM1036">
        <f>IF(Table1[[#This Row],[Attrition]]="Yes",1,0)</f>
        <v>0</v>
      </c>
    </row>
    <row r="1037" spans="1:39" ht="13.8" x14ac:dyDescent="0.25">
      <c r="A1037">
        <v>31</v>
      </c>
      <c r="B1037" t="str" cm="1">
        <f t="array" ref="B1037">_xlfn.IFS(Table1[[#This Row],[Age]]&lt;30,"Under 30",Table1[[#This Row],[Age]]&lt;=40,"30-40",Table1[[#This Row],[Age]]&lt;=50,"41-50",Table1[[#This Row],[Age]]&gt;50,"Over 50")</f>
        <v>30-40</v>
      </c>
      <c r="C1037" t="s">
        <v>43</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t="str" cm="1">
        <f t="array" ref="AH1037">_xlfn.IFS(Table1[[#This Row],[YearsAtCompany]]&lt;=2,"0-2 years",Table1[[#This Row],[YearsAtCompany]]&lt;=5,"3-5 years",Table1[[#This Row],[YearsAtCompany]]&lt;=10,"6-10 years",Table1[[#This Row],[YearsAtCompany]]&gt;10,"10+ years")</f>
        <v>3-5 years</v>
      </c>
      <c r="AI1037">
        <v>2</v>
      </c>
      <c r="AJ1037">
        <v>0</v>
      </c>
      <c r="AK1037">
        <v>2</v>
      </c>
      <c r="AL1037" t="str" cm="1">
        <f t="array" ref="AL1037">_xlfn.IFS(Table1[[#This Row],[JobSatisfaction]]=1,"Low",Table1[[#This Row],[JobSatisfaction]]=2,"Medium",Table1[[#This Row],[JobSatisfaction]]=3,"High",Table1[[#This Row],[JobSatisfaction]]=4,"Very High")</f>
        <v>Medium</v>
      </c>
      <c r="AM1037">
        <f>IF(Table1[[#This Row],[Attrition]]="Yes",1,0)</f>
        <v>0</v>
      </c>
    </row>
    <row r="1038" spans="1:39" ht="13.8" x14ac:dyDescent="0.25">
      <c r="A1038">
        <v>31</v>
      </c>
      <c r="B1038" t="str" cm="1">
        <f t="array" ref="B1038">_xlfn.IFS(Table1[[#This Row],[Age]]&lt;30,"Under 30",Table1[[#This Row],[Age]]&lt;=40,"30-40",Table1[[#This Row],[Age]]&lt;=50,"41-50",Table1[[#This Row],[Age]]&gt;50,"Over 50")</f>
        <v>30-40</v>
      </c>
      <c r="C1038" t="s">
        <v>35</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t="str" cm="1">
        <f t="array" ref="AH1038">_xlfn.IFS(Table1[[#This Row],[YearsAtCompany]]&lt;=2,"0-2 years",Table1[[#This Row],[YearsAtCompany]]&lt;=5,"3-5 years",Table1[[#This Row],[YearsAtCompany]]&lt;=10,"6-10 years",Table1[[#This Row],[YearsAtCompany]]&gt;10,"10+ years")</f>
        <v>0-2 years</v>
      </c>
      <c r="AI1038">
        <v>2</v>
      </c>
      <c r="AJ1038">
        <v>2</v>
      </c>
      <c r="AK1038">
        <v>2</v>
      </c>
      <c r="AL1038" t="str" cm="1">
        <f t="array" ref="AL1038">_xlfn.IFS(Table1[[#This Row],[JobSatisfaction]]=1,"Low",Table1[[#This Row],[JobSatisfaction]]=2,"Medium",Table1[[#This Row],[JobSatisfaction]]=3,"High",Table1[[#This Row],[JobSatisfaction]]=4,"Very High")</f>
        <v>Very High</v>
      </c>
      <c r="AM1038">
        <f>IF(Table1[[#This Row],[Attrition]]="Yes",1,0)</f>
        <v>1</v>
      </c>
    </row>
    <row r="1039" spans="1:39" ht="13.8" x14ac:dyDescent="0.25">
      <c r="A1039">
        <v>45</v>
      </c>
      <c r="B1039" t="str" cm="1">
        <f t="array" ref="B1039">_xlfn.IFS(Table1[[#This Row],[Age]]&lt;30,"Under 30",Table1[[#This Row],[Age]]&lt;=40,"30-40",Table1[[#This Row],[Age]]&lt;=50,"41-50",Table1[[#This Row],[Age]]&gt;50,"Over 50")</f>
        <v>41-50</v>
      </c>
      <c r="C1039" t="s">
        <v>43</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t="str" cm="1">
        <f t="array" ref="AH1039">_xlfn.IFS(Table1[[#This Row],[YearsAtCompany]]&lt;=2,"0-2 years",Table1[[#This Row],[YearsAtCompany]]&lt;=5,"3-5 years",Table1[[#This Row],[YearsAtCompany]]&lt;=10,"6-10 years",Table1[[#This Row],[YearsAtCompany]]&gt;10,"10+ years")</f>
        <v>3-5 years</v>
      </c>
      <c r="AI1039">
        <v>1</v>
      </c>
      <c r="AJ1039">
        <v>1</v>
      </c>
      <c r="AK1039">
        <v>2</v>
      </c>
      <c r="AL1039" t="str" cm="1">
        <f t="array" ref="AL1039">_xlfn.IFS(Table1[[#This Row],[JobSatisfaction]]=1,"Low",Table1[[#This Row],[JobSatisfaction]]=2,"Medium",Table1[[#This Row],[JobSatisfaction]]=3,"High",Table1[[#This Row],[JobSatisfaction]]=4,"Very High")</f>
        <v>Very High</v>
      </c>
      <c r="AM1039">
        <f>IF(Table1[[#This Row],[Attrition]]="Yes",1,0)</f>
        <v>0</v>
      </c>
    </row>
    <row r="1040" spans="1:39" ht="13.8" x14ac:dyDescent="0.25">
      <c r="A1040">
        <v>48</v>
      </c>
      <c r="B1040" t="str" cm="1">
        <f t="array" ref="B1040">_xlfn.IFS(Table1[[#This Row],[Age]]&lt;30,"Under 30",Table1[[#This Row],[Age]]&lt;=40,"30-40",Table1[[#This Row],[Age]]&lt;=50,"41-50",Table1[[#This Row],[Age]]&gt;50,"Over 50")</f>
        <v>41-50</v>
      </c>
      <c r="C1040" t="s">
        <v>43</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t="str" cm="1">
        <f t="array" ref="AH1040">_xlfn.IFS(Table1[[#This Row],[YearsAtCompany]]&lt;=2,"0-2 years",Table1[[#This Row],[YearsAtCompany]]&lt;=5,"3-5 years",Table1[[#This Row],[YearsAtCompany]]&lt;=10,"6-10 years",Table1[[#This Row],[YearsAtCompany]]&gt;10,"10+ years")</f>
        <v>0-2 years</v>
      </c>
      <c r="AI1040">
        <v>2</v>
      </c>
      <c r="AJ1040">
        <v>2</v>
      </c>
      <c r="AK1040">
        <v>2</v>
      </c>
      <c r="AL1040" t="str" cm="1">
        <f t="array" ref="AL1040">_xlfn.IFS(Table1[[#This Row],[JobSatisfaction]]=1,"Low",Table1[[#This Row],[JobSatisfaction]]=2,"Medium",Table1[[#This Row],[JobSatisfaction]]=3,"High",Table1[[#This Row],[JobSatisfaction]]=4,"Very High")</f>
        <v>Low</v>
      </c>
      <c r="AM1040">
        <f>IF(Table1[[#This Row],[Attrition]]="Yes",1,0)</f>
        <v>0</v>
      </c>
    </row>
    <row r="1041" spans="1:39" ht="13.8" x14ac:dyDescent="0.25">
      <c r="A1041">
        <v>34</v>
      </c>
      <c r="B1041" t="str" cm="1">
        <f t="array" ref="B1041">_xlfn.IFS(Table1[[#This Row],[Age]]&lt;30,"Under 30",Table1[[#This Row],[Age]]&lt;=40,"30-40",Table1[[#This Row],[Age]]&lt;=50,"41-50",Table1[[#This Row],[Age]]&gt;50,"Over 50")</f>
        <v>30-40</v>
      </c>
      <c r="C1041" t="s">
        <v>35</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t="str" cm="1">
        <f t="array" ref="AH1041">_xlfn.IFS(Table1[[#This Row],[YearsAtCompany]]&lt;=2,"0-2 years",Table1[[#This Row],[YearsAtCompany]]&lt;=5,"3-5 years",Table1[[#This Row],[YearsAtCompany]]&lt;=10,"6-10 years",Table1[[#This Row],[YearsAtCompany]]&gt;10,"10+ years")</f>
        <v>0-2 years</v>
      </c>
      <c r="AI1041">
        <v>2</v>
      </c>
      <c r="AJ1041">
        <v>2</v>
      </c>
      <c r="AK1041">
        <v>2</v>
      </c>
      <c r="AL1041" t="str" cm="1">
        <f t="array" ref="AL1041">_xlfn.IFS(Table1[[#This Row],[JobSatisfaction]]=1,"Low",Table1[[#This Row],[JobSatisfaction]]=2,"Medium",Table1[[#This Row],[JobSatisfaction]]=3,"High",Table1[[#This Row],[JobSatisfaction]]=4,"Very High")</f>
        <v>High</v>
      </c>
      <c r="AM1041">
        <f>IF(Table1[[#This Row],[Attrition]]="Yes",1,0)</f>
        <v>1</v>
      </c>
    </row>
    <row r="1042" spans="1:39" ht="13.8" x14ac:dyDescent="0.25">
      <c r="A1042">
        <v>40</v>
      </c>
      <c r="B1042" t="str" cm="1">
        <f t="array" ref="B1042">_xlfn.IFS(Table1[[#This Row],[Age]]&lt;30,"Under 30",Table1[[#This Row],[Age]]&lt;=40,"30-40",Table1[[#This Row],[Age]]&lt;=50,"41-50",Table1[[#This Row],[Age]]&gt;50,"Over 50")</f>
        <v>30-40</v>
      </c>
      <c r="C1042" t="s">
        <v>43</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t="str" cm="1">
        <f t="array" ref="AH1042">_xlfn.IFS(Table1[[#This Row],[YearsAtCompany]]&lt;=2,"0-2 years",Table1[[#This Row],[YearsAtCompany]]&lt;=5,"3-5 years",Table1[[#This Row],[YearsAtCompany]]&lt;=10,"6-10 years",Table1[[#This Row],[YearsAtCompany]]&gt;10,"10+ years")</f>
        <v>6-10 years</v>
      </c>
      <c r="AI1042">
        <v>8</v>
      </c>
      <c r="AJ1042">
        <v>4</v>
      </c>
      <c r="AK1042">
        <v>8</v>
      </c>
      <c r="AL1042" t="str" cm="1">
        <f t="array" ref="AL1042">_xlfn.IFS(Table1[[#This Row],[JobSatisfaction]]=1,"Low",Table1[[#This Row],[JobSatisfaction]]=2,"Medium",Table1[[#This Row],[JobSatisfaction]]=3,"High",Table1[[#This Row],[JobSatisfaction]]=4,"Very High")</f>
        <v>Medium</v>
      </c>
      <c r="AM1042">
        <f>IF(Table1[[#This Row],[Attrition]]="Yes",1,0)</f>
        <v>0</v>
      </c>
    </row>
    <row r="1043" spans="1:39" ht="13.8" x14ac:dyDescent="0.25">
      <c r="A1043">
        <v>28</v>
      </c>
      <c r="B1043" t="str" cm="1">
        <f t="array" ref="B1043">_xlfn.IFS(Table1[[#This Row],[Age]]&lt;30,"Under 30",Table1[[#This Row],[Age]]&lt;=40,"30-40",Table1[[#This Row],[Age]]&lt;=50,"41-50",Table1[[#This Row],[Age]]&gt;50,"Over 50")</f>
        <v>Under 30</v>
      </c>
      <c r="C1043" t="s">
        <v>43</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t="str" cm="1">
        <f t="array" ref="AH1043">_xlfn.IFS(Table1[[#This Row],[YearsAtCompany]]&lt;=2,"0-2 years",Table1[[#This Row],[YearsAtCompany]]&lt;=5,"3-5 years",Table1[[#This Row],[YearsAtCompany]]&lt;=10,"6-10 years",Table1[[#This Row],[YearsAtCompany]]&gt;10,"10+ years")</f>
        <v>3-5 years</v>
      </c>
      <c r="AI1043">
        <v>4</v>
      </c>
      <c r="AJ1043">
        <v>1</v>
      </c>
      <c r="AK1043">
        <v>3</v>
      </c>
      <c r="AL1043" t="str" cm="1">
        <f t="array" ref="AL1043">_xlfn.IFS(Table1[[#This Row],[JobSatisfaction]]=1,"Low",Table1[[#This Row],[JobSatisfaction]]=2,"Medium",Table1[[#This Row],[JobSatisfaction]]=3,"High",Table1[[#This Row],[JobSatisfaction]]=4,"Very High")</f>
        <v>Low</v>
      </c>
      <c r="AM1043">
        <f>IF(Table1[[#This Row],[Attrition]]="Yes",1,0)</f>
        <v>0</v>
      </c>
    </row>
    <row r="1044" spans="1:39" ht="13.8" x14ac:dyDescent="0.25">
      <c r="A1044">
        <v>44</v>
      </c>
      <c r="B1044" t="str" cm="1">
        <f t="array" ref="B1044">_xlfn.IFS(Table1[[#This Row],[Age]]&lt;30,"Under 30",Table1[[#This Row],[Age]]&lt;=40,"30-40",Table1[[#This Row],[Age]]&lt;=50,"41-50",Table1[[#This Row],[Age]]&gt;50,"Over 50")</f>
        <v>41-50</v>
      </c>
      <c r="C1044" t="s">
        <v>43</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t="str" cm="1">
        <f t="array" ref="AH1044">_xlfn.IFS(Table1[[#This Row],[YearsAtCompany]]&lt;=2,"0-2 years",Table1[[#This Row],[YearsAtCompany]]&lt;=5,"3-5 years",Table1[[#This Row],[YearsAtCompany]]&lt;=10,"6-10 years",Table1[[#This Row],[YearsAtCompany]]&gt;10,"10+ years")</f>
        <v>3-5 years</v>
      </c>
      <c r="AI1044">
        <v>2</v>
      </c>
      <c r="AJ1044">
        <v>0</v>
      </c>
      <c r="AK1044">
        <v>3</v>
      </c>
      <c r="AL1044" t="str" cm="1">
        <f t="array" ref="AL1044">_xlfn.IFS(Table1[[#This Row],[JobSatisfaction]]=1,"Low",Table1[[#This Row],[JobSatisfaction]]=2,"Medium",Table1[[#This Row],[JobSatisfaction]]=3,"High",Table1[[#This Row],[JobSatisfaction]]=4,"Very High")</f>
        <v>High</v>
      </c>
      <c r="AM1044">
        <f>IF(Table1[[#This Row],[Attrition]]="Yes",1,0)</f>
        <v>0</v>
      </c>
    </row>
    <row r="1045" spans="1:39" ht="13.8" x14ac:dyDescent="0.25">
      <c r="A1045">
        <v>53</v>
      </c>
      <c r="B1045" t="str" cm="1">
        <f t="array" ref="B1045">_xlfn.IFS(Table1[[#This Row],[Age]]&lt;30,"Under 30",Table1[[#This Row],[Age]]&lt;=40,"30-40",Table1[[#This Row],[Age]]&lt;=50,"41-50",Table1[[#This Row],[Age]]&gt;50,"Over 50")</f>
        <v>Over 50</v>
      </c>
      <c r="C1045" t="s">
        <v>43</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t="str" cm="1">
        <f t="array" ref="AH1045">_xlfn.IFS(Table1[[#This Row],[YearsAtCompany]]&lt;=2,"0-2 years",Table1[[#This Row],[YearsAtCompany]]&lt;=5,"3-5 years",Table1[[#This Row],[YearsAtCompany]]&lt;=10,"6-10 years",Table1[[#This Row],[YearsAtCompany]]&gt;10,"10+ years")</f>
        <v>6-10 years</v>
      </c>
      <c r="AI1045">
        <v>8</v>
      </c>
      <c r="AJ1045">
        <v>8</v>
      </c>
      <c r="AK1045">
        <v>8</v>
      </c>
      <c r="AL1045" t="str" cm="1">
        <f t="array" ref="AL1045">_xlfn.IFS(Table1[[#This Row],[JobSatisfaction]]=1,"Low",Table1[[#This Row],[JobSatisfaction]]=2,"Medium",Table1[[#This Row],[JobSatisfaction]]=3,"High",Table1[[#This Row],[JobSatisfaction]]=4,"Very High")</f>
        <v>Medium</v>
      </c>
      <c r="AM1045">
        <f>IF(Table1[[#This Row],[Attrition]]="Yes",1,0)</f>
        <v>0</v>
      </c>
    </row>
    <row r="1046" spans="1:39" ht="13.8" x14ac:dyDescent="0.25">
      <c r="A1046">
        <v>49</v>
      </c>
      <c r="B1046" t="str" cm="1">
        <f t="array" ref="B1046">_xlfn.IFS(Table1[[#This Row],[Age]]&lt;30,"Under 30",Table1[[#This Row],[Age]]&lt;=40,"30-40",Table1[[#This Row],[Age]]&lt;=50,"41-50",Table1[[#This Row],[Age]]&gt;50,"Over 50")</f>
        <v>41-50</v>
      </c>
      <c r="C1046" t="s">
        <v>43</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t="str" cm="1">
        <f t="array" ref="AH1046">_xlfn.IFS(Table1[[#This Row],[YearsAtCompany]]&lt;=2,"0-2 years",Table1[[#This Row],[YearsAtCompany]]&lt;=5,"3-5 years",Table1[[#This Row],[YearsAtCompany]]&lt;=10,"6-10 years",Table1[[#This Row],[YearsAtCompany]]&gt;10,"10+ years")</f>
        <v>3-5 years</v>
      </c>
      <c r="AI1046">
        <v>2</v>
      </c>
      <c r="AJ1046">
        <v>1</v>
      </c>
      <c r="AK1046">
        <v>2</v>
      </c>
      <c r="AL1046" t="str" cm="1">
        <f t="array" ref="AL1046">_xlfn.IFS(Table1[[#This Row],[JobSatisfaction]]=1,"Low",Table1[[#This Row],[JobSatisfaction]]=2,"Medium",Table1[[#This Row],[JobSatisfaction]]=3,"High",Table1[[#This Row],[JobSatisfaction]]=4,"Very High")</f>
        <v>High</v>
      </c>
      <c r="AM1046">
        <f>IF(Table1[[#This Row],[Attrition]]="Yes",1,0)</f>
        <v>0</v>
      </c>
    </row>
    <row r="1047" spans="1:39" ht="13.8" x14ac:dyDescent="0.25">
      <c r="A1047">
        <v>40</v>
      </c>
      <c r="B1047" t="str" cm="1">
        <f t="array" ref="B1047">_xlfn.IFS(Table1[[#This Row],[Age]]&lt;30,"Under 30",Table1[[#This Row],[Age]]&lt;=40,"30-40",Table1[[#This Row],[Age]]&lt;=50,"41-50",Table1[[#This Row],[Age]]&gt;50,"Over 50")</f>
        <v>30-40</v>
      </c>
      <c r="C1047" t="s">
        <v>43</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t="str" cm="1">
        <f t="array" ref="AH1047">_xlfn.IFS(Table1[[#This Row],[YearsAtCompany]]&lt;=2,"0-2 years",Table1[[#This Row],[YearsAtCompany]]&lt;=5,"3-5 years",Table1[[#This Row],[YearsAtCompany]]&lt;=10,"6-10 years",Table1[[#This Row],[YearsAtCompany]]&gt;10,"10+ years")</f>
        <v>3-5 years</v>
      </c>
      <c r="AI1047">
        <v>1</v>
      </c>
      <c r="AJ1047">
        <v>1</v>
      </c>
      <c r="AK1047">
        <v>2</v>
      </c>
      <c r="AL1047" t="str" cm="1">
        <f t="array" ref="AL1047">_xlfn.IFS(Table1[[#This Row],[JobSatisfaction]]=1,"Low",Table1[[#This Row],[JobSatisfaction]]=2,"Medium",Table1[[#This Row],[JobSatisfaction]]=3,"High",Table1[[#This Row],[JobSatisfaction]]=4,"Very High")</f>
        <v>High</v>
      </c>
      <c r="AM1047">
        <f>IF(Table1[[#This Row],[Attrition]]="Yes",1,0)</f>
        <v>0</v>
      </c>
    </row>
    <row r="1048" spans="1:39" ht="13.8" x14ac:dyDescent="0.25">
      <c r="A1048">
        <v>44</v>
      </c>
      <c r="B1048" t="str" cm="1">
        <f t="array" ref="B1048">_xlfn.IFS(Table1[[#This Row],[Age]]&lt;30,"Under 30",Table1[[#This Row],[Age]]&lt;=40,"30-40",Table1[[#This Row],[Age]]&lt;=50,"41-50",Table1[[#This Row],[Age]]&gt;50,"Over 50")</f>
        <v>41-50</v>
      </c>
      <c r="C1048" t="s">
        <v>43</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t="str" cm="1">
        <f t="array" ref="AH1048">_xlfn.IFS(Table1[[#This Row],[YearsAtCompany]]&lt;=2,"0-2 years",Table1[[#This Row],[YearsAtCompany]]&lt;=5,"3-5 years",Table1[[#This Row],[YearsAtCompany]]&lt;=10,"6-10 years",Table1[[#This Row],[YearsAtCompany]]&gt;10,"10+ years")</f>
        <v>3-5 years</v>
      </c>
      <c r="AI1048">
        <v>2</v>
      </c>
      <c r="AJ1048">
        <v>1</v>
      </c>
      <c r="AK1048">
        <v>3</v>
      </c>
      <c r="AL1048" t="str" cm="1">
        <f t="array" ref="AL1048">_xlfn.IFS(Table1[[#This Row],[JobSatisfaction]]=1,"Low",Table1[[#This Row],[JobSatisfaction]]=2,"Medium",Table1[[#This Row],[JobSatisfaction]]=3,"High",Table1[[#This Row],[JobSatisfaction]]=4,"Very High")</f>
        <v>Medium</v>
      </c>
      <c r="AM1048">
        <f>IF(Table1[[#This Row],[Attrition]]="Yes",1,0)</f>
        <v>0</v>
      </c>
    </row>
    <row r="1049" spans="1:39" ht="13.8" x14ac:dyDescent="0.25">
      <c r="A1049">
        <v>33</v>
      </c>
      <c r="B1049" t="str" cm="1">
        <f t="array" ref="B1049">_xlfn.IFS(Table1[[#This Row],[Age]]&lt;30,"Under 30",Table1[[#This Row],[Age]]&lt;=40,"30-40",Table1[[#This Row],[Age]]&lt;=50,"41-50",Table1[[#This Row],[Age]]&gt;50,"Over 50")</f>
        <v>30-40</v>
      </c>
      <c r="C1049" t="s">
        <v>43</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t="str" cm="1">
        <f t="array" ref="AH1049">_xlfn.IFS(Table1[[#This Row],[YearsAtCompany]]&lt;=2,"0-2 years",Table1[[#This Row],[YearsAtCompany]]&lt;=5,"3-5 years",Table1[[#This Row],[YearsAtCompany]]&lt;=10,"6-10 years",Table1[[#This Row],[YearsAtCompany]]&gt;10,"10+ years")</f>
        <v>3-5 years</v>
      </c>
      <c r="AI1049">
        <v>3</v>
      </c>
      <c r="AJ1049">
        <v>0</v>
      </c>
      <c r="AK1049">
        <v>3</v>
      </c>
      <c r="AL1049" t="str" cm="1">
        <f t="array" ref="AL1049">_xlfn.IFS(Table1[[#This Row],[JobSatisfaction]]=1,"Low",Table1[[#This Row],[JobSatisfaction]]=2,"Medium",Table1[[#This Row],[JobSatisfaction]]=3,"High",Table1[[#This Row],[JobSatisfaction]]=4,"Very High")</f>
        <v>Low</v>
      </c>
      <c r="AM1049">
        <f>IF(Table1[[#This Row],[Attrition]]="Yes",1,0)</f>
        <v>0</v>
      </c>
    </row>
    <row r="1050" spans="1:39" ht="13.8" x14ac:dyDescent="0.25">
      <c r="A1050">
        <v>34</v>
      </c>
      <c r="B1050" t="str" cm="1">
        <f t="array" ref="B1050">_xlfn.IFS(Table1[[#This Row],[Age]]&lt;30,"Under 30",Table1[[#This Row],[Age]]&lt;=40,"30-40",Table1[[#This Row],[Age]]&lt;=50,"41-50",Table1[[#This Row],[Age]]&gt;50,"Over 50")</f>
        <v>30-40</v>
      </c>
      <c r="C1050" t="s">
        <v>43</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t="str" cm="1">
        <f t="array" ref="AH1050">_xlfn.IFS(Table1[[#This Row],[YearsAtCompany]]&lt;=2,"0-2 years",Table1[[#This Row],[YearsAtCompany]]&lt;=5,"3-5 years",Table1[[#This Row],[YearsAtCompany]]&lt;=10,"6-10 years",Table1[[#This Row],[YearsAtCompany]]&gt;10,"10+ years")</f>
        <v>10+ years</v>
      </c>
      <c r="AI1050">
        <v>9</v>
      </c>
      <c r="AJ1050">
        <v>3</v>
      </c>
      <c r="AK1050">
        <v>12</v>
      </c>
      <c r="AL1050" t="str" cm="1">
        <f t="array" ref="AL1050">_xlfn.IFS(Table1[[#This Row],[JobSatisfaction]]=1,"Low",Table1[[#This Row],[JobSatisfaction]]=2,"Medium",Table1[[#This Row],[JobSatisfaction]]=3,"High",Table1[[#This Row],[JobSatisfaction]]=4,"Very High")</f>
        <v>Low</v>
      </c>
      <c r="AM1050">
        <f>IF(Table1[[#This Row],[Attrition]]="Yes",1,0)</f>
        <v>0</v>
      </c>
    </row>
    <row r="1051" spans="1:39" ht="13.8" x14ac:dyDescent="0.25">
      <c r="A1051">
        <v>30</v>
      </c>
      <c r="B1051" t="str" cm="1">
        <f t="array" ref="B1051">_xlfn.IFS(Table1[[#This Row],[Age]]&lt;30,"Under 30",Table1[[#This Row],[Age]]&lt;=40,"30-40",Table1[[#This Row],[Age]]&lt;=50,"41-50",Table1[[#This Row],[Age]]&gt;50,"Over 50")</f>
        <v>30-40</v>
      </c>
      <c r="C1051" t="s">
        <v>43</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t="str" cm="1">
        <f t="array" ref="AH1051">_xlfn.IFS(Table1[[#This Row],[YearsAtCompany]]&lt;=2,"0-2 years",Table1[[#This Row],[YearsAtCompany]]&lt;=5,"3-5 years",Table1[[#This Row],[YearsAtCompany]]&lt;=10,"6-10 years",Table1[[#This Row],[YearsAtCompany]]&gt;10,"10+ years")</f>
        <v>0-2 years</v>
      </c>
      <c r="AI1051">
        <v>1</v>
      </c>
      <c r="AJ1051">
        <v>2</v>
      </c>
      <c r="AK1051">
        <v>2</v>
      </c>
      <c r="AL1051" t="str" cm="1">
        <f t="array" ref="AL1051">_xlfn.IFS(Table1[[#This Row],[JobSatisfaction]]=1,"Low",Table1[[#This Row],[JobSatisfaction]]=2,"Medium",Table1[[#This Row],[JobSatisfaction]]=3,"High",Table1[[#This Row],[JobSatisfaction]]=4,"Very High")</f>
        <v>High</v>
      </c>
      <c r="AM1051">
        <f>IF(Table1[[#This Row],[Attrition]]="Yes",1,0)</f>
        <v>0</v>
      </c>
    </row>
    <row r="1052" spans="1:39" ht="13.8" x14ac:dyDescent="0.25">
      <c r="A1052">
        <v>42</v>
      </c>
      <c r="B1052" t="str" cm="1">
        <f t="array" ref="B1052">_xlfn.IFS(Table1[[#This Row],[Age]]&lt;30,"Under 30",Table1[[#This Row],[Age]]&lt;=40,"30-40",Table1[[#This Row],[Age]]&lt;=50,"41-50",Table1[[#This Row],[Age]]&gt;50,"Over 50")</f>
        <v>41-50</v>
      </c>
      <c r="C1052" t="s">
        <v>43</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t="str" cm="1">
        <f t="array" ref="AH1052">_xlfn.IFS(Table1[[#This Row],[YearsAtCompany]]&lt;=2,"0-2 years",Table1[[#This Row],[YearsAtCompany]]&lt;=5,"3-5 years",Table1[[#This Row],[YearsAtCompany]]&lt;=10,"6-10 years",Table1[[#This Row],[YearsAtCompany]]&gt;10,"10+ years")</f>
        <v>10+ years</v>
      </c>
      <c r="AI1052">
        <v>9</v>
      </c>
      <c r="AJ1052">
        <v>5</v>
      </c>
      <c r="AK1052">
        <v>8</v>
      </c>
      <c r="AL1052" t="str" cm="1">
        <f t="array" ref="AL1052">_xlfn.IFS(Table1[[#This Row],[JobSatisfaction]]=1,"Low",Table1[[#This Row],[JobSatisfaction]]=2,"Medium",Table1[[#This Row],[JobSatisfaction]]=3,"High",Table1[[#This Row],[JobSatisfaction]]=4,"Very High")</f>
        <v>Very High</v>
      </c>
      <c r="AM1052">
        <f>IF(Table1[[#This Row],[Attrition]]="Yes",1,0)</f>
        <v>0</v>
      </c>
    </row>
    <row r="1053" spans="1:39" ht="13.8" x14ac:dyDescent="0.25">
      <c r="A1053">
        <v>44</v>
      </c>
      <c r="B1053" t="str" cm="1">
        <f t="array" ref="B1053">_xlfn.IFS(Table1[[#This Row],[Age]]&lt;30,"Under 30",Table1[[#This Row],[Age]]&lt;=40,"30-40",Table1[[#This Row],[Age]]&lt;=50,"41-50",Table1[[#This Row],[Age]]&gt;50,"Over 50")</f>
        <v>41-50</v>
      </c>
      <c r="C1053" t="s">
        <v>43</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t="str" cm="1">
        <f t="array" ref="AH1053">_xlfn.IFS(Table1[[#This Row],[YearsAtCompany]]&lt;=2,"0-2 years",Table1[[#This Row],[YearsAtCompany]]&lt;=5,"3-5 years",Table1[[#This Row],[YearsAtCompany]]&lt;=10,"6-10 years",Table1[[#This Row],[YearsAtCompany]]&gt;10,"10+ years")</f>
        <v>0-2 years</v>
      </c>
      <c r="AI1053">
        <v>0</v>
      </c>
      <c r="AJ1053">
        <v>0</v>
      </c>
      <c r="AK1053">
        <v>0</v>
      </c>
      <c r="AL1053" t="str" cm="1">
        <f t="array" ref="AL1053">_xlfn.IFS(Table1[[#This Row],[JobSatisfaction]]=1,"Low",Table1[[#This Row],[JobSatisfaction]]=2,"Medium",Table1[[#This Row],[JobSatisfaction]]=3,"High",Table1[[#This Row],[JobSatisfaction]]=4,"Very High")</f>
        <v>High</v>
      </c>
      <c r="AM1053">
        <f>IF(Table1[[#This Row],[Attrition]]="Yes",1,0)</f>
        <v>0</v>
      </c>
    </row>
    <row r="1054" spans="1:39" ht="13.8" x14ac:dyDescent="0.25">
      <c r="A1054">
        <v>30</v>
      </c>
      <c r="B1054" t="str" cm="1">
        <f t="array" ref="B1054">_xlfn.IFS(Table1[[#This Row],[Age]]&lt;30,"Under 30",Table1[[#This Row],[Age]]&lt;=40,"30-40",Table1[[#This Row],[Age]]&lt;=50,"41-50",Table1[[#This Row],[Age]]&gt;50,"Over 50")</f>
        <v>30-40</v>
      </c>
      <c r="C1054" t="s">
        <v>43</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t="str" cm="1">
        <f t="array" ref="AH1054">_xlfn.IFS(Table1[[#This Row],[YearsAtCompany]]&lt;=2,"0-2 years",Table1[[#This Row],[YearsAtCompany]]&lt;=5,"3-5 years",Table1[[#This Row],[YearsAtCompany]]&lt;=10,"6-10 years",Table1[[#This Row],[YearsAtCompany]]&gt;10,"10+ years")</f>
        <v>0-2 years</v>
      </c>
      <c r="AI1054">
        <v>0</v>
      </c>
      <c r="AJ1054">
        <v>0</v>
      </c>
      <c r="AK1054">
        <v>0</v>
      </c>
      <c r="AL1054" t="str" cm="1">
        <f t="array" ref="AL1054">_xlfn.IFS(Table1[[#This Row],[JobSatisfaction]]=1,"Low",Table1[[#This Row],[JobSatisfaction]]=2,"Medium",Table1[[#This Row],[JobSatisfaction]]=3,"High",Table1[[#This Row],[JobSatisfaction]]=4,"Very High")</f>
        <v>High</v>
      </c>
      <c r="AM1054">
        <f>IF(Table1[[#This Row],[Attrition]]="Yes",1,0)</f>
        <v>0</v>
      </c>
    </row>
    <row r="1055" spans="1:39" ht="13.8" x14ac:dyDescent="0.25">
      <c r="A1055">
        <v>57</v>
      </c>
      <c r="B1055" t="str" cm="1">
        <f t="array" ref="B1055">_xlfn.IFS(Table1[[#This Row],[Age]]&lt;30,"Under 30",Table1[[#This Row],[Age]]&lt;=40,"30-40",Table1[[#This Row],[Age]]&lt;=50,"41-50",Table1[[#This Row],[Age]]&gt;50,"Over 50")</f>
        <v>Over 50</v>
      </c>
      <c r="C1055" t="s">
        <v>43</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t="str" cm="1">
        <f t="array" ref="AH1055">_xlfn.IFS(Table1[[#This Row],[YearsAtCompany]]&lt;=2,"0-2 years",Table1[[#This Row],[YearsAtCompany]]&lt;=5,"3-5 years",Table1[[#This Row],[YearsAtCompany]]&lt;=10,"6-10 years",Table1[[#This Row],[YearsAtCompany]]&gt;10,"10+ years")</f>
        <v>10+ years</v>
      </c>
      <c r="AI1055">
        <v>9</v>
      </c>
      <c r="AJ1055">
        <v>2</v>
      </c>
      <c r="AK1055">
        <v>8</v>
      </c>
      <c r="AL1055" t="str" cm="1">
        <f t="array" ref="AL1055">_xlfn.IFS(Table1[[#This Row],[JobSatisfaction]]=1,"Low",Table1[[#This Row],[JobSatisfaction]]=2,"Medium",Table1[[#This Row],[JobSatisfaction]]=3,"High",Table1[[#This Row],[JobSatisfaction]]=4,"Very High")</f>
        <v>High</v>
      </c>
      <c r="AM1055">
        <f>IF(Table1[[#This Row],[Attrition]]="Yes",1,0)</f>
        <v>0</v>
      </c>
    </row>
    <row r="1056" spans="1:39" ht="13.8" x14ac:dyDescent="0.25">
      <c r="A1056">
        <v>49</v>
      </c>
      <c r="B1056" t="str" cm="1">
        <f t="array" ref="B1056">_xlfn.IFS(Table1[[#This Row],[Age]]&lt;30,"Under 30",Table1[[#This Row],[Age]]&lt;=40,"30-40",Table1[[#This Row],[Age]]&lt;=50,"41-50",Table1[[#This Row],[Age]]&gt;50,"Over 50")</f>
        <v>41-50</v>
      </c>
      <c r="C1056" t="s">
        <v>43</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t="str" cm="1">
        <f t="array" ref="AH1056">_xlfn.IFS(Table1[[#This Row],[YearsAtCompany]]&lt;=2,"0-2 years",Table1[[#This Row],[YearsAtCompany]]&lt;=5,"3-5 years",Table1[[#This Row],[YearsAtCompany]]&lt;=10,"6-10 years",Table1[[#This Row],[YearsAtCompany]]&gt;10,"10+ years")</f>
        <v>6-10 years</v>
      </c>
      <c r="AI1056">
        <v>7</v>
      </c>
      <c r="AJ1056">
        <v>0</v>
      </c>
      <c r="AK1056">
        <v>7</v>
      </c>
      <c r="AL1056" t="str" cm="1">
        <f t="array" ref="AL1056">_xlfn.IFS(Table1[[#This Row],[JobSatisfaction]]=1,"Low",Table1[[#This Row],[JobSatisfaction]]=2,"Medium",Table1[[#This Row],[JobSatisfaction]]=3,"High",Table1[[#This Row],[JobSatisfaction]]=4,"Very High")</f>
        <v>Medium</v>
      </c>
      <c r="AM1056">
        <f>IF(Table1[[#This Row],[Attrition]]="Yes",1,0)</f>
        <v>0</v>
      </c>
    </row>
    <row r="1057" spans="1:39" ht="13.8" x14ac:dyDescent="0.25">
      <c r="A1057">
        <v>34</v>
      </c>
      <c r="B1057" t="str" cm="1">
        <f t="array" ref="B1057">_xlfn.IFS(Table1[[#This Row],[Age]]&lt;30,"Under 30",Table1[[#This Row],[Age]]&lt;=40,"30-40",Table1[[#This Row],[Age]]&lt;=50,"41-50",Table1[[#This Row],[Age]]&gt;50,"Over 50")</f>
        <v>30-40</v>
      </c>
      <c r="C1057" t="s">
        <v>43</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t="str" cm="1">
        <f t="array" ref="AH1057">_xlfn.IFS(Table1[[#This Row],[YearsAtCompany]]&lt;=2,"0-2 years",Table1[[#This Row],[YearsAtCompany]]&lt;=5,"3-5 years",Table1[[#This Row],[YearsAtCompany]]&lt;=10,"6-10 years",Table1[[#This Row],[YearsAtCompany]]&gt;10,"10+ years")</f>
        <v>10+ years</v>
      </c>
      <c r="AI1057">
        <v>8</v>
      </c>
      <c r="AJ1057">
        <v>6</v>
      </c>
      <c r="AK1057">
        <v>9</v>
      </c>
      <c r="AL1057" t="str" cm="1">
        <f t="array" ref="AL1057">_xlfn.IFS(Table1[[#This Row],[JobSatisfaction]]=1,"Low",Table1[[#This Row],[JobSatisfaction]]=2,"Medium",Table1[[#This Row],[JobSatisfaction]]=3,"High",Table1[[#This Row],[JobSatisfaction]]=4,"Very High")</f>
        <v>Low</v>
      </c>
      <c r="AM1057">
        <f>IF(Table1[[#This Row],[Attrition]]="Yes",1,0)</f>
        <v>0</v>
      </c>
    </row>
    <row r="1058" spans="1:39" ht="13.8" x14ac:dyDescent="0.25">
      <c r="A1058">
        <v>28</v>
      </c>
      <c r="B1058" t="str" cm="1">
        <f t="array" ref="B1058">_xlfn.IFS(Table1[[#This Row],[Age]]&lt;30,"Under 30",Table1[[#This Row],[Age]]&lt;=40,"30-40",Table1[[#This Row],[Age]]&lt;=50,"41-50",Table1[[#This Row],[Age]]&gt;50,"Over 50")</f>
        <v>Under 30</v>
      </c>
      <c r="C1058" t="s">
        <v>35</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t="str" cm="1">
        <f t="array" ref="AH1058">_xlfn.IFS(Table1[[#This Row],[YearsAtCompany]]&lt;=2,"0-2 years",Table1[[#This Row],[YearsAtCompany]]&lt;=5,"3-5 years",Table1[[#This Row],[YearsAtCompany]]&lt;=10,"6-10 years",Table1[[#This Row],[YearsAtCompany]]&gt;10,"10+ years")</f>
        <v>3-5 years</v>
      </c>
      <c r="AI1058">
        <v>2</v>
      </c>
      <c r="AJ1058">
        <v>1</v>
      </c>
      <c r="AK1058">
        <v>2</v>
      </c>
      <c r="AL1058" t="str" cm="1">
        <f t="array" ref="AL1058">_xlfn.IFS(Table1[[#This Row],[JobSatisfaction]]=1,"Low",Table1[[#This Row],[JobSatisfaction]]=2,"Medium",Table1[[#This Row],[JobSatisfaction]]=3,"High",Table1[[#This Row],[JobSatisfaction]]=4,"Very High")</f>
        <v>High</v>
      </c>
      <c r="AM1058">
        <f>IF(Table1[[#This Row],[Attrition]]="Yes",1,0)</f>
        <v>1</v>
      </c>
    </row>
    <row r="1059" spans="1:39" ht="13.8" x14ac:dyDescent="0.25">
      <c r="A1059">
        <v>29</v>
      </c>
      <c r="B1059" t="str" cm="1">
        <f t="array" ref="B1059">_xlfn.IFS(Table1[[#This Row],[Age]]&lt;30,"Under 30",Table1[[#This Row],[Age]]&lt;=40,"30-40",Table1[[#This Row],[Age]]&lt;=50,"41-50",Table1[[#This Row],[Age]]&gt;50,"Over 50")</f>
        <v>Under 30</v>
      </c>
      <c r="C1059" t="s">
        <v>35</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t="str" cm="1">
        <f t="array" ref="AH1059">_xlfn.IFS(Table1[[#This Row],[YearsAtCompany]]&lt;=2,"0-2 years",Table1[[#This Row],[YearsAtCompany]]&lt;=5,"3-5 years",Table1[[#This Row],[YearsAtCompany]]&lt;=10,"6-10 years",Table1[[#This Row],[YearsAtCompany]]&gt;10,"10+ years")</f>
        <v>3-5 years</v>
      </c>
      <c r="AI1059">
        <v>3</v>
      </c>
      <c r="AJ1059">
        <v>0</v>
      </c>
      <c r="AK1059">
        <v>0</v>
      </c>
      <c r="AL1059" t="str" cm="1">
        <f t="array" ref="AL1059">_xlfn.IFS(Table1[[#This Row],[JobSatisfaction]]=1,"Low",Table1[[#This Row],[JobSatisfaction]]=2,"Medium",Table1[[#This Row],[JobSatisfaction]]=3,"High",Table1[[#This Row],[JobSatisfaction]]=4,"Very High")</f>
        <v>Medium</v>
      </c>
      <c r="AM1059">
        <f>IF(Table1[[#This Row],[Attrition]]="Yes",1,0)</f>
        <v>1</v>
      </c>
    </row>
    <row r="1060" spans="1:39" ht="13.8" x14ac:dyDescent="0.25">
      <c r="A1060">
        <v>34</v>
      </c>
      <c r="B1060" t="str" cm="1">
        <f t="array" ref="B1060">_xlfn.IFS(Table1[[#This Row],[Age]]&lt;30,"Under 30",Table1[[#This Row],[Age]]&lt;=40,"30-40",Table1[[#This Row],[Age]]&lt;=50,"41-50",Table1[[#This Row],[Age]]&gt;50,"Over 50")</f>
        <v>30-40</v>
      </c>
      <c r="C1060" t="s">
        <v>35</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t="str" cm="1">
        <f t="array" ref="AH1060">_xlfn.IFS(Table1[[#This Row],[YearsAtCompany]]&lt;=2,"0-2 years",Table1[[#This Row],[YearsAtCompany]]&lt;=5,"3-5 years",Table1[[#This Row],[YearsAtCompany]]&lt;=10,"6-10 years",Table1[[#This Row],[YearsAtCompany]]&gt;10,"10+ years")</f>
        <v>10+ years</v>
      </c>
      <c r="AI1060">
        <v>9</v>
      </c>
      <c r="AJ1060">
        <v>10</v>
      </c>
      <c r="AK1060">
        <v>10</v>
      </c>
      <c r="AL1060" t="str" cm="1">
        <f t="array" ref="AL1060">_xlfn.IFS(Table1[[#This Row],[JobSatisfaction]]=1,"Low",Table1[[#This Row],[JobSatisfaction]]=2,"Medium",Table1[[#This Row],[JobSatisfaction]]=3,"High",Table1[[#This Row],[JobSatisfaction]]=4,"Very High")</f>
        <v>Medium</v>
      </c>
      <c r="AM1060">
        <f>IF(Table1[[#This Row],[Attrition]]="Yes",1,0)</f>
        <v>1</v>
      </c>
    </row>
    <row r="1061" spans="1:39" ht="13.8" x14ac:dyDescent="0.25">
      <c r="A1061">
        <v>35</v>
      </c>
      <c r="B1061" t="str" cm="1">
        <f t="array" ref="B1061">_xlfn.IFS(Table1[[#This Row],[Age]]&lt;30,"Under 30",Table1[[#This Row],[Age]]&lt;=40,"30-40",Table1[[#This Row],[Age]]&lt;=50,"41-50",Table1[[#This Row],[Age]]&gt;50,"Over 50")</f>
        <v>30-40</v>
      </c>
      <c r="C1061" t="s">
        <v>43</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t="str" cm="1">
        <f t="array" ref="AH1061">_xlfn.IFS(Table1[[#This Row],[YearsAtCompany]]&lt;=2,"0-2 years",Table1[[#This Row],[YearsAtCompany]]&lt;=5,"3-5 years",Table1[[#This Row],[YearsAtCompany]]&lt;=10,"6-10 years",Table1[[#This Row],[YearsAtCompany]]&gt;10,"10+ years")</f>
        <v>0-2 years</v>
      </c>
      <c r="AI1061">
        <v>0</v>
      </c>
      <c r="AJ1061">
        <v>0</v>
      </c>
      <c r="AK1061">
        <v>0</v>
      </c>
      <c r="AL1061" t="str" cm="1">
        <f t="array" ref="AL1061">_xlfn.IFS(Table1[[#This Row],[JobSatisfaction]]=1,"Low",Table1[[#This Row],[JobSatisfaction]]=2,"Medium",Table1[[#This Row],[JobSatisfaction]]=3,"High",Table1[[#This Row],[JobSatisfaction]]=4,"Very High")</f>
        <v>High</v>
      </c>
      <c r="AM1061">
        <f>IF(Table1[[#This Row],[Attrition]]="Yes",1,0)</f>
        <v>0</v>
      </c>
    </row>
    <row r="1062" spans="1:39" ht="13.8" x14ac:dyDescent="0.25">
      <c r="A1062">
        <v>24</v>
      </c>
      <c r="B1062" t="str" cm="1">
        <f t="array" ref="B1062">_xlfn.IFS(Table1[[#This Row],[Age]]&lt;30,"Under 30",Table1[[#This Row],[Age]]&lt;=40,"30-40",Table1[[#This Row],[Age]]&lt;=50,"41-50",Table1[[#This Row],[Age]]&gt;50,"Over 50")</f>
        <v>Under 30</v>
      </c>
      <c r="C1062" t="s">
        <v>35</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t="str" cm="1">
        <f t="array" ref="AH1062">_xlfn.IFS(Table1[[#This Row],[YearsAtCompany]]&lt;=2,"0-2 years",Table1[[#This Row],[YearsAtCompany]]&lt;=5,"3-5 years",Table1[[#This Row],[YearsAtCompany]]&lt;=10,"6-10 years",Table1[[#This Row],[YearsAtCompany]]&gt;10,"10+ years")</f>
        <v>0-2 years</v>
      </c>
      <c r="AI1062">
        <v>0</v>
      </c>
      <c r="AJ1062">
        <v>0</v>
      </c>
      <c r="AK1062">
        <v>0</v>
      </c>
      <c r="AL1062" t="str" cm="1">
        <f t="array" ref="AL1062">_xlfn.IFS(Table1[[#This Row],[JobSatisfaction]]=1,"Low",Table1[[#This Row],[JobSatisfaction]]=2,"Medium",Table1[[#This Row],[JobSatisfaction]]=3,"High",Table1[[#This Row],[JobSatisfaction]]=4,"Very High")</f>
        <v>Low</v>
      </c>
      <c r="AM1062">
        <f>IF(Table1[[#This Row],[Attrition]]="Yes",1,0)</f>
        <v>1</v>
      </c>
    </row>
    <row r="1063" spans="1:39" ht="13.8" x14ac:dyDescent="0.25">
      <c r="A1063">
        <v>24</v>
      </c>
      <c r="B1063" t="str" cm="1">
        <f t="array" ref="B1063">_xlfn.IFS(Table1[[#This Row],[Age]]&lt;30,"Under 30",Table1[[#This Row],[Age]]&lt;=40,"30-40",Table1[[#This Row],[Age]]&lt;=50,"41-50",Table1[[#This Row],[Age]]&gt;50,"Over 50")</f>
        <v>Under 30</v>
      </c>
      <c r="C1063" t="s">
        <v>43</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t="str" cm="1">
        <f t="array" ref="AH1063">_xlfn.IFS(Table1[[#This Row],[YearsAtCompany]]&lt;=2,"0-2 years",Table1[[#This Row],[YearsAtCompany]]&lt;=5,"3-5 years",Table1[[#This Row],[YearsAtCompany]]&lt;=10,"6-10 years",Table1[[#This Row],[YearsAtCompany]]&gt;10,"10+ years")</f>
        <v>0-2 years</v>
      </c>
      <c r="AI1063">
        <v>0</v>
      </c>
      <c r="AJ1063">
        <v>0</v>
      </c>
      <c r="AK1063">
        <v>0</v>
      </c>
      <c r="AL1063" t="str" cm="1">
        <f t="array" ref="AL1063">_xlfn.IFS(Table1[[#This Row],[JobSatisfaction]]=1,"Low",Table1[[#This Row],[JobSatisfaction]]=2,"Medium",Table1[[#This Row],[JobSatisfaction]]=3,"High",Table1[[#This Row],[JobSatisfaction]]=4,"Very High")</f>
        <v>Medium</v>
      </c>
      <c r="AM1063">
        <f>IF(Table1[[#This Row],[Attrition]]="Yes",1,0)</f>
        <v>0</v>
      </c>
    </row>
    <row r="1064" spans="1:39" ht="13.8" x14ac:dyDescent="0.25">
      <c r="A1064">
        <v>44</v>
      </c>
      <c r="B1064" t="str" cm="1">
        <f t="array" ref="B1064">_xlfn.IFS(Table1[[#This Row],[Age]]&lt;30,"Under 30",Table1[[#This Row],[Age]]&lt;=40,"30-40",Table1[[#This Row],[Age]]&lt;=50,"41-50",Table1[[#This Row],[Age]]&gt;50,"Over 50")</f>
        <v>41-50</v>
      </c>
      <c r="C1064" t="s">
        <v>43</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t="str" cm="1">
        <f t="array" ref="AH1064">_xlfn.IFS(Table1[[#This Row],[YearsAtCompany]]&lt;=2,"0-2 years",Table1[[#This Row],[YearsAtCompany]]&lt;=5,"3-5 years",Table1[[#This Row],[YearsAtCompany]]&lt;=10,"6-10 years",Table1[[#This Row],[YearsAtCompany]]&gt;10,"10+ years")</f>
        <v>0-2 years</v>
      </c>
      <c r="AI1064">
        <v>2</v>
      </c>
      <c r="AJ1064">
        <v>2</v>
      </c>
      <c r="AK1064">
        <v>2</v>
      </c>
      <c r="AL1064" t="str" cm="1">
        <f t="array" ref="AL1064">_xlfn.IFS(Table1[[#This Row],[JobSatisfaction]]=1,"Low",Table1[[#This Row],[JobSatisfaction]]=2,"Medium",Table1[[#This Row],[JobSatisfaction]]=3,"High",Table1[[#This Row],[JobSatisfaction]]=4,"Very High")</f>
        <v>High</v>
      </c>
      <c r="AM1064">
        <f>IF(Table1[[#This Row],[Attrition]]="Yes",1,0)</f>
        <v>0</v>
      </c>
    </row>
    <row r="1065" spans="1:39" ht="13.8" x14ac:dyDescent="0.25">
      <c r="A1065">
        <v>29</v>
      </c>
      <c r="B1065" t="str" cm="1">
        <f t="array" ref="B1065">_xlfn.IFS(Table1[[#This Row],[Age]]&lt;30,"Under 30",Table1[[#This Row],[Age]]&lt;=40,"30-40",Table1[[#This Row],[Age]]&lt;=50,"41-50",Table1[[#This Row],[Age]]&gt;50,"Over 50")</f>
        <v>Under 30</v>
      </c>
      <c r="C1065" t="s">
        <v>43</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t="str" cm="1">
        <f t="array" ref="AH1065">_xlfn.IFS(Table1[[#This Row],[YearsAtCompany]]&lt;=2,"0-2 years",Table1[[#This Row],[YearsAtCompany]]&lt;=5,"3-5 years",Table1[[#This Row],[YearsAtCompany]]&lt;=10,"6-10 years",Table1[[#This Row],[YearsAtCompany]]&gt;10,"10+ years")</f>
        <v>6-10 years</v>
      </c>
      <c r="AI1065">
        <v>7</v>
      </c>
      <c r="AJ1065">
        <v>0</v>
      </c>
      <c r="AK1065">
        <v>4</v>
      </c>
      <c r="AL1065" t="str" cm="1">
        <f t="array" ref="AL1065">_xlfn.IFS(Table1[[#This Row],[JobSatisfaction]]=1,"Low",Table1[[#This Row],[JobSatisfaction]]=2,"Medium",Table1[[#This Row],[JobSatisfaction]]=3,"High",Table1[[#This Row],[JobSatisfaction]]=4,"Very High")</f>
        <v>High</v>
      </c>
      <c r="AM1065">
        <f>IF(Table1[[#This Row],[Attrition]]="Yes",1,0)</f>
        <v>0</v>
      </c>
    </row>
    <row r="1066" spans="1:39" ht="13.8" x14ac:dyDescent="0.25">
      <c r="A1066">
        <v>30</v>
      </c>
      <c r="B1066" t="str" cm="1">
        <f t="array" ref="B1066">_xlfn.IFS(Table1[[#This Row],[Age]]&lt;30,"Under 30",Table1[[#This Row],[Age]]&lt;=40,"30-40",Table1[[#This Row],[Age]]&lt;=50,"41-50",Table1[[#This Row],[Age]]&gt;50,"Over 50")</f>
        <v>30-40</v>
      </c>
      <c r="C1066" t="s">
        <v>43</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t="str" cm="1">
        <f t="array" ref="AH1066">_xlfn.IFS(Table1[[#This Row],[YearsAtCompany]]&lt;=2,"0-2 years",Table1[[#This Row],[YearsAtCompany]]&lt;=5,"3-5 years",Table1[[#This Row],[YearsAtCompany]]&lt;=10,"6-10 years",Table1[[#This Row],[YearsAtCompany]]&gt;10,"10+ years")</f>
        <v>3-5 years</v>
      </c>
      <c r="AI1066">
        <v>3</v>
      </c>
      <c r="AJ1066">
        <v>1</v>
      </c>
      <c r="AK1066">
        <v>3</v>
      </c>
      <c r="AL1066" t="str" cm="1">
        <f t="array" ref="AL1066">_xlfn.IFS(Table1[[#This Row],[JobSatisfaction]]=1,"Low",Table1[[#This Row],[JobSatisfaction]]=2,"Medium",Table1[[#This Row],[JobSatisfaction]]=3,"High",Table1[[#This Row],[JobSatisfaction]]=4,"Very High")</f>
        <v>High</v>
      </c>
      <c r="AM1066">
        <f>IF(Table1[[#This Row],[Attrition]]="Yes",1,0)</f>
        <v>0</v>
      </c>
    </row>
    <row r="1067" spans="1:39" ht="13.8" x14ac:dyDescent="0.25">
      <c r="A1067">
        <v>55</v>
      </c>
      <c r="B1067" t="str" cm="1">
        <f t="array" ref="B1067">_xlfn.IFS(Table1[[#This Row],[Age]]&lt;30,"Under 30",Table1[[#This Row],[Age]]&lt;=40,"30-40",Table1[[#This Row],[Age]]&lt;=50,"41-50",Table1[[#This Row],[Age]]&gt;50,"Over 50")</f>
        <v>Over 50</v>
      </c>
      <c r="C1067" t="s">
        <v>43</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t="str" cm="1">
        <f t="array" ref="AH1067">_xlfn.IFS(Table1[[#This Row],[YearsAtCompany]]&lt;=2,"0-2 years",Table1[[#This Row],[YearsAtCompany]]&lt;=5,"3-5 years",Table1[[#This Row],[YearsAtCompany]]&lt;=10,"6-10 years",Table1[[#This Row],[YearsAtCompany]]&gt;10,"10+ years")</f>
        <v>3-5 years</v>
      </c>
      <c r="AI1067">
        <v>2</v>
      </c>
      <c r="AJ1067">
        <v>1</v>
      </c>
      <c r="AK1067">
        <v>2</v>
      </c>
      <c r="AL1067" t="str" cm="1">
        <f t="array" ref="AL1067">_xlfn.IFS(Table1[[#This Row],[JobSatisfaction]]=1,"Low",Table1[[#This Row],[JobSatisfaction]]=2,"Medium",Table1[[#This Row],[JobSatisfaction]]=3,"High",Table1[[#This Row],[JobSatisfaction]]=4,"Very High")</f>
        <v>High</v>
      </c>
      <c r="AM1067">
        <f>IF(Table1[[#This Row],[Attrition]]="Yes",1,0)</f>
        <v>0</v>
      </c>
    </row>
    <row r="1068" spans="1:39" ht="13.8" x14ac:dyDescent="0.25">
      <c r="A1068">
        <v>33</v>
      </c>
      <c r="B1068" t="str" cm="1">
        <f t="array" ref="B1068">_xlfn.IFS(Table1[[#This Row],[Age]]&lt;30,"Under 30",Table1[[#This Row],[Age]]&lt;=40,"30-40",Table1[[#This Row],[Age]]&lt;=50,"41-50",Table1[[#This Row],[Age]]&gt;50,"Over 50")</f>
        <v>30-40</v>
      </c>
      <c r="C1068" t="s">
        <v>43</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t="str" cm="1">
        <f t="array" ref="AH1068">_xlfn.IFS(Table1[[#This Row],[YearsAtCompany]]&lt;=2,"0-2 years",Table1[[#This Row],[YearsAtCompany]]&lt;=5,"3-5 years",Table1[[#This Row],[YearsAtCompany]]&lt;=10,"6-10 years",Table1[[#This Row],[YearsAtCompany]]&gt;10,"10+ years")</f>
        <v>3-5 years</v>
      </c>
      <c r="AI1068">
        <v>4</v>
      </c>
      <c r="AJ1068">
        <v>0</v>
      </c>
      <c r="AK1068">
        <v>2</v>
      </c>
      <c r="AL1068" t="str" cm="1">
        <f t="array" ref="AL1068">_xlfn.IFS(Table1[[#This Row],[JobSatisfaction]]=1,"Low",Table1[[#This Row],[JobSatisfaction]]=2,"Medium",Table1[[#This Row],[JobSatisfaction]]=3,"High",Table1[[#This Row],[JobSatisfaction]]=4,"Very High")</f>
        <v>Medium</v>
      </c>
      <c r="AM1068">
        <f>IF(Table1[[#This Row],[Attrition]]="Yes",1,0)</f>
        <v>0</v>
      </c>
    </row>
    <row r="1069" spans="1:39" ht="13.8" x14ac:dyDescent="0.25">
      <c r="A1069">
        <v>47</v>
      </c>
      <c r="B1069" t="str" cm="1">
        <f t="array" ref="B1069">_xlfn.IFS(Table1[[#This Row],[Age]]&lt;30,"Under 30",Table1[[#This Row],[Age]]&lt;=40,"30-40",Table1[[#This Row],[Age]]&lt;=50,"41-50",Table1[[#This Row],[Age]]&gt;50,"Over 50")</f>
        <v>41-50</v>
      </c>
      <c r="C1069" t="s">
        <v>43</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t="str" cm="1">
        <f t="array" ref="AH1069">_xlfn.IFS(Table1[[#This Row],[YearsAtCompany]]&lt;=2,"0-2 years",Table1[[#This Row],[YearsAtCompany]]&lt;=5,"3-5 years",Table1[[#This Row],[YearsAtCompany]]&lt;=10,"6-10 years",Table1[[#This Row],[YearsAtCompany]]&gt;10,"10+ years")</f>
        <v>3-5 years</v>
      </c>
      <c r="AI1069">
        <v>4</v>
      </c>
      <c r="AJ1069">
        <v>1</v>
      </c>
      <c r="AK1069">
        <v>2</v>
      </c>
      <c r="AL1069" t="str" cm="1">
        <f t="array" ref="AL1069">_xlfn.IFS(Table1[[#This Row],[JobSatisfaction]]=1,"Low",Table1[[#This Row],[JobSatisfaction]]=2,"Medium",Table1[[#This Row],[JobSatisfaction]]=3,"High",Table1[[#This Row],[JobSatisfaction]]=4,"Very High")</f>
        <v>High</v>
      </c>
      <c r="AM1069">
        <f>IF(Table1[[#This Row],[Attrition]]="Yes",1,0)</f>
        <v>0</v>
      </c>
    </row>
    <row r="1070" spans="1:39" ht="13.8" x14ac:dyDescent="0.25">
      <c r="A1070">
        <v>28</v>
      </c>
      <c r="B1070" t="str" cm="1">
        <f t="array" ref="B1070">_xlfn.IFS(Table1[[#This Row],[Age]]&lt;30,"Under 30",Table1[[#This Row],[Age]]&lt;=40,"30-40",Table1[[#This Row],[Age]]&lt;=50,"41-50",Table1[[#This Row],[Age]]&gt;50,"Over 50")</f>
        <v>Under 30</v>
      </c>
      <c r="C1070" t="s">
        <v>35</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t="str" cm="1">
        <f t="array" ref="AH1070">_xlfn.IFS(Table1[[#This Row],[YearsAtCompany]]&lt;=2,"0-2 years",Table1[[#This Row],[YearsAtCompany]]&lt;=5,"3-5 years",Table1[[#This Row],[YearsAtCompany]]&lt;=10,"6-10 years",Table1[[#This Row],[YearsAtCompany]]&gt;10,"10+ years")</f>
        <v>0-2 years</v>
      </c>
      <c r="AI1070">
        <v>0</v>
      </c>
      <c r="AJ1070">
        <v>0</v>
      </c>
      <c r="AK1070">
        <v>0</v>
      </c>
      <c r="AL1070" t="str" cm="1">
        <f t="array" ref="AL1070">_xlfn.IFS(Table1[[#This Row],[JobSatisfaction]]=1,"Low",Table1[[#This Row],[JobSatisfaction]]=2,"Medium",Table1[[#This Row],[JobSatisfaction]]=3,"High",Table1[[#This Row],[JobSatisfaction]]=4,"Very High")</f>
        <v>Low</v>
      </c>
      <c r="AM1070">
        <f>IF(Table1[[#This Row],[Attrition]]="Yes",1,0)</f>
        <v>1</v>
      </c>
    </row>
    <row r="1071" spans="1:39" ht="13.8" x14ac:dyDescent="0.25">
      <c r="A1071">
        <v>28</v>
      </c>
      <c r="B1071" t="str" cm="1">
        <f t="array" ref="B1071">_xlfn.IFS(Table1[[#This Row],[Age]]&lt;30,"Under 30",Table1[[#This Row],[Age]]&lt;=40,"30-40",Table1[[#This Row],[Age]]&lt;=50,"41-50",Table1[[#This Row],[Age]]&gt;50,"Over 50")</f>
        <v>Under 30</v>
      </c>
      <c r="C1071" t="s">
        <v>43</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t="str" cm="1">
        <f t="array" ref="AH1071">_xlfn.IFS(Table1[[#This Row],[YearsAtCompany]]&lt;=2,"0-2 years",Table1[[#This Row],[YearsAtCompany]]&lt;=5,"3-5 years",Table1[[#This Row],[YearsAtCompany]]&lt;=10,"6-10 years",Table1[[#This Row],[YearsAtCompany]]&gt;10,"10+ years")</f>
        <v>0-2 years</v>
      </c>
      <c r="AI1071">
        <v>0</v>
      </c>
      <c r="AJ1071">
        <v>0</v>
      </c>
      <c r="AK1071">
        <v>0</v>
      </c>
      <c r="AL1071" t="str" cm="1">
        <f t="array" ref="AL1071">_xlfn.IFS(Table1[[#This Row],[JobSatisfaction]]=1,"Low",Table1[[#This Row],[JobSatisfaction]]=2,"Medium",Table1[[#This Row],[JobSatisfaction]]=3,"High",Table1[[#This Row],[JobSatisfaction]]=4,"Very High")</f>
        <v>High</v>
      </c>
      <c r="AM1071">
        <f>IF(Table1[[#This Row],[Attrition]]="Yes",1,0)</f>
        <v>0</v>
      </c>
    </row>
    <row r="1072" spans="1:39" ht="13.8" x14ac:dyDescent="0.25">
      <c r="A1072">
        <v>28</v>
      </c>
      <c r="B1072" t="str" cm="1">
        <f t="array" ref="B1072">_xlfn.IFS(Table1[[#This Row],[Age]]&lt;30,"Under 30",Table1[[#This Row],[Age]]&lt;=40,"30-40",Table1[[#This Row],[Age]]&lt;=50,"41-50",Table1[[#This Row],[Age]]&gt;50,"Over 50")</f>
        <v>Under 30</v>
      </c>
      <c r="C1072" t="s">
        <v>43</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t="str" cm="1">
        <f t="array" ref="AH1072">_xlfn.IFS(Table1[[#This Row],[YearsAtCompany]]&lt;=2,"0-2 years",Table1[[#This Row],[YearsAtCompany]]&lt;=5,"3-5 years",Table1[[#This Row],[YearsAtCompany]]&lt;=10,"6-10 years",Table1[[#This Row],[YearsAtCompany]]&gt;10,"10+ years")</f>
        <v>3-5 years</v>
      </c>
      <c r="AI1072">
        <v>2</v>
      </c>
      <c r="AJ1072">
        <v>1</v>
      </c>
      <c r="AK1072">
        <v>3</v>
      </c>
      <c r="AL1072" t="str" cm="1">
        <f t="array" ref="AL1072">_xlfn.IFS(Table1[[#This Row],[JobSatisfaction]]=1,"Low",Table1[[#This Row],[JobSatisfaction]]=2,"Medium",Table1[[#This Row],[JobSatisfaction]]=3,"High",Table1[[#This Row],[JobSatisfaction]]=4,"Very High")</f>
        <v>Low</v>
      </c>
      <c r="AM1072">
        <f>IF(Table1[[#This Row],[Attrition]]="Yes",1,0)</f>
        <v>0</v>
      </c>
    </row>
    <row r="1073" spans="1:39" ht="13.8" x14ac:dyDescent="0.25">
      <c r="A1073">
        <v>49</v>
      </c>
      <c r="B1073" t="str" cm="1">
        <f t="array" ref="B1073">_xlfn.IFS(Table1[[#This Row],[Age]]&lt;30,"Under 30",Table1[[#This Row],[Age]]&lt;=40,"30-40",Table1[[#This Row],[Age]]&lt;=50,"41-50",Table1[[#This Row],[Age]]&gt;50,"Over 50")</f>
        <v>41-50</v>
      </c>
      <c r="C1073" t="s">
        <v>43</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t="str" cm="1">
        <f t="array" ref="AH1073">_xlfn.IFS(Table1[[#This Row],[YearsAtCompany]]&lt;=2,"0-2 years",Table1[[#This Row],[YearsAtCompany]]&lt;=5,"3-5 years",Table1[[#This Row],[YearsAtCompany]]&lt;=10,"6-10 years",Table1[[#This Row],[YearsAtCompany]]&gt;10,"10+ years")</f>
        <v>3-5 years</v>
      </c>
      <c r="AI1073">
        <v>2</v>
      </c>
      <c r="AJ1073">
        <v>1</v>
      </c>
      <c r="AK1073">
        <v>2</v>
      </c>
      <c r="AL1073" t="str" cm="1">
        <f t="array" ref="AL1073">_xlfn.IFS(Table1[[#This Row],[JobSatisfaction]]=1,"Low",Table1[[#This Row],[JobSatisfaction]]=2,"Medium",Table1[[#This Row],[JobSatisfaction]]=3,"High",Table1[[#This Row],[JobSatisfaction]]=4,"Very High")</f>
        <v>Low</v>
      </c>
      <c r="AM1073">
        <f>IF(Table1[[#This Row],[Attrition]]="Yes",1,0)</f>
        <v>0</v>
      </c>
    </row>
    <row r="1074" spans="1:39" ht="13.8" x14ac:dyDescent="0.25">
      <c r="A1074">
        <v>29</v>
      </c>
      <c r="B1074" t="str" cm="1">
        <f t="array" ref="B1074">_xlfn.IFS(Table1[[#This Row],[Age]]&lt;30,"Under 30",Table1[[#This Row],[Age]]&lt;=40,"30-40",Table1[[#This Row],[Age]]&lt;=50,"41-50",Table1[[#This Row],[Age]]&gt;50,"Over 50")</f>
        <v>Under 30</v>
      </c>
      <c r="C1074" t="s">
        <v>43</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t="str" cm="1">
        <f t="array" ref="AH1074">_xlfn.IFS(Table1[[#This Row],[YearsAtCompany]]&lt;=2,"0-2 years",Table1[[#This Row],[YearsAtCompany]]&lt;=5,"3-5 years",Table1[[#This Row],[YearsAtCompany]]&lt;=10,"6-10 years",Table1[[#This Row],[YearsAtCompany]]&gt;10,"10+ years")</f>
        <v>3-5 years</v>
      </c>
      <c r="AI1074">
        <v>2</v>
      </c>
      <c r="AJ1074">
        <v>0</v>
      </c>
      <c r="AK1074">
        <v>2</v>
      </c>
      <c r="AL1074" t="str" cm="1">
        <f t="array" ref="AL1074">_xlfn.IFS(Table1[[#This Row],[JobSatisfaction]]=1,"Low",Table1[[#This Row],[JobSatisfaction]]=2,"Medium",Table1[[#This Row],[JobSatisfaction]]=3,"High",Table1[[#This Row],[JobSatisfaction]]=4,"Very High")</f>
        <v>Medium</v>
      </c>
      <c r="AM1074">
        <f>IF(Table1[[#This Row],[Attrition]]="Yes",1,0)</f>
        <v>0</v>
      </c>
    </row>
    <row r="1075" spans="1:39" ht="13.8" x14ac:dyDescent="0.25">
      <c r="A1075">
        <v>28</v>
      </c>
      <c r="B1075" t="str" cm="1">
        <f t="array" ref="B1075">_xlfn.IFS(Table1[[#This Row],[Age]]&lt;30,"Under 30",Table1[[#This Row],[Age]]&lt;=40,"30-40",Table1[[#This Row],[Age]]&lt;=50,"41-50",Table1[[#This Row],[Age]]&gt;50,"Over 50")</f>
        <v>Under 30</v>
      </c>
      <c r="C1075" t="s">
        <v>43</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t="str" cm="1">
        <f t="array" ref="AH1075">_xlfn.IFS(Table1[[#This Row],[YearsAtCompany]]&lt;=2,"0-2 years",Table1[[#This Row],[YearsAtCompany]]&lt;=5,"3-5 years",Table1[[#This Row],[YearsAtCompany]]&lt;=10,"6-10 years",Table1[[#This Row],[YearsAtCompany]]&gt;10,"10+ years")</f>
        <v>6-10 years</v>
      </c>
      <c r="AI1075">
        <v>6</v>
      </c>
      <c r="AJ1075">
        <v>1</v>
      </c>
      <c r="AK1075">
        <v>7</v>
      </c>
      <c r="AL1075" t="str" cm="1">
        <f t="array" ref="AL1075">_xlfn.IFS(Table1[[#This Row],[JobSatisfaction]]=1,"Low",Table1[[#This Row],[JobSatisfaction]]=2,"Medium",Table1[[#This Row],[JobSatisfaction]]=3,"High",Table1[[#This Row],[JobSatisfaction]]=4,"Very High")</f>
        <v>Medium</v>
      </c>
      <c r="AM1075">
        <f>IF(Table1[[#This Row],[Attrition]]="Yes",1,0)</f>
        <v>0</v>
      </c>
    </row>
    <row r="1076" spans="1:39" ht="13.8" x14ac:dyDescent="0.25">
      <c r="A1076">
        <v>33</v>
      </c>
      <c r="B1076" t="str" cm="1">
        <f t="array" ref="B1076">_xlfn.IFS(Table1[[#This Row],[Age]]&lt;30,"Under 30",Table1[[#This Row],[Age]]&lt;=40,"30-40",Table1[[#This Row],[Age]]&lt;=50,"41-50",Table1[[#This Row],[Age]]&gt;50,"Over 50")</f>
        <v>30-40</v>
      </c>
      <c r="C1076" t="s">
        <v>43</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t="str" cm="1">
        <f t="array" ref="AH1076">_xlfn.IFS(Table1[[#This Row],[YearsAtCompany]]&lt;=2,"0-2 years",Table1[[#This Row],[YearsAtCompany]]&lt;=5,"3-5 years",Table1[[#This Row],[YearsAtCompany]]&lt;=10,"6-10 years",Table1[[#This Row],[YearsAtCompany]]&gt;10,"10+ years")</f>
        <v>0-2 years</v>
      </c>
      <c r="AI1076">
        <v>0</v>
      </c>
      <c r="AJ1076">
        <v>0</v>
      </c>
      <c r="AK1076">
        <v>0</v>
      </c>
      <c r="AL1076" t="str" cm="1">
        <f t="array" ref="AL1076">_xlfn.IFS(Table1[[#This Row],[JobSatisfaction]]=1,"Low",Table1[[#This Row],[JobSatisfaction]]=2,"Medium",Table1[[#This Row],[JobSatisfaction]]=3,"High",Table1[[#This Row],[JobSatisfaction]]=4,"Very High")</f>
        <v>High</v>
      </c>
      <c r="AM1076">
        <f>IF(Table1[[#This Row],[Attrition]]="Yes",1,0)</f>
        <v>0</v>
      </c>
    </row>
    <row r="1077" spans="1:39" ht="13.8" x14ac:dyDescent="0.25">
      <c r="A1077">
        <v>32</v>
      </c>
      <c r="B1077" t="str" cm="1">
        <f t="array" ref="B1077">_xlfn.IFS(Table1[[#This Row],[Age]]&lt;30,"Under 30",Table1[[#This Row],[Age]]&lt;=40,"30-40",Table1[[#This Row],[Age]]&lt;=50,"41-50",Table1[[#This Row],[Age]]&gt;50,"Over 50")</f>
        <v>30-40</v>
      </c>
      <c r="C1077" t="s">
        <v>43</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t="str" cm="1">
        <f t="array" ref="AH1077">_xlfn.IFS(Table1[[#This Row],[YearsAtCompany]]&lt;=2,"0-2 years",Table1[[#This Row],[YearsAtCompany]]&lt;=5,"3-5 years",Table1[[#This Row],[YearsAtCompany]]&lt;=10,"6-10 years",Table1[[#This Row],[YearsAtCompany]]&gt;10,"10+ years")</f>
        <v>3-5 years</v>
      </c>
      <c r="AI1077">
        <v>2</v>
      </c>
      <c r="AJ1077">
        <v>0</v>
      </c>
      <c r="AK1077">
        <v>0</v>
      </c>
      <c r="AL1077" t="str" cm="1">
        <f t="array" ref="AL1077">_xlfn.IFS(Table1[[#This Row],[JobSatisfaction]]=1,"Low",Table1[[#This Row],[JobSatisfaction]]=2,"Medium",Table1[[#This Row],[JobSatisfaction]]=3,"High",Table1[[#This Row],[JobSatisfaction]]=4,"Very High")</f>
        <v>Very High</v>
      </c>
      <c r="AM1077">
        <f>IF(Table1[[#This Row],[Attrition]]="Yes",1,0)</f>
        <v>0</v>
      </c>
    </row>
    <row r="1078" spans="1:39" ht="13.8" x14ac:dyDescent="0.25">
      <c r="A1078">
        <v>54</v>
      </c>
      <c r="B1078" t="str" cm="1">
        <f t="array" ref="B1078">_xlfn.IFS(Table1[[#This Row],[Age]]&lt;30,"Under 30",Table1[[#This Row],[Age]]&lt;=40,"30-40",Table1[[#This Row],[Age]]&lt;=50,"41-50",Table1[[#This Row],[Age]]&gt;50,"Over 50")</f>
        <v>Over 50</v>
      </c>
      <c r="C1078" t="s">
        <v>43</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t="str" cm="1">
        <f t="array" ref="AH1078">_xlfn.IFS(Table1[[#This Row],[YearsAtCompany]]&lt;=2,"0-2 years",Table1[[#This Row],[YearsAtCompany]]&lt;=5,"3-5 years",Table1[[#This Row],[YearsAtCompany]]&lt;=10,"6-10 years",Table1[[#This Row],[YearsAtCompany]]&gt;10,"10+ years")</f>
        <v>10+ years</v>
      </c>
      <c r="AI1078">
        <v>9</v>
      </c>
      <c r="AJ1078">
        <v>1</v>
      </c>
      <c r="AK1078">
        <v>12</v>
      </c>
      <c r="AL1078" t="str" cm="1">
        <f t="array" ref="AL1078">_xlfn.IFS(Table1[[#This Row],[JobSatisfaction]]=1,"Low",Table1[[#This Row],[JobSatisfaction]]=2,"Medium",Table1[[#This Row],[JobSatisfaction]]=3,"High",Table1[[#This Row],[JobSatisfaction]]=4,"Very High")</f>
        <v>Very High</v>
      </c>
      <c r="AM1078">
        <f>IF(Table1[[#This Row],[Attrition]]="Yes",1,0)</f>
        <v>0</v>
      </c>
    </row>
    <row r="1079" spans="1:39" ht="13.8" x14ac:dyDescent="0.25">
      <c r="A1079">
        <v>29</v>
      </c>
      <c r="B1079" t="str" cm="1">
        <f t="array" ref="B1079">_xlfn.IFS(Table1[[#This Row],[Age]]&lt;30,"Under 30",Table1[[#This Row],[Age]]&lt;=40,"30-40",Table1[[#This Row],[Age]]&lt;=50,"41-50",Table1[[#This Row],[Age]]&gt;50,"Over 50")</f>
        <v>Under 30</v>
      </c>
      <c r="C1079" t="s">
        <v>35</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t="str" cm="1">
        <f t="array" ref="AH1079">_xlfn.IFS(Table1[[#This Row],[YearsAtCompany]]&lt;=2,"0-2 years",Table1[[#This Row],[YearsAtCompany]]&lt;=5,"3-5 years",Table1[[#This Row],[YearsAtCompany]]&lt;=10,"6-10 years",Table1[[#This Row],[YearsAtCompany]]&gt;10,"10+ years")</f>
        <v>6-10 years</v>
      </c>
      <c r="AI1079">
        <v>7</v>
      </c>
      <c r="AJ1079">
        <v>0</v>
      </c>
      <c r="AK1079">
        <v>7</v>
      </c>
      <c r="AL1079" t="str" cm="1">
        <f t="array" ref="AL1079">_xlfn.IFS(Table1[[#This Row],[JobSatisfaction]]=1,"Low",Table1[[#This Row],[JobSatisfaction]]=2,"Medium",Table1[[#This Row],[JobSatisfaction]]=3,"High",Table1[[#This Row],[JobSatisfaction]]=4,"Very High")</f>
        <v>Low</v>
      </c>
      <c r="AM1079">
        <f>IF(Table1[[#This Row],[Attrition]]="Yes",1,0)</f>
        <v>1</v>
      </c>
    </row>
    <row r="1080" spans="1:39" ht="13.8" x14ac:dyDescent="0.25">
      <c r="A1080">
        <v>44</v>
      </c>
      <c r="B1080" t="str" cm="1">
        <f t="array" ref="B1080">_xlfn.IFS(Table1[[#This Row],[Age]]&lt;30,"Under 30",Table1[[#This Row],[Age]]&lt;=40,"30-40",Table1[[#This Row],[Age]]&lt;=50,"41-50",Table1[[#This Row],[Age]]&gt;50,"Over 50")</f>
        <v>41-50</v>
      </c>
      <c r="C1080" t="s">
        <v>43</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t="str" cm="1">
        <f t="array" ref="AH1080">_xlfn.IFS(Table1[[#This Row],[YearsAtCompany]]&lt;=2,"0-2 years",Table1[[#This Row],[YearsAtCompany]]&lt;=5,"3-5 years",Table1[[#This Row],[YearsAtCompany]]&lt;=10,"6-10 years",Table1[[#This Row],[YearsAtCompany]]&gt;10,"10+ years")</f>
        <v>10+ years</v>
      </c>
      <c r="AI1080">
        <v>6</v>
      </c>
      <c r="AJ1080">
        <v>14</v>
      </c>
      <c r="AK1080">
        <v>17</v>
      </c>
      <c r="AL1080" t="str" cm="1">
        <f t="array" ref="AL1080">_xlfn.IFS(Table1[[#This Row],[JobSatisfaction]]=1,"Low",Table1[[#This Row],[JobSatisfaction]]=2,"Medium",Table1[[#This Row],[JobSatisfaction]]=3,"High",Table1[[#This Row],[JobSatisfaction]]=4,"Very High")</f>
        <v>Low</v>
      </c>
      <c r="AM1080">
        <f>IF(Table1[[#This Row],[Attrition]]="Yes",1,0)</f>
        <v>0</v>
      </c>
    </row>
    <row r="1081" spans="1:39" ht="13.8" x14ac:dyDescent="0.25">
      <c r="A1081">
        <v>39</v>
      </c>
      <c r="B1081" t="str" cm="1">
        <f t="array" ref="B1081">_xlfn.IFS(Table1[[#This Row],[Age]]&lt;30,"Under 30",Table1[[#This Row],[Age]]&lt;=40,"30-40",Table1[[#This Row],[Age]]&lt;=50,"41-50",Table1[[#This Row],[Age]]&gt;50,"Over 50")</f>
        <v>30-40</v>
      </c>
      <c r="C1081" t="s">
        <v>43</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t="str" cm="1">
        <f t="array" ref="AH1081">_xlfn.IFS(Table1[[#This Row],[YearsAtCompany]]&lt;=2,"0-2 years",Table1[[#This Row],[YearsAtCompany]]&lt;=5,"3-5 years",Table1[[#This Row],[YearsAtCompany]]&lt;=10,"6-10 years",Table1[[#This Row],[YearsAtCompany]]&gt;10,"10+ years")</f>
        <v>0-2 years</v>
      </c>
      <c r="AI1081">
        <v>0</v>
      </c>
      <c r="AJ1081">
        <v>2</v>
      </c>
      <c r="AK1081">
        <v>2</v>
      </c>
      <c r="AL1081" t="str" cm="1">
        <f t="array" ref="AL1081">_xlfn.IFS(Table1[[#This Row],[JobSatisfaction]]=1,"Low",Table1[[#This Row],[JobSatisfaction]]=2,"Medium",Table1[[#This Row],[JobSatisfaction]]=3,"High",Table1[[#This Row],[JobSatisfaction]]=4,"Very High")</f>
        <v>Medium</v>
      </c>
      <c r="AM1081">
        <f>IF(Table1[[#This Row],[Attrition]]="Yes",1,0)</f>
        <v>0</v>
      </c>
    </row>
    <row r="1082" spans="1:39" ht="13.8" x14ac:dyDescent="0.25">
      <c r="A1082">
        <v>46</v>
      </c>
      <c r="B1082" t="str" cm="1">
        <f t="array" ref="B1082">_xlfn.IFS(Table1[[#This Row],[Age]]&lt;30,"Under 30",Table1[[#This Row],[Age]]&lt;=40,"30-40",Table1[[#This Row],[Age]]&lt;=50,"41-50",Table1[[#This Row],[Age]]&gt;50,"Over 50")</f>
        <v>41-50</v>
      </c>
      <c r="C1082" t="s">
        <v>43</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t="str" cm="1">
        <f t="array" ref="AH1082">_xlfn.IFS(Table1[[#This Row],[YearsAtCompany]]&lt;=2,"0-2 years",Table1[[#This Row],[YearsAtCompany]]&lt;=5,"3-5 years",Table1[[#This Row],[YearsAtCompany]]&lt;=10,"6-10 years",Table1[[#This Row],[YearsAtCompany]]&gt;10,"10+ years")</f>
        <v>10+ years</v>
      </c>
      <c r="AI1082">
        <v>12</v>
      </c>
      <c r="AJ1082">
        <v>5</v>
      </c>
      <c r="AK1082">
        <v>1</v>
      </c>
      <c r="AL1082" t="str" cm="1">
        <f t="array" ref="AL1082">_xlfn.IFS(Table1[[#This Row],[JobSatisfaction]]=1,"Low",Table1[[#This Row],[JobSatisfaction]]=2,"Medium",Table1[[#This Row],[JobSatisfaction]]=3,"High",Table1[[#This Row],[JobSatisfaction]]=4,"Very High")</f>
        <v>Medium</v>
      </c>
      <c r="AM1082">
        <f>IF(Table1[[#This Row],[Attrition]]="Yes",1,0)</f>
        <v>0</v>
      </c>
    </row>
    <row r="1083" spans="1:39" ht="13.8" x14ac:dyDescent="0.25">
      <c r="A1083">
        <v>35</v>
      </c>
      <c r="B1083" t="str" cm="1">
        <f t="array" ref="B1083">_xlfn.IFS(Table1[[#This Row],[Age]]&lt;30,"Under 30",Table1[[#This Row],[Age]]&lt;=40,"30-40",Table1[[#This Row],[Age]]&lt;=50,"41-50",Table1[[#This Row],[Age]]&gt;50,"Over 50")</f>
        <v>30-40</v>
      </c>
      <c r="C1083" t="s">
        <v>43</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t="str" cm="1">
        <f t="array" ref="AH1083">_xlfn.IFS(Table1[[#This Row],[YearsAtCompany]]&lt;=2,"0-2 years",Table1[[#This Row],[YearsAtCompany]]&lt;=5,"3-5 years",Table1[[#This Row],[YearsAtCompany]]&lt;=10,"6-10 years",Table1[[#This Row],[YearsAtCompany]]&gt;10,"10+ years")</f>
        <v>10+ years</v>
      </c>
      <c r="AI1083">
        <v>8</v>
      </c>
      <c r="AJ1083">
        <v>3</v>
      </c>
      <c r="AK1083">
        <v>3</v>
      </c>
      <c r="AL1083" t="str" cm="1">
        <f t="array" ref="AL1083">_xlfn.IFS(Table1[[#This Row],[JobSatisfaction]]=1,"Low",Table1[[#This Row],[JobSatisfaction]]=2,"Medium",Table1[[#This Row],[JobSatisfaction]]=3,"High",Table1[[#This Row],[JobSatisfaction]]=4,"Very High")</f>
        <v>Medium</v>
      </c>
      <c r="AM1083">
        <f>IF(Table1[[#This Row],[Attrition]]="Yes",1,0)</f>
        <v>0</v>
      </c>
    </row>
    <row r="1084" spans="1:39" ht="13.8" x14ac:dyDescent="0.25">
      <c r="A1084">
        <v>23</v>
      </c>
      <c r="B1084" t="str" cm="1">
        <f t="array" ref="B1084">_xlfn.IFS(Table1[[#This Row],[Age]]&lt;30,"Under 30",Table1[[#This Row],[Age]]&lt;=40,"30-40",Table1[[#This Row],[Age]]&lt;=50,"41-50",Table1[[#This Row],[Age]]&gt;50,"Over 50")</f>
        <v>Under 30</v>
      </c>
      <c r="C1084" t="s">
        <v>43</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t="str" cm="1">
        <f t="array" ref="AH1084">_xlfn.IFS(Table1[[#This Row],[YearsAtCompany]]&lt;=2,"0-2 years",Table1[[#This Row],[YearsAtCompany]]&lt;=5,"3-5 years",Table1[[#This Row],[YearsAtCompany]]&lt;=10,"6-10 years",Table1[[#This Row],[YearsAtCompany]]&gt;10,"10+ years")</f>
        <v>3-5 years</v>
      </c>
      <c r="AI1084">
        <v>3</v>
      </c>
      <c r="AJ1084">
        <v>1</v>
      </c>
      <c r="AK1084">
        <v>2</v>
      </c>
      <c r="AL1084" t="str" cm="1">
        <f t="array" ref="AL1084">_xlfn.IFS(Table1[[#This Row],[JobSatisfaction]]=1,"Low",Table1[[#This Row],[JobSatisfaction]]=2,"Medium",Table1[[#This Row],[JobSatisfaction]]=3,"High",Table1[[#This Row],[JobSatisfaction]]=4,"Very High")</f>
        <v>High</v>
      </c>
      <c r="AM1084">
        <f>IF(Table1[[#This Row],[Attrition]]="Yes",1,0)</f>
        <v>0</v>
      </c>
    </row>
    <row r="1085" spans="1:39" ht="13.8" x14ac:dyDescent="0.25">
      <c r="A1085">
        <v>40</v>
      </c>
      <c r="B1085" t="str" cm="1">
        <f t="array" ref="B1085">_xlfn.IFS(Table1[[#This Row],[Age]]&lt;30,"Under 30",Table1[[#This Row],[Age]]&lt;=40,"30-40",Table1[[#This Row],[Age]]&lt;=50,"41-50",Table1[[#This Row],[Age]]&gt;50,"Over 50")</f>
        <v>30-40</v>
      </c>
      <c r="C1085" t="s">
        <v>35</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t="str" cm="1">
        <f t="array" ref="AH1085">_xlfn.IFS(Table1[[#This Row],[YearsAtCompany]]&lt;=2,"0-2 years",Table1[[#This Row],[YearsAtCompany]]&lt;=5,"3-5 years",Table1[[#This Row],[YearsAtCompany]]&lt;=10,"6-10 years",Table1[[#This Row],[YearsAtCompany]]&gt;10,"10+ years")</f>
        <v>3-5 years</v>
      </c>
      <c r="AI1085">
        <v>4</v>
      </c>
      <c r="AJ1085">
        <v>1</v>
      </c>
      <c r="AK1085">
        <v>0</v>
      </c>
      <c r="AL1085" t="str" cm="1">
        <f t="array" ref="AL1085">_xlfn.IFS(Table1[[#This Row],[JobSatisfaction]]=1,"Low",Table1[[#This Row],[JobSatisfaction]]=2,"Medium",Table1[[#This Row],[JobSatisfaction]]=3,"High",Table1[[#This Row],[JobSatisfaction]]=4,"Very High")</f>
        <v>Low</v>
      </c>
      <c r="AM1085">
        <f>IF(Table1[[#This Row],[Attrition]]="Yes",1,0)</f>
        <v>1</v>
      </c>
    </row>
    <row r="1086" spans="1:39" ht="13.8" x14ac:dyDescent="0.25">
      <c r="A1086">
        <v>34</v>
      </c>
      <c r="B1086" t="str" cm="1">
        <f t="array" ref="B1086">_xlfn.IFS(Table1[[#This Row],[Age]]&lt;30,"Under 30",Table1[[#This Row],[Age]]&lt;=40,"30-40",Table1[[#This Row],[Age]]&lt;=50,"41-50",Table1[[#This Row],[Age]]&gt;50,"Over 50")</f>
        <v>30-40</v>
      </c>
      <c r="C1086" t="s">
        <v>43</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t="str" cm="1">
        <f t="array" ref="AH1086">_xlfn.IFS(Table1[[#This Row],[YearsAtCompany]]&lt;=2,"0-2 years",Table1[[#This Row],[YearsAtCompany]]&lt;=5,"3-5 years",Table1[[#This Row],[YearsAtCompany]]&lt;=10,"6-10 years",Table1[[#This Row],[YearsAtCompany]]&gt;10,"10+ years")</f>
        <v>6-10 years</v>
      </c>
      <c r="AI1086">
        <v>9</v>
      </c>
      <c r="AJ1086">
        <v>8</v>
      </c>
      <c r="AK1086">
        <v>6</v>
      </c>
      <c r="AL1086" t="str" cm="1">
        <f t="array" ref="AL1086">_xlfn.IFS(Table1[[#This Row],[JobSatisfaction]]=1,"Low",Table1[[#This Row],[JobSatisfaction]]=2,"Medium",Table1[[#This Row],[JobSatisfaction]]=3,"High",Table1[[#This Row],[JobSatisfaction]]=4,"Very High")</f>
        <v>High</v>
      </c>
      <c r="AM1086">
        <f>IF(Table1[[#This Row],[Attrition]]="Yes",1,0)</f>
        <v>0</v>
      </c>
    </row>
    <row r="1087" spans="1:39" ht="13.8" x14ac:dyDescent="0.25">
      <c r="A1087">
        <v>31</v>
      </c>
      <c r="B1087" t="str" cm="1">
        <f t="array" ref="B1087">_xlfn.IFS(Table1[[#This Row],[Age]]&lt;30,"Under 30",Table1[[#This Row],[Age]]&lt;=40,"30-40",Table1[[#This Row],[Age]]&lt;=50,"41-50",Table1[[#This Row],[Age]]&gt;50,"Over 50")</f>
        <v>30-40</v>
      </c>
      <c r="C1087" t="s">
        <v>35</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t="str" cm="1">
        <f t="array" ref="AH1087">_xlfn.IFS(Table1[[#This Row],[YearsAtCompany]]&lt;=2,"0-2 years",Table1[[#This Row],[YearsAtCompany]]&lt;=5,"3-5 years",Table1[[#This Row],[YearsAtCompany]]&lt;=10,"6-10 years",Table1[[#This Row],[YearsAtCompany]]&gt;10,"10+ years")</f>
        <v>6-10 years</v>
      </c>
      <c r="AI1087">
        <v>2</v>
      </c>
      <c r="AJ1087">
        <v>7</v>
      </c>
      <c r="AK1087">
        <v>7</v>
      </c>
      <c r="AL1087" t="str" cm="1">
        <f t="array" ref="AL1087">_xlfn.IFS(Table1[[#This Row],[JobSatisfaction]]=1,"Low",Table1[[#This Row],[JobSatisfaction]]=2,"Medium",Table1[[#This Row],[JobSatisfaction]]=3,"High",Table1[[#This Row],[JobSatisfaction]]=4,"Very High")</f>
        <v>High</v>
      </c>
      <c r="AM1087">
        <f>IF(Table1[[#This Row],[Attrition]]="Yes",1,0)</f>
        <v>1</v>
      </c>
    </row>
    <row r="1088" spans="1:39" ht="13.8" x14ac:dyDescent="0.25">
      <c r="A1088">
        <v>50</v>
      </c>
      <c r="B1088" t="str" cm="1">
        <f t="array" ref="B1088">_xlfn.IFS(Table1[[#This Row],[Age]]&lt;30,"Under 30",Table1[[#This Row],[Age]]&lt;=40,"30-40",Table1[[#This Row],[Age]]&lt;=50,"41-50",Table1[[#This Row],[Age]]&gt;50,"Over 50")</f>
        <v>41-50</v>
      </c>
      <c r="C1088" t="s">
        <v>43</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t="str" cm="1">
        <f t="array" ref="AH1088">_xlfn.IFS(Table1[[#This Row],[YearsAtCompany]]&lt;=2,"0-2 years",Table1[[#This Row],[YearsAtCompany]]&lt;=5,"3-5 years",Table1[[#This Row],[YearsAtCompany]]&lt;=10,"6-10 years",Table1[[#This Row],[YearsAtCompany]]&gt;10,"10+ years")</f>
        <v>10+ years</v>
      </c>
      <c r="AI1088">
        <v>6</v>
      </c>
      <c r="AJ1088">
        <v>13</v>
      </c>
      <c r="AK1088">
        <v>9</v>
      </c>
      <c r="AL1088" t="str" cm="1">
        <f t="array" ref="AL1088">_xlfn.IFS(Table1[[#This Row],[JobSatisfaction]]=1,"Low",Table1[[#This Row],[JobSatisfaction]]=2,"Medium",Table1[[#This Row],[JobSatisfaction]]=3,"High",Table1[[#This Row],[JobSatisfaction]]=4,"Very High")</f>
        <v>Very High</v>
      </c>
      <c r="AM1088">
        <f>IF(Table1[[#This Row],[Attrition]]="Yes",1,0)</f>
        <v>0</v>
      </c>
    </row>
    <row r="1089" spans="1:39" ht="13.8" x14ac:dyDescent="0.25">
      <c r="A1089">
        <v>34</v>
      </c>
      <c r="B1089" t="str" cm="1">
        <f t="array" ref="B1089">_xlfn.IFS(Table1[[#This Row],[Age]]&lt;30,"Under 30",Table1[[#This Row],[Age]]&lt;=40,"30-40",Table1[[#This Row],[Age]]&lt;=50,"41-50",Table1[[#This Row],[Age]]&gt;50,"Over 50")</f>
        <v>30-40</v>
      </c>
      <c r="C1089" t="s">
        <v>43</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t="str" cm="1">
        <f t="array" ref="AH1089">_xlfn.IFS(Table1[[#This Row],[YearsAtCompany]]&lt;=2,"0-2 years",Table1[[#This Row],[YearsAtCompany]]&lt;=5,"3-5 years",Table1[[#This Row],[YearsAtCompany]]&lt;=10,"6-10 years",Table1[[#This Row],[YearsAtCompany]]&gt;10,"10+ years")</f>
        <v>10+ years</v>
      </c>
      <c r="AI1089">
        <v>10</v>
      </c>
      <c r="AJ1089">
        <v>5</v>
      </c>
      <c r="AK1089">
        <v>7</v>
      </c>
      <c r="AL1089" t="str" cm="1">
        <f t="array" ref="AL1089">_xlfn.IFS(Table1[[#This Row],[JobSatisfaction]]=1,"Low",Table1[[#This Row],[JobSatisfaction]]=2,"Medium",Table1[[#This Row],[JobSatisfaction]]=3,"High",Table1[[#This Row],[JobSatisfaction]]=4,"Very High")</f>
        <v>High</v>
      </c>
      <c r="AM1089">
        <f>IF(Table1[[#This Row],[Attrition]]="Yes",1,0)</f>
        <v>0</v>
      </c>
    </row>
    <row r="1090" spans="1:39" ht="13.8" x14ac:dyDescent="0.25">
      <c r="A1090">
        <v>42</v>
      </c>
      <c r="B1090" t="str" cm="1">
        <f t="array" ref="B1090">_xlfn.IFS(Table1[[#This Row],[Age]]&lt;30,"Under 30",Table1[[#This Row],[Age]]&lt;=40,"30-40",Table1[[#This Row],[Age]]&lt;=50,"41-50",Table1[[#This Row],[Age]]&gt;50,"Over 50")</f>
        <v>41-50</v>
      </c>
      <c r="C1090" t="s">
        <v>43</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t="str" cm="1">
        <f t="array" ref="AH1090">_xlfn.IFS(Table1[[#This Row],[YearsAtCompany]]&lt;=2,"0-2 years",Table1[[#This Row],[YearsAtCompany]]&lt;=5,"3-5 years",Table1[[#This Row],[YearsAtCompany]]&lt;=10,"6-10 years",Table1[[#This Row],[YearsAtCompany]]&gt;10,"10+ years")</f>
        <v>0-2 years</v>
      </c>
      <c r="AI1090">
        <v>0</v>
      </c>
      <c r="AJ1090">
        <v>0</v>
      </c>
      <c r="AK1090">
        <v>0</v>
      </c>
      <c r="AL1090" t="str" cm="1">
        <f t="array" ref="AL1090">_xlfn.IFS(Table1[[#This Row],[JobSatisfaction]]=1,"Low",Table1[[#This Row],[JobSatisfaction]]=2,"Medium",Table1[[#This Row],[JobSatisfaction]]=3,"High",Table1[[#This Row],[JobSatisfaction]]=4,"Very High")</f>
        <v>Medium</v>
      </c>
      <c r="AM1090">
        <f>IF(Table1[[#This Row],[Attrition]]="Yes",1,0)</f>
        <v>0</v>
      </c>
    </row>
    <row r="1091" spans="1:39" ht="13.8" x14ac:dyDescent="0.25">
      <c r="A1091">
        <v>37</v>
      </c>
      <c r="B1091" t="str" cm="1">
        <f t="array" ref="B1091">_xlfn.IFS(Table1[[#This Row],[Age]]&lt;30,"Under 30",Table1[[#This Row],[Age]]&lt;=40,"30-40",Table1[[#This Row],[Age]]&lt;=50,"41-50",Table1[[#This Row],[Age]]&gt;50,"Over 50")</f>
        <v>30-40</v>
      </c>
      <c r="C1091" t="s">
        <v>43</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t="str" cm="1">
        <f t="array" ref="AH1091">_xlfn.IFS(Table1[[#This Row],[YearsAtCompany]]&lt;=2,"0-2 years",Table1[[#This Row],[YearsAtCompany]]&lt;=5,"3-5 years",Table1[[#This Row],[YearsAtCompany]]&lt;=10,"6-10 years",Table1[[#This Row],[YearsAtCompany]]&gt;10,"10+ years")</f>
        <v>6-10 years</v>
      </c>
      <c r="AI1091">
        <v>8</v>
      </c>
      <c r="AJ1091">
        <v>3</v>
      </c>
      <c r="AK1091">
        <v>7</v>
      </c>
      <c r="AL1091" t="str" cm="1">
        <f t="array" ref="AL1091">_xlfn.IFS(Table1[[#This Row],[JobSatisfaction]]=1,"Low",Table1[[#This Row],[JobSatisfaction]]=2,"Medium",Table1[[#This Row],[JobSatisfaction]]=3,"High",Table1[[#This Row],[JobSatisfaction]]=4,"Very High")</f>
        <v>Very High</v>
      </c>
      <c r="AM1091">
        <f>IF(Table1[[#This Row],[Attrition]]="Yes",1,0)</f>
        <v>0</v>
      </c>
    </row>
    <row r="1092" spans="1:39" ht="13.8" x14ac:dyDescent="0.25">
      <c r="A1092">
        <v>29</v>
      </c>
      <c r="B1092" t="str" cm="1">
        <f t="array" ref="B1092">_xlfn.IFS(Table1[[#This Row],[Age]]&lt;30,"Under 30",Table1[[#This Row],[Age]]&lt;=40,"30-40",Table1[[#This Row],[Age]]&lt;=50,"41-50",Table1[[#This Row],[Age]]&gt;50,"Over 50")</f>
        <v>Under 30</v>
      </c>
      <c r="C1092" t="s">
        <v>43</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t="str" cm="1">
        <f t="array" ref="AH1092">_xlfn.IFS(Table1[[#This Row],[YearsAtCompany]]&lt;=2,"0-2 years",Table1[[#This Row],[YearsAtCompany]]&lt;=5,"3-5 years",Table1[[#This Row],[YearsAtCompany]]&lt;=10,"6-10 years",Table1[[#This Row],[YearsAtCompany]]&gt;10,"10+ years")</f>
        <v>6-10 years</v>
      </c>
      <c r="AI1092">
        <v>7</v>
      </c>
      <c r="AJ1092">
        <v>0</v>
      </c>
      <c r="AK1092">
        <v>7</v>
      </c>
      <c r="AL1092" t="str" cm="1">
        <f t="array" ref="AL1092">_xlfn.IFS(Table1[[#This Row],[JobSatisfaction]]=1,"Low",Table1[[#This Row],[JobSatisfaction]]=2,"Medium",Table1[[#This Row],[JobSatisfaction]]=3,"High",Table1[[#This Row],[JobSatisfaction]]=4,"Very High")</f>
        <v>Low</v>
      </c>
      <c r="AM1092">
        <f>IF(Table1[[#This Row],[Attrition]]="Yes",1,0)</f>
        <v>0</v>
      </c>
    </row>
    <row r="1093" spans="1:39" ht="13.8" x14ac:dyDescent="0.25">
      <c r="A1093">
        <v>33</v>
      </c>
      <c r="B1093" t="str" cm="1">
        <f t="array" ref="B1093">_xlfn.IFS(Table1[[#This Row],[Age]]&lt;30,"Under 30",Table1[[#This Row],[Age]]&lt;=40,"30-40",Table1[[#This Row],[Age]]&lt;=50,"41-50",Table1[[#This Row],[Age]]&gt;50,"Over 50")</f>
        <v>30-40</v>
      </c>
      <c r="C1093" t="s">
        <v>43</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t="str" cm="1">
        <f t="array" ref="AH1093">_xlfn.IFS(Table1[[#This Row],[YearsAtCompany]]&lt;=2,"0-2 years",Table1[[#This Row],[YearsAtCompany]]&lt;=5,"3-5 years",Table1[[#This Row],[YearsAtCompany]]&lt;=10,"6-10 years",Table1[[#This Row],[YearsAtCompany]]&gt;10,"10+ years")</f>
        <v>3-5 years</v>
      </c>
      <c r="AI1093">
        <v>3</v>
      </c>
      <c r="AJ1093">
        <v>0</v>
      </c>
      <c r="AK1093">
        <v>2</v>
      </c>
      <c r="AL1093" t="str" cm="1">
        <f t="array" ref="AL1093">_xlfn.IFS(Table1[[#This Row],[JobSatisfaction]]=1,"Low",Table1[[#This Row],[JobSatisfaction]]=2,"Medium",Table1[[#This Row],[JobSatisfaction]]=3,"High",Table1[[#This Row],[JobSatisfaction]]=4,"Very High")</f>
        <v>Medium</v>
      </c>
      <c r="AM1093">
        <f>IF(Table1[[#This Row],[Attrition]]="Yes",1,0)</f>
        <v>0</v>
      </c>
    </row>
    <row r="1094" spans="1:39" ht="13.8" x14ac:dyDescent="0.25">
      <c r="A1094">
        <v>45</v>
      </c>
      <c r="B1094" t="str" cm="1">
        <f t="array" ref="B1094">_xlfn.IFS(Table1[[#This Row],[Age]]&lt;30,"Under 30",Table1[[#This Row],[Age]]&lt;=40,"30-40",Table1[[#This Row],[Age]]&lt;=50,"41-50",Table1[[#This Row],[Age]]&gt;50,"Over 50")</f>
        <v>41-50</v>
      </c>
      <c r="C1094" t="s">
        <v>43</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t="str" cm="1">
        <f t="array" ref="AH1094">_xlfn.IFS(Table1[[#This Row],[YearsAtCompany]]&lt;=2,"0-2 years",Table1[[#This Row],[YearsAtCompany]]&lt;=5,"3-5 years",Table1[[#This Row],[YearsAtCompany]]&lt;=10,"6-10 years",Table1[[#This Row],[YearsAtCompany]]&gt;10,"10+ years")</f>
        <v>3-5 years</v>
      </c>
      <c r="AI1094">
        <v>4</v>
      </c>
      <c r="AJ1094">
        <v>0</v>
      </c>
      <c r="AK1094">
        <v>3</v>
      </c>
      <c r="AL1094" t="str" cm="1">
        <f t="array" ref="AL1094">_xlfn.IFS(Table1[[#This Row],[JobSatisfaction]]=1,"Low",Table1[[#This Row],[JobSatisfaction]]=2,"Medium",Table1[[#This Row],[JobSatisfaction]]=3,"High",Table1[[#This Row],[JobSatisfaction]]=4,"Very High")</f>
        <v>Very High</v>
      </c>
      <c r="AM1094">
        <f>IF(Table1[[#This Row],[Attrition]]="Yes",1,0)</f>
        <v>0</v>
      </c>
    </row>
    <row r="1095" spans="1:39" ht="13.8" x14ac:dyDescent="0.25">
      <c r="A1095">
        <v>42</v>
      </c>
      <c r="B1095" t="str" cm="1">
        <f t="array" ref="B1095">_xlfn.IFS(Table1[[#This Row],[Age]]&lt;30,"Under 30",Table1[[#This Row],[Age]]&lt;=40,"30-40",Table1[[#This Row],[Age]]&lt;=50,"41-50",Table1[[#This Row],[Age]]&gt;50,"Over 50")</f>
        <v>41-50</v>
      </c>
      <c r="C1095" t="s">
        <v>43</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t="str" cm="1">
        <f t="array" ref="AH1095">_xlfn.IFS(Table1[[#This Row],[YearsAtCompany]]&lt;=2,"0-2 years",Table1[[#This Row],[YearsAtCompany]]&lt;=5,"3-5 years",Table1[[#This Row],[YearsAtCompany]]&lt;=10,"6-10 years",Table1[[#This Row],[YearsAtCompany]]&gt;10,"10+ years")</f>
        <v>10+ years</v>
      </c>
      <c r="AI1095">
        <v>8</v>
      </c>
      <c r="AJ1095">
        <v>13</v>
      </c>
      <c r="AK1095">
        <v>9</v>
      </c>
      <c r="AL1095" t="str" cm="1">
        <f t="array" ref="AL1095">_xlfn.IFS(Table1[[#This Row],[JobSatisfaction]]=1,"Low",Table1[[#This Row],[JobSatisfaction]]=2,"Medium",Table1[[#This Row],[JobSatisfaction]]=3,"High",Table1[[#This Row],[JobSatisfaction]]=4,"Very High")</f>
        <v>Very High</v>
      </c>
      <c r="AM1095">
        <f>IF(Table1[[#This Row],[Attrition]]="Yes",1,0)</f>
        <v>0</v>
      </c>
    </row>
    <row r="1096" spans="1:39" ht="13.8" x14ac:dyDescent="0.25">
      <c r="A1096">
        <v>40</v>
      </c>
      <c r="B1096" t="str" cm="1">
        <f t="array" ref="B1096">_xlfn.IFS(Table1[[#This Row],[Age]]&lt;30,"Under 30",Table1[[#This Row],[Age]]&lt;=40,"30-40",Table1[[#This Row],[Age]]&lt;=50,"41-50",Table1[[#This Row],[Age]]&gt;50,"Over 50")</f>
        <v>30-40</v>
      </c>
      <c r="C1096" t="s">
        <v>43</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t="str" cm="1">
        <f t="array" ref="AH1096">_xlfn.IFS(Table1[[#This Row],[YearsAtCompany]]&lt;=2,"0-2 years",Table1[[#This Row],[YearsAtCompany]]&lt;=5,"3-5 years",Table1[[#This Row],[YearsAtCompany]]&lt;=10,"6-10 years",Table1[[#This Row],[YearsAtCompany]]&gt;10,"10+ years")</f>
        <v>6-10 years</v>
      </c>
      <c r="AI1096">
        <v>4</v>
      </c>
      <c r="AJ1096">
        <v>7</v>
      </c>
      <c r="AK1096">
        <v>1</v>
      </c>
      <c r="AL1096" t="str" cm="1">
        <f t="array" ref="AL1096">_xlfn.IFS(Table1[[#This Row],[JobSatisfaction]]=1,"Low",Table1[[#This Row],[JobSatisfaction]]=2,"Medium",Table1[[#This Row],[JobSatisfaction]]=3,"High",Table1[[#This Row],[JobSatisfaction]]=4,"Very High")</f>
        <v>Low</v>
      </c>
      <c r="AM1096">
        <f>IF(Table1[[#This Row],[Attrition]]="Yes",1,0)</f>
        <v>0</v>
      </c>
    </row>
    <row r="1097" spans="1:39" ht="13.8" x14ac:dyDescent="0.25">
      <c r="A1097">
        <v>33</v>
      </c>
      <c r="B1097" t="str" cm="1">
        <f t="array" ref="B1097">_xlfn.IFS(Table1[[#This Row],[Age]]&lt;30,"Under 30",Table1[[#This Row],[Age]]&lt;=40,"30-40",Table1[[#This Row],[Age]]&lt;=50,"41-50",Table1[[#This Row],[Age]]&gt;50,"Over 50")</f>
        <v>30-40</v>
      </c>
      <c r="C1097" t="s">
        <v>43</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t="str" cm="1">
        <f t="array" ref="AH1097">_xlfn.IFS(Table1[[#This Row],[YearsAtCompany]]&lt;=2,"0-2 years",Table1[[#This Row],[YearsAtCompany]]&lt;=5,"3-5 years",Table1[[#This Row],[YearsAtCompany]]&lt;=10,"6-10 years",Table1[[#This Row],[YearsAtCompany]]&gt;10,"10+ years")</f>
        <v>10+ years</v>
      </c>
      <c r="AI1097">
        <v>14</v>
      </c>
      <c r="AJ1097">
        <v>5</v>
      </c>
      <c r="AK1097">
        <v>7</v>
      </c>
      <c r="AL1097" t="str" cm="1">
        <f t="array" ref="AL1097">_xlfn.IFS(Table1[[#This Row],[JobSatisfaction]]=1,"Low",Table1[[#This Row],[JobSatisfaction]]=2,"Medium",Table1[[#This Row],[JobSatisfaction]]=3,"High",Table1[[#This Row],[JobSatisfaction]]=4,"Very High")</f>
        <v>High</v>
      </c>
      <c r="AM1097">
        <f>IF(Table1[[#This Row],[Attrition]]="Yes",1,0)</f>
        <v>0</v>
      </c>
    </row>
    <row r="1098" spans="1:39" ht="13.8" x14ac:dyDescent="0.25">
      <c r="A1098">
        <v>40</v>
      </c>
      <c r="B1098" t="str" cm="1">
        <f t="array" ref="B1098">_xlfn.IFS(Table1[[#This Row],[Age]]&lt;30,"Under 30",Table1[[#This Row],[Age]]&lt;=40,"30-40",Table1[[#This Row],[Age]]&lt;=50,"41-50",Table1[[#This Row],[Age]]&gt;50,"Over 50")</f>
        <v>30-40</v>
      </c>
      <c r="C1098" t="s">
        <v>43</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t="str" cm="1">
        <f t="array" ref="AH1098">_xlfn.IFS(Table1[[#This Row],[YearsAtCompany]]&lt;=2,"0-2 years",Table1[[#This Row],[YearsAtCompany]]&lt;=5,"3-5 years",Table1[[#This Row],[YearsAtCompany]]&lt;=10,"6-10 years",Table1[[#This Row],[YearsAtCompany]]&gt;10,"10+ years")</f>
        <v>10+ years</v>
      </c>
      <c r="AI1098">
        <v>7</v>
      </c>
      <c r="AJ1098">
        <v>7</v>
      </c>
      <c r="AK1098">
        <v>7</v>
      </c>
      <c r="AL1098" t="str" cm="1">
        <f t="array" ref="AL1098">_xlfn.IFS(Table1[[#This Row],[JobSatisfaction]]=1,"Low",Table1[[#This Row],[JobSatisfaction]]=2,"Medium",Table1[[#This Row],[JobSatisfaction]]=3,"High",Table1[[#This Row],[JobSatisfaction]]=4,"Very High")</f>
        <v>Very High</v>
      </c>
      <c r="AM1098">
        <f>IF(Table1[[#This Row],[Attrition]]="Yes",1,0)</f>
        <v>0</v>
      </c>
    </row>
    <row r="1099" spans="1:39" ht="13.8" x14ac:dyDescent="0.25">
      <c r="A1099">
        <v>24</v>
      </c>
      <c r="B1099" t="str" cm="1">
        <f t="array" ref="B1099">_xlfn.IFS(Table1[[#This Row],[Age]]&lt;30,"Under 30",Table1[[#This Row],[Age]]&lt;=40,"30-40",Table1[[#This Row],[Age]]&lt;=50,"41-50",Table1[[#This Row],[Age]]&gt;50,"Over 50")</f>
        <v>Under 30</v>
      </c>
      <c r="C1099" t="s">
        <v>43</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t="str" cm="1">
        <f t="array" ref="AH1099">_xlfn.IFS(Table1[[#This Row],[YearsAtCompany]]&lt;=2,"0-2 years",Table1[[#This Row],[YearsAtCompany]]&lt;=5,"3-5 years",Table1[[#This Row],[YearsAtCompany]]&lt;=10,"6-10 years",Table1[[#This Row],[YearsAtCompany]]&gt;10,"10+ years")</f>
        <v>0-2 years</v>
      </c>
      <c r="AI1099">
        <v>1</v>
      </c>
      <c r="AJ1099">
        <v>0</v>
      </c>
      <c r="AK1099">
        <v>0</v>
      </c>
      <c r="AL1099" t="str" cm="1">
        <f t="array" ref="AL1099">_xlfn.IFS(Table1[[#This Row],[JobSatisfaction]]=1,"Low",Table1[[#This Row],[JobSatisfaction]]=2,"Medium",Table1[[#This Row],[JobSatisfaction]]=3,"High",Table1[[#This Row],[JobSatisfaction]]=4,"Very High")</f>
        <v>Low</v>
      </c>
      <c r="AM1099">
        <f>IF(Table1[[#This Row],[Attrition]]="Yes",1,0)</f>
        <v>0</v>
      </c>
    </row>
    <row r="1100" spans="1:39" ht="13.8" x14ac:dyDescent="0.25">
      <c r="A1100">
        <v>40</v>
      </c>
      <c r="B1100" t="str" cm="1">
        <f t="array" ref="B1100">_xlfn.IFS(Table1[[#This Row],[Age]]&lt;30,"Under 30",Table1[[#This Row],[Age]]&lt;=40,"30-40",Table1[[#This Row],[Age]]&lt;=50,"41-50",Table1[[#This Row],[Age]]&gt;50,"Over 50")</f>
        <v>30-40</v>
      </c>
      <c r="C1100" t="s">
        <v>43</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t="str" cm="1">
        <f t="array" ref="AH1100">_xlfn.IFS(Table1[[#This Row],[YearsAtCompany]]&lt;=2,"0-2 years",Table1[[#This Row],[YearsAtCompany]]&lt;=5,"3-5 years",Table1[[#This Row],[YearsAtCompany]]&lt;=10,"6-10 years",Table1[[#This Row],[YearsAtCompany]]&gt;10,"10+ years")</f>
        <v>0-2 years</v>
      </c>
      <c r="AI1100">
        <v>2</v>
      </c>
      <c r="AJ1100">
        <v>2</v>
      </c>
      <c r="AK1100">
        <v>2</v>
      </c>
      <c r="AL1100" t="str" cm="1">
        <f t="array" ref="AL1100">_xlfn.IFS(Table1[[#This Row],[JobSatisfaction]]=1,"Low",Table1[[#This Row],[JobSatisfaction]]=2,"Medium",Table1[[#This Row],[JobSatisfaction]]=3,"High",Table1[[#This Row],[JobSatisfaction]]=4,"Very High")</f>
        <v>Very High</v>
      </c>
      <c r="AM1100">
        <f>IF(Table1[[#This Row],[Attrition]]="Yes",1,0)</f>
        <v>0</v>
      </c>
    </row>
    <row r="1101" spans="1:39" ht="13.8" x14ac:dyDescent="0.25">
      <c r="A1101">
        <v>45</v>
      </c>
      <c r="B1101" t="str" cm="1">
        <f t="array" ref="B1101">_xlfn.IFS(Table1[[#This Row],[Age]]&lt;30,"Under 30",Table1[[#This Row],[Age]]&lt;=40,"30-40",Table1[[#This Row],[Age]]&lt;=50,"41-50",Table1[[#This Row],[Age]]&gt;50,"Over 50")</f>
        <v>41-50</v>
      </c>
      <c r="C1101" t="s">
        <v>43</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t="str" cm="1">
        <f t="array" ref="AH1101">_xlfn.IFS(Table1[[#This Row],[YearsAtCompany]]&lt;=2,"0-2 years",Table1[[#This Row],[YearsAtCompany]]&lt;=5,"3-5 years",Table1[[#This Row],[YearsAtCompany]]&lt;=10,"6-10 years",Table1[[#This Row],[YearsAtCompany]]&gt;10,"10+ years")</f>
        <v>6-10 years</v>
      </c>
      <c r="AI1101">
        <v>8</v>
      </c>
      <c r="AJ1101">
        <v>7</v>
      </c>
      <c r="AK1101">
        <v>7</v>
      </c>
      <c r="AL1101" t="str" cm="1">
        <f t="array" ref="AL1101">_xlfn.IFS(Table1[[#This Row],[JobSatisfaction]]=1,"Low",Table1[[#This Row],[JobSatisfaction]]=2,"Medium",Table1[[#This Row],[JobSatisfaction]]=3,"High",Table1[[#This Row],[JobSatisfaction]]=4,"Very High")</f>
        <v>Medium</v>
      </c>
      <c r="AM1101">
        <f>IF(Table1[[#This Row],[Attrition]]="Yes",1,0)</f>
        <v>0</v>
      </c>
    </row>
    <row r="1102" spans="1:39" ht="13.8" x14ac:dyDescent="0.25">
      <c r="A1102">
        <v>35</v>
      </c>
      <c r="B1102" t="str" cm="1">
        <f t="array" ref="B1102">_xlfn.IFS(Table1[[#This Row],[Age]]&lt;30,"Under 30",Table1[[#This Row],[Age]]&lt;=40,"30-40",Table1[[#This Row],[Age]]&lt;=50,"41-50",Table1[[#This Row],[Age]]&gt;50,"Over 50")</f>
        <v>30-40</v>
      </c>
      <c r="C1102" t="s">
        <v>43</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t="str" cm="1">
        <f t="array" ref="AH1102">_xlfn.IFS(Table1[[#This Row],[YearsAtCompany]]&lt;=2,"0-2 years",Table1[[#This Row],[YearsAtCompany]]&lt;=5,"3-5 years",Table1[[#This Row],[YearsAtCompany]]&lt;=10,"6-10 years",Table1[[#This Row],[YearsAtCompany]]&gt;10,"10+ years")</f>
        <v>3-5 years</v>
      </c>
      <c r="AI1102">
        <v>3</v>
      </c>
      <c r="AJ1102">
        <v>4</v>
      </c>
      <c r="AK1102">
        <v>2</v>
      </c>
      <c r="AL1102" t="str" cm="1">
        <f t="array" ref="AL1102">_xlfn.IFS(Table1[[#This Row],[JobSatisfaction]]=1,"Low",Table1[[#This Row],[JobSatisfaction]]=2,"Medium",Table1[[#This Row],[JobSatisfaction]]=3,"High",Table1[[#This Row],[JobSatisfaction]]=4,"Very High")</f>
        <v>High</v>
      </c>
      <c r="AM1102">
        <f>IF(Table1[[#This Row],[Attrition]]="Yes",1,0)</f>
        <v>0</v>
      </c>
    </row>
    <row r="1103" spans="1:39" ht="13.8" x14ac:dyDescent="0.25">
      <c r="A1103">
        <v>32</v>
      </c>
      <c r="B1103" t="str" cm="1">
        <f t="array" ref="B1103">_xlfn.IFS(Table1[[#This Row],[Age]]&lt;30,"Under 30",Table1[[#This Row],[Age]]&lt;=40,"30-40",Table1[[#This Row],[Age]]&lt;=50,"41-50",Table1[[#This Row],[Age]]&gt;50,"Over 50")</f>
        <v>30-40</v>
      </c>
      <c r="C1103" t="s">
        <v>43</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t="str" cm="1">
        <f t="array" ref="AH1103">_xlfn.IFS(Table1[[#This Row],[YearsAtCompany]]&lt;=2,"0-2 years",Table1[[#This Row],[YearsAtCompany]]&lt;=5,"3-5 years",Table1[[#This Row],[YearsAtCompany]]&lt;=10,"6-10 years",Table1[[#This Row],[YearsAtCompany]]&gt;10,"10+ years")</f>
        <v>6-10 years</v>
      </c>
      <c r="AI1103">
        <v>1</v>
      </c>
      <c r="AJ1103">
        <v>2</v>
      </c>
      <c r="AK1103">
        <v>5</v>
      </c>
      <c r="AL1103" t="str" cm="1">
        <f t="array" ref="AL1103">_xlfn.IFS(Table1[[#This Row],[JobSatisfaction]]=1,"Low",Table1[[#This Row],[JobSatisfaction]]=2,"Medium",Table1[[#This Row],[JobSatisfaction]]=3,"High",Table1[[#This Row],[JobSatisfaction]]=4,"Very High")</f>
        <v>Medium</v>
      </c>
      <c r="AM1103">
        <f>IF(Table1[[#This Row],[Attrition]]="Yes",1,0)</f>
        <v>0</v>
      </c>
    </row>
    <row r="1104" spans="1:39" ht="13.8" x14ac:dyDescent="0.25">
      <c r="A1104">
        <v>36</v>
      </c>
      <c r="B1104" t="str" cm="1">
        <f t="array" ref="B1104">_xlfn.IFS(Table1[[#This Row],[Age]]&lt;30,"Under 30",Table1[[#This Row],[Age]]&lt;=40,"30-40",Table1[[#This Row],[Age]]&lt;=50,"41-50",Table1[[#This Row],[Age]]&gt;50,"Over 50")</f>
        <v>30-40</v>
      </c>
      <c r="C1104" t="s">
        <v>43</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t="str" cm="1">
        <f t="array" ref="AH1104">_xlfn.IFS(Table1[[#This Row],[YearsAtCompany]]&lt;=2,"0-2 years",Table1[[#This Row],[YearsAtCompany]]&lt;=5,"3-5 years",Table1[[#This Row],[YearsAtCompany]]&lt;=10,"6-10 years",Table1[[#This Row],[YearsAtCompany]]&gt;10,"10+ years")</f>
        <v>3-5 years</v>
      </c>
      <c r="AI1104">
        <v>2</v>
      </c>
      <c r="AJ1104">
        <v>1</v>
      </c>
      <c r="AK1104">
        <v>2</v>
      </c>
      <c r="AL1104" t="str" cm="1">
        <f t="array" ref="AL1104">_xlfn.IFS(Table1[[#This Row],[JobSatisfaction]]=1,"Low",Table1[[#This Row],[JobSatisfaction]]=2,"Medium",Table1[[#This Row],[JobSatisfaction]]=3,"High",Table1[[#This Row],[JobSatisfaction]]=4,"Very High")</f>
        <v>Very High</v>
      </c>
      <c r="AM1104">
        <f>IF(Table1[[#This Row],[Attrition]]="Yes",1,0)</f>
        <v>0</v>
      </c>
    </row>
    <row r="1105" spans="1:39" ht="13.8" x14ac:dyDescent="0.25">
      <c r="A1105">
        <v>48</v>
      </c>
      <c r="B1105" t="str" cm="1">
        <f t="array" ref="B1105">_xlfn.IFS(Table1[[#This Row],[Age]]&lt;30,"Under 30",Table1[[#This Row],[Age]]&lt;=40,"30-40",Table1[[#This Row],[Age]]&lt;=50,"41-50",Table1[[#This Row],[Age]]&gt;50,"Over 50")</f>
        <v>41-50</v>
      </c>
      <c r="C1105" t="s">
        <v>43</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t="str" cm="1">
        <f t="array" ref="AH1105">_xlfn.IFS(Table1[[#This Row],[YearsAtCompany]]&lt;=2,"0-2 years",Table1[[#This Row],[YearsAtCompany]]&lt;=5,"3-5 years",Table1[[#This Row],[YearsAtCompany]]&lt;=10,"6-10 years",Table1[[#This Row],[YearsAtCompany]]&gt;10,"10+ years")</f>
        <v>6-10 years</v>
      </c>
      <c r="AI1105">
        <v>7</v>
      </c>
      <c r="AJ1105">
        <v>7</v>
      </c>
      <c r="AK1105">
        <v>7</v>
      </c>
      <c r="AL1105" t="str" cm="1">
        <f t="array" ref="AL1105">_xlfn.IFS(Table1[[#This Row],[JobSatisfaction]]=1,"Low",Table1[[#This Row],[JobSatisfaction]]=2,"Medium",Table1[[#This Row],[JobSatisfaction]]=3,"High",Table1[[#This Row],[JobSatisfaction]]=4,"Very High")</f>
        <v>High</v>
      </c>
      <c r="AM1105">
        <f>IF(Table1[[#This Row],[Attrition]]="Yes",1,0)</f>
        <v>0</v>
      </c>
    </row>
    <row r="1106" spans="1:39" ht="13.8" x14ac:dyDescent="0.25">
      <c r="A1106">
        <v>29</v>
      </c>
      <c r="B1106" t="str" cm="1">
        <f t="array" ref="B1106">_xlfn.IFS(Table1[[#This Row],[Age]]&lt;30,"Under 30",Table1[[#This Row],[Age]]&lt;=40,"30-40",Table1[[#This Row],[Age]]&lt;=50,"41-50",Table1[[#This Row],[Age]]&gt;50,"Over 50")</f>
        <v>Under 30</v>
      </c>
      <c r="C1106" t="s">
        <v>43</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t="str" cm="1">
        <f t="array" ref="AH1106">_xlfn.IFS(Table1[[#This Row],[YearsAtCompany]]&lt;=2,"0-2 years",Table1[[#This Row],[YearsAtCompany]]&lt;=5,"3-5 years",Table1[[#This Row],[YearsAtCompany]]&lt;=10,"6-10 years",Table1[[#This Row],[YearsAtCompany]]&gt;10,"10+ years")</f>
        <v>0-2 years</v>
      </c>
      <c r="AI1106">
        <v>0</v>
      </c>
      <c r="AJ1106">
        <v>0</v>
      </c>
      <c r="AK1106">
        <v>0</v>
      </c>
      <c r="AL1106" t="str" cm="1">
        <f t="array" ref="AL1106">_xlfn.IFS(Table1[[#This Row],[JobSatisfaction]]=1,"Low",Table1[[#This Row],[JobSatisfaction]]=2,"Medium",Table1[[#This Row],[JobSatisfaction]]=3,"High",Table1[[#This Row],[JobSatisfaction]]=4,"Very High")</f>
        <v>High</v>
      </c>
      <c r="AM1106">
        <f>IF(Table1[[#This Row],[Attrition]]="Yes",1,0)</f>
        <v>0</v>
      </c>
    </row>
    <row r="1107" spans="1:39" ht="13.8" x14ac:dyDescent="0.25">
      <c r="A1107">
        <v>33</v>
      </c>
      <c r="B1107" t="str" cm="1">
        <f t="array" ref="B1107">_xlfn.IFS(Table1[[#This Row],[Age]]&lt;30,"Under 30",Table1[[#This Row],[Age]]&lt;=40,"30-40",Table1[[#This Row],[Age]]&lt;=50,"41-50",Table1[[#This Row],[Age]]&gt;50,"Over 50")</f>
        <v>30-40</v>
      </c>
      <c r="C1107" t="s">
        <v>43</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t="str" cm="1">
        <f t="array" ref="AH1107">_xlfn.IFS(Table1[[#This Row],[YearsAtCompany]]&lt;=2,"0-2 years",Table1[[#This Row],[YearsAtCompany]]&lt;=5,"3-5 years",Table1[[#This Row],[YearsAtCompany]]&lt;=10,"6-10 years",Table1[[#This Row],[YearsAtCompany]]&gt;10,"10+ years")</f>
        <v>0-2 years</v>
      </c>
      <c r="AI1107">
        <v>2</v>
      </c>
      <c r="AJ1107">
        <v>2</v>
      </c>
      <c r="AK1107">
        <v>2</v>
      </c>
      <c r="AL1107" t="str" cm="1">
        <f t="array" ref="AL1107">_xlfn.IFS(Table1[[#This Row],[JobSatisfaction]]=1,"Low",Table1[[#This Row],[JobSatisfaction]]=2,"Medium",Table1[[#This Row],[JobSatisfaction]]=3,"High",Table1[[#This Row],[JobSatisfaction]]=4,"Very High")</f>
        <v>Low</v>
      </c>
      <c r="AM1107">
        <f>IF(Table1[[#This Row],[Attrition]]="Yes",1,0)</f>
        <v>0</v>
      </c>
    </row>
    <row r="1108" spans="1:39" ht="13.8" x14ac:dyDescent="0.25">
      <c r="A1108">
        <v>30</v>
      </c>
      <c r="B1108" t="str" cm="1">
        <f t="array" ref="B1108">_xlfn.IFS(Table1[[#This Row],[Age]]&lt;30,"Under 30",Table1[[#This Row],[Age]]&lt;=40,"30-40",Table1[[#This Row],[Age]]&lt;=50,"41-50",Table1[[#This Row],[Age]]&gt;50,"Over 50")</f>
        <v>30-40</v>
      </c>
      <c r="C1108" t="s">
        <v>35</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t="str" cm="1">
        <f t="array" ref="AH1108">_xlfn.IFS(Table1[[#This Row],[YearsAtCompany]]&lt;=2,"0-2 years",Table1[[#This Row],[YearsAtCompany]]&lt;=5,"3-5 years",Table1[[#This Row],[YearsAtCompany]]&lt;=10,"6-10 years",Table1[[#This Row],[YearsAtCompany]]&gt;10,"10+ years")</f>
        <v>6-10 years</v>
      </c>
      <c r="AI1108">
        <v>8</v>
      </c>
      <c r="AJ1108">
        <v>6</v>
      </c>
      <c r="AK1108">
        <v>7</v>
      </c>
      <c r="AL1108" t="str" cm="1">
        <f t="array" ref="AL1108">_xlfn.IFS(Table1[[#This Row],[JobSatisfaction]]=1,"Low",Table1[[#This Row],[JobSatisfaction]]=2,"Medium",Table1[[#This Row],[JobSatisfaction]]=3,"High",Table1[[#This Row],[JobSatisfaction]]=4,"Very High")</f>
        <v>Low</v>
      </c>
      <c r="AM1108">
        <f>IF(Table1[[#This Row],[Attrition]]="Yes",1,0)</f>
        <v>1</v>
      </c>
    </row>
    <row r="1109" spans="1:39" ht="13.8" x14ac:dyDescent="0.25">
      <c r="A1109">
        <v>38</v>
      </c>
      <c r="B1109" t="str" cm="1">
        <f t="array" ref="B1109">_xlfn.IFS(Table1[[#This Row],[Age]]&lt;30,"Under 30",Table1[[#This Row],[Age]]&lt;=40,"30-40",Table1[[#This Row],[Age]]&lt;=50,"41-50",Table1[[#This Row],[Age]]&gt;50,"Over 50")</f>
        <v>30-40</v>
      </c>
      <c r="C1109" t="s">
        <v>43</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t="str" cm="1">
        <f t="array" ref="AH1109">_xlfn.IFS(Table1[[#This Row],[YearsAtCompany]]&lt;=2,"0-2 years",Table1[[#This Row],[YearsAtCompany]]&lt;=5,"3-5 years",Table1[[#This Row],[YearsAtCompany]]&lt;=10,"6-10 years",Table1[[#This Row],[YearsAtCompany]]&gt;10,"10+ years")</f>
        <v>6-10 years</v>
      </c>
      <c r="AI1109">
        <v>3</v>
      </c>
      <c r="AJ1109">
        <v>1</v>
      </c>
      <c r="AK1109">
        <v>2</v>
      </c>
      <c r="AL1109" t="str" cm="1">
        <f t="array" ref="AL1109">_xlfn.IFS(Table1[[#This Row],[JobSatisfaction]]=1,"Low",Table1[[#This Row],[JobSatisfaction]]=2,"Medium",Table1[[#This Row],[JobSatisfaction]]=3,"High",Table1[[#This Row],[JobSatisfaction]]=4,"Very High")</f>
        <v>High</v>
      </c>
      <c r="AM1109">
        <f>IF(Table1[[#This Row],[Attrition]]="Yes",1,0)</f>
        <v>0</v>
      </c>
    </row>
    <row r="1110" spans="1:39" ht="13.8" x14ac:dyDescent="0.25">
      <c r="A1110">
        <v>35</v>
      </c>
      <c r="B1110" t="str" cm="1">
        <f t="array" ref="B1110">_xlfn.IFS(Table1[[#This Row],[Age]]&lt;30,"Under 30",Table1[[#This Row],[Age]]&lt;=40,"30-40",Table1[[#This Row],[Age]]&lt;=50,"41-50",Table1[[#This Row],[Age]]&gt;50,"Over 50")</f>
        <v>30-40</v>
      </c>
      <c r="C1110" t="s">
        <v>43</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t="str" cm="1">
        <f t="array" ref="AH1110">_xlfn.IFS(Table1[[#This Row],[YearsAtCompany]]&lt;=2,"0-2 years",Table1[[#This Row],[YearsAtCompany]]&lt;=5,"3-5 years",Table1[[#This Row],[YearsAtCompany]]&lt;=10,"6-10 years",Table1[[#This Row],[YearsAtCompany]]&gt;10,"10+ years")</f>
        <v>3-5 years</v>
      </c>
      <c r="AI1110">
        <v>0</v>
      </c>
      <c r="AJ1110">
        <v>1</v>
      </c>
      <c r="AK1110">
        <v>2</v>
      </c>
      <c r="AL1110" t="str" cm="1">
        <f t="array" ref="AL1110">_xlfn.IFS(Table1[[#This Row],[JobSatisfaction]]=1,"Low",Table1[[#This Row],[JobSatisfaction]]=2,"Medium",Table1[[#This Row],[JobSatisfaction]]=3,"High",Table1[[#This Row],[JobSatisfaction]]=4,"Very High")</f>
        <v>Low</v>
      </c>
      <c r="AM1110">
        <f>IF(Table1[[#This Row],[Attrition]]="Yes",1,0)</f>
        <v>0</v>
      </c>
    </row>
    <row r="1111" spans="1:39" ht="13.8" x14ac:dyDescent="0.25">
      <c r="A1111">
        <v>30</v>
      </c>
      <c r="B1111" t="str" cm="1">
        <f t="array" ref="B1111">_xlfn.IFS(Table1[[#This Row],[Age]]&lt;30,"Under 30",Table1[[#This Row],[Age]]&lt;=40,"30-40",Table1[[#This Row],[Age]]&lt;=50,"41-50",Table1[[#This Row],[Age]]&gt;50,"Over 50")</f>
        <v>30-40</v>
      </c>
      <c r="C1111" t="s">
        <v>43</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t="str" cm="1">
        <f t="array" ref="AH1111">_xlfn.IFS(Table1[[#This Row],[YearsAtCompany]]&lt;=2,"0-2 years",Table1[[#This Row],[YearsAtCompany]]&lt;=5,"3-5 years",Table1[[#This Row],[YearsAtCompany]]&lt;=10,"6-10 years",Table1[[#This Row],[YearsAtCompany]]&gt;10,"10+ years")</f>
        <v>3-5 years</v>
      </c>
      <c r="AI1111">
        <v>2</v>
      </c>
      <c r="AJ1111">
        <v>1</v>
      </c>
      <c r="AK1111">
        <v>3</v>
      </c>
      <c r="AL1111" t="str" cm="1">
        <f t="array" ref="AL1111">_xlfn.IFS(Table1[[#This Row],[JobSatisfaction]]=1,"Low",Table1[[#This Row],[JobSatisfaction]]=2,"Medium",Table1[[#This Row],[JobSatisfaction]]=3,"High",Table1[[#This Row],[JobSatisfaction]]=4,"Very High")</f>
        <v>Medium</v>
      </c>
      <c r="AM1111">
        <f>IF(Table1[[#This Row],[Attrition]]="Yes",1,0)</f>
        <v>0</v>
      </c>
    </row>
    <row r="1112" spans="1:39" ht="13.8" x14ac:dyDescent="0.25">
      <c r="A1112">
        <v>35</v>
      </c>
      <c r="B1112" t="str" cm="1">
        <f t="array" ref="B1112">_xlfn.IFS(Table1[[#This Row],[Age]]&lt;30,"Under 30",Table1[[#This Row],[Age]]&lt;=40,"30-40",Table1[[#This Row],[Age]]&lt;=50,"41-50",Table1[[#This Row],[Age]]&gt;50,"Over 50")</f>
        <v>30-40</v>
      </c>
      <c r="C1112" t="s">
        <v>35</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t="str" cm="1">
        <f t="array" ref="AH1112">_xlfn.IFS(Table1[[#This Row],[YearsAtCompany]]&lt;=2,"0-2 years",Table1[[#This Row],[YearsAtCompany]]&lt;=5,"3-5 years",Table1[[#This Row],[YearsAtCompany]]&lt;=10,"6-10 years",Table1[[#This Row],[YearsAtCompany]]&gt;10,"10+ years")</f>
        <v>0-2 years</v>
      </c>
      <c r="AI1112">
        <v>0</v>
      </c>
      <c r="AJ1112">
        <v>0</v>
      </c>
      <c r="AK1112">
        <v>0</v>
      </c>
      <c r="AL1112" t="str" cm="1">
        <f t="array" ref="AL1112">_xlfn.IFS(Table1[[#This Row],[JobSatisfaction]]=1,"Low",Table1[[#This Row],[JobSatisfaction]]=2,"Medium",Table1[[#This Row],[JobSatisfaction]]=3,"High",Table1[[#This Row],[JobSatisfaction]]=4,"Very High")</f>
        <v>Low</v>
      </c>
      <c r="AM1112">
        <f>IF(Table1[[#This Row],[Attrition]]="Yes",1,0)</f>
        <v>1</v>
      </c>
    </row>
    <row r="1113" spans="1:39" ht="13.8" x14ac:dyDescent="0.25">
      <c r="A1113">
        <v>53</v>
      </c>
      <c r="B1113" t="str" cm="1">
        <f t="array" ref="B1113">_xlfn.IFS(Table1[[#This Row],[Age]]&lt;30,"Under 30",Table1[[#This Row],[Age]]&lt;=40,"30-40",Table1[[#This Row],[Age]]&lt;=50,"41-50",Table1[[#This Row],[Age]]&gt;50,"Over 50")</f>
        <v>Over 50</v>
      </c>
      <c r="C1113" t="s">
        <v>35</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t="str" cm="1">
        <f t="array" ref="AH1113">_xlfn.IFS(Table1[[#This Row],[YearsAtCompany]]&lt;=2,"0-2 years",Table1[[#This Row],[YearsAtCompany]]&lt;=5,"3-5 years",Table1[[#This Row],[YearsAtCompany]]&lt;=10,"6-10 years",Table1[[#This Row],[YearsAtCompany]]&gt;10,"10+ years")</f>
        <v>10+ years</v>
      </c>
      <c r="AI1113">
        <v>7</v>
      </c>
      <c r="AJ1113">
        <v>1</v>
      </c>
      <c r="AK1113">
        <v>9</v>
      </c>
      <c r="AL1113" t="str" cm="1">
        <f t="array" ref="AL1113">_xlfn.IFS(Table1[[#This Row],[JobSatisfaction]]=1,"Low",Table1[[#This Row],[JobSatisfaction]]=2,"Medium",Table1[[#This Row],[JobSatisfaction]]=3,"High",Table1[[#This Row],[JobSatisfaction]]=4,"Very High")</f>
        <v>Very High</v>
      </c>
      <c r="AM1113">
        <f>IF(Table1[[#This Row],[Attrition]]="Yes",1,0)</f>
        <v>1</v>
      </c>
    </row>
    <row r="1114" spans="1:39" ht="13.8" x14ac:dyDescent="0.25">
      <c r="A1114">
        <v>38</v>
      </c>
      <c r="B1114" t="str" cm="1">
        <f t="array" ref="B1114">_xlfn.IFS(Table1[[#This Row],[Age]]&lt;30,"Under 30",Table1[[#This Row],[Age]]&lt;=40,"30-40",Table1[[#This Row],[Age]]&lt;=50,"41-50",Table1[[#This Row],[Age]]&gt;50,"Over 50")</f>
        <v>30-40</v>
      </c>
      <c r="C1114" t="s">
        <v>35</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t="str" cm="1">
        <f t="array" ref="AH1114">_xlfn.IFS(Table1[[#This Row],[YearsAtCompany]]&lt;=2,"0-2 years",Table1[[#This Row],[YearsAtCompany]]&lt;=5,"3-5 years",Table1[[#This Row],[YearsAtCompany]]&lt;=10,"6-10 years",Table1[[#This Row],[YearsAtCompany]]&gt;10,"10+ years")</f>
        <v>3-5 years</v>
      </c>
      <c r="AI1114">
        <v>2</v>
      </c>
      <c r="AJ1114">
        <v>1</v>
      </c>
      <c r="AK1114">
        <v>4</v>
      </c>
      <c r="AL1114" t="str" cm="1">
        <f t="array" ref="AL1114">_xlfn.IFS(Table1[[#This Row],[JobSatisfaction]]=1,"Low",Table1[[#This Row],[JobSatisfaction]]=2,"Medium",Table1[[#This Row],[JobSatisfaction]]=3,"High",Table1[[#This Row],[JobSatisfaction]]=4,"Very High")</f>
        <v>Medium</v>
      </c>
      <c r="AM1114">
        <f>IF(Table1[[#This Row],[Attrition]]="Yes",1,0)</f>
        <v>1</v>
      </c>
    </row>
    <row r="1115" spans="1:39" ht="13.8" x14ac:dyDescent="0.25">
      <c r="A1115">
        <v>32</v>
      </c>
      <c r="B1115" t="str" cm="1">
        <f t="array" ref="B1115">_xlfn.IFS(Table1[[#This Row],[Age]]&lt;30,"Under 30",Table1[[#This Row],[Age]]&lt;=40,"30-40",Table1[[#This Row],[Age]]&lt;=50,"41-50",Table1[[#This Row],[Age]]&gt;50,"Over 50")</f>
        <v>30-40</v>
      </c>
      <c r="C1115" t="s">
        <v>43</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t="str" cm="1">
        <f t="array" ref="AH1115">_xlfn.IFS(Table1[[#This Row],[YearsAtCompany]]&lt;=2,"0-2 years",Table1[[#This Row],[YearsAtCompany]]&lt;=5,"3-5 years",Table1[[#This Row],[YearsAtCompany]]&lt;=10,"6-10 years",Table1[[#This Row],[YearsAtCompany]]&gt;10,"10+ years")</f>
        <v>6-10 years</v>
      </c>
      <c r="AI1115">
        <v>5</v>
      </c>
      <c r="AJ1115">
        <v>1</v>
      </c>
      <c r="AK1115">
        <v>2</v>
      </c>
      <c r="AL1115" t="str" cm="1">
        <f t="array" ref="AL1115">_xlfn.IFS(Table1[[#This Row],[JobSatisfaction]]=1,"Low",Table1[[#This Row],[JobSatisfaction]]=2,"Medium",Table1[[#This Row],[JobSatisfaction]]=3,"High",Table1[[#This Row],[JobSatisfaction]]=4,"Very High")</f>
        <v>Low</v>
      </c>
      <c r="AM1115">
        <f>IF(Table1[[#This Row],[Attrition]]="Yes",1,0)</f>
        <v>0</v>
      </c>
    </row>
    <row r="1116" spans="1:39" ht="13.8" x14ac:dyDescent="0.25">
      <c r="A1116">
        <v>48</v>
      </c>
      <c r="B1116" t="str" cm="1">
        <f t="array" ref="B1116">_xlfn.IFS(Table1[[#This Row],[Age]]&lt;30,"Under 30",Table1[[#This Row],[Age]]&lt;=40,"30-40",Table1[[#This Row],[Age]]&lt;=50,"41-50",Table1[[#This Row],[Age]]&gt;50,"Over 50")</f>
        <v>41-50</v>
      </c>
      <c r="C1116" t="s">
        <v>43</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t="str" cm="1">
        <f t="array" ref="AH1116">_xlfn.IFS(Table1[[#This Row],[YearsAtCompany]]&lt;=2,"0-2 years",Table1[[#This Row],[YearsAtCompany]]&lt;=5,"3-5 years",Table1[[#This Row],[YearsAtCompany]]&lt;=10,"6-10 years",Table1[[#This Row],[YearsAtCompany]]&gt;10,"10+ years")</f>
        <v>6-10 years</v>
      </c>
      <c r="AI1116">
        <v>2</v>
      </c>
      <c r="AJ1116">
        <v>7</v>
      </c>
      <c r="AK1116">
        <v>6</v>
      </c>
      <c r="AL1116" t="str" cm="1">
        <f t="array" ref="AL1116">_xlfn.IFS(Table1[[#This Row],[JobSatisfaction]]=1,"Low",Table1[[#This Row],[JobSatisfaction]]=2,"Medium",Table1[[#This Row],[JobSatisfaction]]=3,"High",Table1[[#This Row],[JobSatisfaction]]=4,"Very High")</f>
        <v>Low</v>
      </c>
      <c r="AM1116">
        <f>IF(Table1[[#This Row],[Attrition]]="Yes",1,0)</f>
        <v>0</v>
      </c>
    </row>
    <row r="1117" spans="1:39" ht="13.8" x14ac:dyDescent="0.25">
      <c r="A1117">
        <v>34</v>
      </c>
      <c r="B1117" t="str" cm="1">
        <f t="array" ref="B1117">_xlfn.IFS(Table1[[#This Row],[Age]]&lt;30,"Under 30",Table1[[#This Row],[Age]]&lt;=40,"30-40",Table1[[#This Row],[Age]]&lt;=50,"41-50",Table1[[#This Row],[Age]]&gt;50,"Over 50")</f>
        <v>30-40</v>
      </c>
      <c r="C1117" t="s">
        <v>43</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t="str" cm="1">
        <f t="array" ref="AH1117">_xlfn.IFS(Table1[[#This Row],[YearsAtCompany]]&lt;=2,"0-2 years",Table1[[#This Row],[YearsAtCompany]]&lt;=5,"3-5 years",Table1[[#This Row],[YearsAtCompany]]&lt;=10,"6-10 years",Table1[[#This Row],[YearsAtCompany]]&gt;10,"10+ years")</f>
        <v>0-2 years</v>
      </c>
      <c r="AI1117">
        <v>0</v>
      </c>
      <c r="AJ1117">
        <v>0</v>
      </c>
      <c r="AK1117">
        <v>0</v>
      </c>
      <c r="AL1117" t="str" cm="1">
        <f t="array" ref="AL1117">_xlfn.IFS(Table1[[#This Row],[JobSatisfaction]]=1,"Low",Table1[[#This Row],[JobSatisfaction]]=2,"Medium",Table1[[#This Row],[JobSatisfaction]]=3,"High",Table1[[#This Row],[JobSatisfaction]]=4,"Very High")</f>
        <v>Very High</v>
      </c>
      <c r="AM1117">
        <f>IF(Table1[[#This Row],[Attrition]]="Yes",1,0)</f>
        <v>0</v>
      </c>
    </row>
    <row r="1118" spans="1:39" ht="13.8" x14ac:dyDescent="0.25">
      <c r="A1118">
        <v>55</v>
      </c>
      <c r="B1118" t="str" cm="1">
        <f t="array" ref="B1118">_xlfn.IFS(Table1[[#This Row],[Age]]&lt;30,"Under 30",Table1[[#This Row],[Age]]&lt;=40,"30-40",Table1[[#This Row],[Age]]&lt;=50,"41-50",Table1[[#This Row],[Age]]&gt;50,"Over 50")</f>
        <v>Over 50</v>
      </c>
      <c r="C1118" t="s">
        <v>43</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t="str" cm="1">
        <f t="array" ref="AH1118">_xlfn.IFS(Table1[[#This Row],[YearsAtCompany]]&lt;=2,"0-2 years",Table1[[#This Row],[YearsAtCompany]]&lt;=5,"3-5 years",Table1[[#This Row],[YearsAtCompany]]&lt;=10,"6-10 years",Table1[[#This Row],[YearsAtCompany]]&gt;10,"10+ years")</f>
        <v>10+ years</v>
      </c>
      <c r="AI1118">
        <v>6</v>
      </c>
      <c r="AJ1118">
        <v>2</v>
      </c>
      <c r="AK1118">
        <v>13</v>
      </c>
      <c r="AL1118" t="str" cm="1">
        <f t="array" ref="AL1118">_xlfn.IFS(Table1[[#This Row],[JobSatisfaction]]=1,"Low",Table1[[#This Row],[JobSatisfaction]]=2,"Medium",Table1[[#This Row],[JobSatisfaction]]=3,"High",Table1[[#This Row],[JobSatisfaction]]=4,"Very High")</f>
        <v>Very High</v>
      </c>
      <c r="AM1118">
        <f>IF(Table1[[#This Row],[Attrition]]="Yes",1,0)</f>
        <v>0</v>
      </c>
    </row>
    <row r="1119" spans="1:39" ht="13.8" x14ac:dyDescent="0.25">
      <c r="A1119">
        <v>34</v>
      </c>
      <c r="B1119" t="str" cm="1">
        <f t="array" ref="B1119">_xlfn.IFS(Table1[[#This Row],[Age]]&lt;30,"Under 30",Table1[[#This Row],[Age]]&lt;=40,"30-40",Table1[[#This Row],[Age]]&lt;=50,"41-50",Table1[[#This Row],[Age]]&gt;50,"Over 50")</f>
        <v>30-40</v>
      </c>
      <c r="C1119" t="s">
        <v>43</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t="str" cm="1">
        <f t="array" ref="AH1119">_xlfn.IFS(Table1[[#This Row],[YearsAtCompany]]&lt;=2,"0-2 years",Table1[[#This Row],[YearsAtCompany]]&lt;=5,"3-5 years",Table1[[#This Row],[YearsAtCompany]]&lt;=10,"6-10 years",Table1[[#This Row],[YearsAtCompany]]&gt;10,"10+ years")</f>
        <v>0-2 years</v>
      </c>
      <c r="AI1119">
        <v>2</v>
      </c>
      <c r="AJ1119">
        <v>2</v>
      </c>
      <c r="AK1119">
        <v>1</v>
      </c>
      <c r="AL1119" t="str" cm="1">
        <f t="array" ref="AL1119">_xlfn.IFS(Table1[[#This Row],[JobSatisfaction]]=1,"Low",Table1[[#This Row],[JobSatisfaction]]=2,"Medium",Table1[[#This Row],[JobSatisfaction]]=3,"High",Table1[[#This Row],[JobSatisfaction]]=4,"Very High")</f>
        <v>Very High</v>
      </c>
      <c r="AM1119">
        <f>IF(Table1[[#This Row],[Attrition]]="Yes",1,0)</f>
        <v>0</v>
      </c>
    </row>
    <row r="1120" spans="1:39" ht="13.8" x14ac:dyDescent="0.25">
      <c r="A1120">
        <v>26</v>
      </c>
      <c r="B1120" t="str" cm="1">
        <f t="array" ref="B1120">_xlfn.IFS(Table1[[#This Row],[Age]]&lt;30,"Under 30",Table1[[#This Row],[Age]]&lt;=40,"30-40",Table1[[#This Row],[Age]]&lt;=50,"41-50",Table1[[#This Row],[Age]]&gt;50,"Over 50")</f>
        <v>Under 30</v>
      </c>
      <c r="C1120" t="s">
        <v>43</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t="str" cm="1">
        <f t="array" ref="AH1120">_xlfn.IFS(Table1[[#This Row],[YearsAtCompany]]&lt;=2,"0-2 years",Table1[[#This Row],[YearsAtCompany]]&lt;=5,"3-5 years",Table1[[#This Row],[YearsAtCompany]]&lt;=10,"6-10 years",Table1[[#This Row],[YearsAtCompany]]&gt;10,"10+ years")</f>
        <v>0-2 years</v>
      </c>
      <c r="AI1120">
        <v>0</v>
      </c>
      <c r="AJ1120">
        <v>0</v>
      </c>
      <c r="AK1120">
        <v>0</v>
      </c>
      <c r="AL1120" t="str" cm="1">
        <f t="array" ref="AL1120">_xlfn.IFS(Table1[[#This Row],[JobSatisfaction]]=1,"Low",Table1[[#This Row],[JobSatisfaction]]=2,"Medium",Table1[[#This Row],[JobSatisfaction]]=3,"High",Table1[[#This Row],[JobSatisfaction]]=4,"Very High")</f>
        <v>Very High</v>
      </c>
      <c r="AM1120">
        <f>IF(Table1[[#This Row],[Attrition]]="Yes",1,0)</f>
        <v>0</v>
      </c>
    </row>
    <row r="1121" spans="1:39" ht="13.8" x14ac:dyDescent="0.25">
      <c r="A1121">
        <v>38</v>
      </c>
      <c r="B1121" t="str" cm="1">
        <f t="array" ref="B1121">_xlfn.IFS(Table1[[#This Row],[Age]]&lt;30,"Under 30",Table1[[#This Row],[Age]]&lt;=40,"30-40",Table1[[#This Row],[Age]]&lt;=50,"41-50",Table1[[#This Row],[Age]]&gt;50,"Over 50")</f>
        <v>30-40</v>
      </c>
      <c r="C1121" t="s">
        <v>43</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t="str" cm="1">
        <f t="array" ref="AH1121">_xlfn.IFS(Table1[[#This Row],[YearsAtCompany]]&lt;=2,"0-2 years",Table1[[#This Row],[YearsAtCompany]]&lt;=5,"3-5 years",Table1[[#This Row],[YearsAtCompany]]&lt;=10,"6-10 years",Table1[[#This Row],[YearsAtCompany]]&gt;10,"10+ years")</f>
        <v>6-10 years</v>
      </c>
      <c r="AI1121">
        <v>8</v>
      </c>
      <c r="AJ1121">
        <v>7</v>
      </c>
      <c r="AK1121">
        <v>7</v>
      </c>
      <c r="AL1121" t="str" cm="1">
        <f t="array" ref="AL1121">_xlfn.IFS(Table1[[#This Row],[JobSatisfaction]]=1,"Low",Table1[[#This Row],[JobSatisfaction]]=2,"Medium",Table1[[#This Row],[JobSatisfaction]]=3,"High",Table1[[#This Row],[JobSatisfaction]]=4,"Very High")</f>
        <v>Medium</v>
      </c>
      <c r="AM1121">
        <f>IF(Table1[[#This Row],[Attrition]]="Yes",1,0)</f>
        <v>0</v>
      </c>
    </row>
    <row r="1122" spans="1:39" ht="13.8" x14ac:dyDescent="0.25">
      <c r="A1122">
        <v>38</v>
      </c>
      <c r="B1122" t="str" cm="1">
        <f t="array" ref="B1122">_xlfn.IFS(Table1[[#This Row],[Age]]&lt;30,"Under 30",Table1[[#This Row],[Age]]&lt;=40,"30-40",Table1[[#This Row],[Age]]&lt;=50,"41-50",Table1[[#This Row],[Age]]&gt;50,"Over 50")</f>
        <v>30-40</v>
      </c>
      <c r="C1122" t="s">
        <v>43</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t="str" cm="1">
        <f t="array" ref="AH1122">_xlfn.IFS(Table1[[#This Row],[YearsAtCompany]]&lt;=2,"0-2 years",Table1[[#This Row],[YearsAtCompany]]&lt;=5,"3-5 years",Table1[[#This Row],[YearsAtCompany]]&lt;=10,"6-10 years",Table1[[#This Row],[YearsAtCompany]]&gt;10,"10+ years")</f>
        <v>3-5 years</v>
      </c>
      <c r="AI1122">
        <v>2</v>
      </c>
      <c r="AJ1122">
        <v>1</v>
      </c>
      <c r="AK1122">
        <v>2</v>
      </c>
      <c r="AL1122" t="str" cm="1">
        <f t="array" ref="AL1122">_xlfn.IFS(Table1[[#This Row],[JobSatisfaction]]=1,"Low",Table1[[#This Row],[JobSatisfaction]]=2,"Medium",Table1[[#This Row],[JobSatisfaction]]=3,"High",Table1[[#This Row],[JobSatisfaction]]=4,"Very High")</f>
        <v>Medium</v>
      </c>
      <c r="AM1122">
        <f>IF(Table1[[#This Row],[Attrition]]="Yes",1,0)</f>
        <v>0</v>
      </c>
    </row>
    <row r="1123" spans="1:39" ht="13.8" x14ac:dyDescent="0.25">
      <c r="A1123">
        <v>36</v>
      </c>
      <c r="B1123" t="str" cm="1">
        <f t="array" ref="B1123">_xlfn.IFS(Table1[[#This Row],[Age]]&lt;30,"Under 30",Table1[[#This Row],[Age]]&lt;=40,"30-40",Table1[[#This Row],[Age]]&lt;=50,"41-50",Table1[[#This Row],[Age]]&gt;50,"Over 50")</f>
        <v>30-40</v>
      </c>
      <c r="C1123" t="s">
        <v>43</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t="str" cm="1">
        <f t="array" ref="AH1123">_xlfn.IFS(Table1[[#This Row],[YearsAtCompany]]&lt;=2,"0-2 years",Table1[[#This Row],[YearsAtCompany]]&lt;=5,"3-5 years",Table1[[#This Row],[YearsAtCompany]]&lt;=10,"6-10 years",Table1[[#This Row],[YearsAtCompany]]&gt;10,"10+ years")</f>
        <v>0-2 years</v>
      </c>
      <c r="AI1123">
        <v>0</v>
      </c>
      <c r="AJ1123">
        <v>0</v>
      </c>
      <c r="AK1123">
        <v>0</v>
      </c>
      <c r="AL1123" t="str" cm="1">
        <f t="array" ref="AL1123">_xlfn.IFS(Table1[[#This Row],[JobSatisfaction]]=1,"Low",Table1[[#This Row],[JobSatisfaction]]=2,"Medium",Table1[[#This Row],[JobSatisfaction]]=3,"High",Table1[[#This Row],[JobSatisfaction]]=4,"Very High")</f>
        <v>High</v>
      </c>
      <c r="AM1123">
        <f>IF(Table1[[#This Row],[Attrition]]="Yes",1,0)</f>
        <v>0</v>
      </c>
    </row>
    <row r="1124" spans="1:39" ht="13.8" x14ac:dyDescent="0.25">
      <c r="A1124">
        <v>29</v>
      </c>
      <c r="B1124" t="str" cm="1">
        <f t="array" ref="B1124">_xlfn.IFS(Table1[[#This Row],[Age]]&lt;30,"Under 30",Table1[[#This Row],[Age]]&lt;=40,"30-40",Table1[[#This Row],[Age]]&lt;=50,"41-50",Table1[[#This Row],[Age]]&gt;50,"Over 50")</f>
        <v>Under 30</v>
      </c>
      <c r="C1124" t="s">
        <v>43</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t="str" cm="1">
        <f t="array" ref="AH1124">_xlfn.IFS(Table1[[#This Row],[YearsAtCompany]]&lt;=2,"0-2 years",Table1[[#This Row],[YearsAtCompany]]&lt;=5,"3-5 years",Table1[[#This Row],[YearsAtCompany]]&lt;=10,"6-10 years",Table1[[#This Row],[YearsAtCompany]]&gt;10,"10+ years")</f>
        <v>6-10 years</v>
      </c>
      <c r="AI1124">
        <v>9</v>
      </c>
      <c r="AJ1124">
        <v>1</v>
      </c>
      <c r="AK1124">
        <v>5</v>
      </c>
      <c r="AL1124" t="str" cm="1">
        <f t="array" ref="AL1124">_xlfn.IFS(Table1[[#This Row],[JobSatisfaction]]=1,"Low",Table1[[#This Row],[JobSatisfaction]]=2,"Medium",Table1[[#This Row],[JobSatisfaction]]=3,"High",Table1[[#This Row],[JobSatisfaction]]=4,"Very High")</f>
        <v>Low</v>
      </c>
      <c r="AM1124">
        <f>IF(Table1[[#This Row],[Attrition]]="Yes",1,0)</f>
        <v>0</v>
      </c>
    </row>
    <row r="1125" spans="1:39" ht="13.8" x14ac:dyDescent="0.25">
      <c r="A1125">
        <v>35</v>
      </c>
      <c r="B1125" t="str" cm="1">
        <f t="array" ref="B1125">_xlfn.IFS(Table1[[#This Row],[Age]]&lt;30,"Under 30",Table1[[#This Row],[Age]]&lt;=40,"30-40",Table1[[#This Row],[Age]]&lt;=50,"41-50",Table1[[#This Row],[Age]]&gt;50,"Over 50")</f>
        <v>30-40</v>
      </c>
      <c r="C1125" t="s">
        <v>43</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t="str" cm="1">
        <f t="array" ref="AH1125">_xlfn.IFS(Table1[[#This Row],[YearsAtCompany]]&lt;=2,"0-2 years",Table1[[#This Row],[YearsAtCompany]]&lt;=5,"3-5 years",Table1[[#This Row],[YearsAtCompany]]&lt;=10,"6-10 years",Table1[[#This Row],[YearsAtCompany]]&gt;10,"10+ years")</f>
        <v>3-5 years</v>
      </c>
      <c r="AI1125">
        <v>2</v>
      </c>
      <c r="AJ1125">
        <v>0</v>
      </c>
      <c r="AK1125">
        <v>4</v>
      </c>
      <c r="AL1125" t="str" cm="1">
        <f t="array" ref="AL1125">_xlfn.IFS(Table1[[#This Row],[JobSatisfaction]]=1,"Low",Table1[[#This Row],[JobSatisfaction]]=2,"Medium",Table1[[#This Row],[JobSatisfaction]]=3,"High",Table1[[#This Row],[JobSatisfaction]]=4,"Very High")</f>
        <v>High</v>
      </c>
      <c r="AM1125">
        <f>IF(Table1[[#This Row],[Attrition]]="Yes",1,0)</f>
        <v>0</v>
      </c>
    </row>
    <row r="1126" spans="1:39" ht="13.8" x14ac:dyDescent="0.25">
      <c r="A1126">
        <v>39</v>
      </c>
      <c r="B1126" t="str" cm="1">
        <f t="array" ref="B1126">_xlfn.IFS(Table1[[#This Row],[Age]]&lt;30,"Under 30",Table1[[#This Row],[Age]]&lt;=40,"30-40",Table1[[#This Row],[Age]]&lt;=50,"41-50",Table1[[#This Row],[Age]]&gt;50,"Over 50")</f>
        <v>30-40</v>
      </c>
      <c r="C1126" t="s">
        <v>43</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t="str" cm="1">
        <f t="array" ref="AH1126">_xlfn.IFS(Table1[[#This Row],[YearsAtCompany]]&lt;=2,"0-2 years",Table1[[#This Row],[YearsAtCompany]]&lt;=5,"3-5 years",Table1[[#This Row],[YearsAtCompany]]&lt;=10,"6-10 years",Table1[[#This Row],[YearsAtCompany]]&gt;10,"10+ years")</f>
        <v>6-10 years</v>
      </c>
      <c r="AI1126">
        <v>6</v>
      </c>
      <c r="AJ1126">
        <v>7</v>
      </c>
      <c r="AK1126">
        <v>6</v>
      </c>
      <c r="AL1126" t="str" cm="1">
        <f t="array" ref="AL1126">_xlfn.IFS(Table1[[#This Row],[JobSatisfaction]]=1,"Low",Table1[[#This Row],[JobSatisfaction]]=2,"Medium",Table1[[#This Row],[JobSatisfaction]]=3,"High",Table1[[#This Row],[JobSatisfaction]]=4,"Very High")</f>
        <v>High</v>
      </c>
      <c r="AM1126">
        <f>IF(Table1[[#This Row],[Attrition]]="Yes",1,0)</f>
        <v>0</v>
      </c>
    </row>
    <row r="1127" spans="1:39" ht="13.8" x14ac:dyDescent="0.25">
      <c r="A1127">
        <v>29</v>
      </c>
      <c r="B1127" t="str" cm="1">
        <f t="array" ref="B1127">_xlfn.IFS(Table1[[#This Row],[Age]]&lt;30,"Under 30",Table1[[#This Row],[Age]]&lt;=40,"30-40",Table1[[#This Row],[Age]]&lt;=50,"41-50",Table1[[#This Row],[Age]]&gt;50,"Over 50")</f>
        <v>Under 30</v>
      </c>
      <c r="C1127" t="s">
        <v>43</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t="str" cm="1">
        <f t="array" ref="AH1127">_xlfn.IFS(Table1[[#This Row],[YearsAtCompany]]&lt;=2,"0-2 years",Table1[[#This Row],[YearsAtCompany]]&lt;=5,"3-5 years",Table1[[#This Row],[YearsAtCompany]]&lt;=10,"6-10 years",Table1[[#This Row],[YearsAtCompany]]&gt;10,"10+ years")</f>
        <v>6-10 years</v>
      </c>
      <c r="AI1127">
        <v>4</v>
      </c>
      <c r="AJ1127">
        <v>1</v>
      </c>
      <c r="AK1127">
        <v>3</v>
      </c>
      <c r="AL1127" t="str" cm="1">
        <f t="array" ref="AL1127">_xlfn.IFS(Table1[[#This Row],[JobSatisfaction]]=1,"Low",Table1[[#This Row],[JobSatisfaction]]=2,"Medium",Table1[[#This Row],[JobSatisfaction]]=3,"High",Table1[[#This Row],[JobSatisfaction]]=4,"Very High")</f>
        <v>Very High</v>
      </c>
      <c r="AM1127">
        <f>IF(Table1[[#This Row],[Attrition]]="Yes",1,0)</f>
        <v>0</v>
      </c>
    </row>
    <row r="1128" spans="1:39" ht="13.8" x14ac:dyDescent="0.25">
      <c r="A1128">
        <v>50</v>
      </c>
      <c r="B1128" t="str" cm="1">
        <f t="array" ref="B1128">_xlfn.IFS(Table1[[#This Row],[Age]]&lt;30,"Under 30",Table1[[#This Row],[Age]]&lt;=40,"30-40",Table1[[#This Row],[Age]]&lt;=50,"41-50",Table1[[#This Row],[Age]]&gt;50,"Over 50")</f>
        <v>41-50</v>
      </c>
      <c r="C1128" t="s">
        <v>43</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t="str" cm="1">
        <f t="array" ref="AH1128">_xlfn.IFS(Table1[[#This Row],[YearsAtCompany]]&lt;=2,"0-2 years",Table1[[#This Row],[YearsAtCompany]]&lt;=5,"3-5 years",Table1[[#This Row],[YearsAtCompany]]&lt;=10,"6-10 years",Table1[[#This Row],[YearsAtCompany]]&gt;10,"10+ years")</f>
        <v>0-2 years</v>
      </c>
      <c r="AI1128">
        <v>0</v>
      </c>
      <c r="AJ1128">
        <v>0</v>
      </c>
      <c r="AK1128">
        <v>0</v>
      </c>
      <c r="AL1128" t="str" cm="1">
        <f t="array" ref="AL1128">_xlfn.IFS(Table1[[#This Row],[JobSatisfaction]]=1,"Low",Table1[[#This Row],[JobSatisfaction]]=2,"Medium",Table1[[#This Row],[JobSatisfaction]]=3,"High",Table1[[#This Row],[JobSatisfaction]]=4,"Very High")</f>
        <v>High</v>
      </c>
      <c r="AM1128">
        <f>IF(Table1[[#This Row],[Attrition]]="Yes",1,0)</f>
        <v>0</v>
      </c>
    </row>
    <row r="1129" spans="1:39" ht="13.8" x14ac:dyDescent="0.25">
      <c r="A1129">
        <v>23</v>
      </c>
      <c r="B1129" t="str" cm="1">
        <f t="array" ref="B1129">_xlfn.IFS(Table1[[#This Row],[Age]]&lt;30,"Under 30",Table1[[#This Row],[Age]]&lt;=40,"30-40",Table1[[#This Row],[Age]]&lt;=50,"41-50",Table1[[#This Row],[Age]]&gt;50,"Over 50")</f>
        <v>Under 30</v>
      </c>
      <c r="C1129" t="s">
        <v>43</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t="str" cm="1">
        <f t="array" ref="AH1129">_xlfn.IFS(Table1[[#This Row],[YearsAtCompany]]&lt;=2,"0-2 years",Table1[[#This Row],[YearsAtCompany]]&lt;=5,"3-5 years",Table1[[#This Row],[YearsAtCompany]]&lt;=10,"6-10 years",Table1[[#This Row],[YearsAtCompany]]&gt;10,"10+ years")</f>
        <v>0-2 years</v>
      </c>
      <c r="AI1129">
        <v>2</v>
      </c>
      <c r="AJ1129">
        <v>2</v>
      </c>
      <c r="AK1129">
        <v>2</v>
      </c>
      <c r="AL1129" t="str" cm="1">
        <f t="array" ref="AL1129">_xlfn.IFS(Table1[[#This Row],[JobSatisfaction]]=1,"Low",Table1[[#This Row],[JobSatisfaction]]=2,"Medium",Table1[[#This Row],[JobSatisfaction]]=3,"High",Table1[[#This Row],[JobSatisfaction]]=4,"Very High")</f>
        <v>High</v>
      </c>
      <c r="AM1129">
        <f>IF(Table1[[#This Row],[Attrition]]="Yes",1,0)</f>
        <v>0</v>
      </c>
    </row>
    <row r="1130" spans="1:39" ht="13.8" x14ac:dyDescent="0.25">
      <c r="A1130">
        <v>36</v>
      </c>
      <c r="B1130" t="str" cm="1">
        <f t="array" ref="B1130">_xlfn.IFS(Table1[[#This Row],[Age]]&lt;30,"Under 30",Table1[[#This Row],[Age]]&lt;=40,"30-40",Table1[[#This Row],[Age]]&lt;=50,"41-50",Table1[[#This Row],[Age]]&gt;50,"Over 50")</f>
        <v>30-40</v>
      </c>
      <c r="C1130" t="s">
        <v>43</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t="str" cm="1">
        <f t="array" ref="AH1130">_xlfn.IFS(Table1[[#This Row],[YearsAtCompany]]&lt;=2,"0-2 years",Table1[[#This Row],[YearsAtCompany]]&lt;=5,"3-5 years",Table1[[#This Row],[YearsAtCompany]]&lt;=10,"6-10 years",Table1[[#This Row],[YearsAtCompany]]&gt;10,"10+ years")</f>
        <v>3-5 years</v>
      </c>
      <c r="AI1130">
        <v>2</v>
      </c>
      <c r="AJ1130">
        <v>0</v>
      </c>
      <c r="AK1130">
        <v>2</v>
      </c>
      <c r="AL1130" t="str" cm="1">
        <f t="array" ref="AL1130">_xlfn.IFS(Table1[[#This Row],[JobSatisfaction]]=1,"Low",Table1[[#This Row],[JobSatisfaction]]=2,"Medium",Table1[[#This Row],[JobSatisfaction]]=3,"High",Table1[[#This Row],[JobSatisfaction]]=4,"Very High")</f>
        <v>Low</v>
      </c>
      <c r="AM1130">
        <f>IF(Table1[[#This Row],[Attrition]]="Yes",1,0)</f>
        <v>0</v>
      </c>
    </row>
    <row r="1131" spans="1:39" ht="13.8" x14ac:dyDescent="0.25">
      <c r="A1131">
        <v>42</v>
      </c>
      <c r="B1131" t="str" cm="1">
        <f t="array" ref="B1131">_xlfn.IFS(Table1[[#This Row],[Age]]&lt;30,"Under 30",Table1[[#This Row],[Age]]&lt;=40,"30-40",Table1[[#This Row],[Age]]&lt;=50,"41-50",Table1[[#This Row],[Age]]&gt;50,"Over 50")</f>
        <v>41-50</v>
      </c>
      <c r="C1131" t="s">
        <v>43</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t="str" cm="1">
        <f t="array" ref="AH1131">_xlfn.IFS(Table1[[#This Row],[YearsAtCompany]]&lt;=2,"0-2 years",Table1[[#This Row],[YearsAtCompany]]&lt;=5,"3-5 years",Table1[[#This Row],[YearsAtCompany]]&lt;=10,"6-10 years",Table1[[#This Row],[YearsAtCompany]]&gt;10,"10+ years")</f>
        <v>0-2 years</v>
      </c>
      <c r="AI1131">
        <v>0</v>
      </c>
      <c r="AJ1131">
        <v>0</v>
      </c>
      <c r="AK1131">
        <v>1</v>
      </c>
      <c r="AL1131" t="str" cm="1">
        <f t="array" ref="AL1131">_xlfn.IFS(Table1[[#This Row],[JobSatisfaction]]=1,"Low",Table1[[#This Row],[JobSatisfaction]]=2,"Medium",Table1[[#This Row],[JobSatisfaction]]=3,"High",Table1[[#This Row],[JobSatisfaction]]=4,"Very High")</f>
        <v>Very High</v>
      </c>
      <c r="AM1131">
        <f>IF(Table1[[#This Row],[Attrition]]="Yes",1,0)</f>
        <v>0</v>
      </c>
    </row>
    <row r="1132" spans="1:39" ht="13.8" x14ac:dyDescent="0.25">
      <c r="A1132">
        <v>35</v>
      </c>
      <c r="B1132" t="str" cm="1">
        <f t="array" ref="B1132">_xlfn.IFS(Table1[[#This Row],[Age]]&lt;30,"Under 30",Table1[[#This Row],[Age]]&lt;=40,"30-40",Table1[[#This Row],[Age]]&lt;=50,"41-50",Table1[[#This Row],[Age]]&gt;50,"Over 50")</f>
        <v>30-40</v>
      </c>
      <c r="C1132" t="s">
        <v>43</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t="str" cm="1">
        <f t="array" ref="AH1132">_xlfn.IFS(Table1[[#This Row],[YearsAtCompany]]&lt;=2,"0-2 years",Table1[[#This Row],[YearsAtCompany]]&lt;=5,"3-5 years",Table1[[#This Row],[YearsAtCompany]]&lt;=10,"6-10 years",Table1[[#This Row],[YearsAtCompany]]&gt;10,"10+ years")</f>
        <v>6-10 years</v>
      </c>
      <c r="AI1132">
        <v>9</v>
      </c>
      <c r="AJ1132">
        <v>6</v>
      </c>
      <c r="AK1132">
        <v>8</v>
      </c>
      <c r="AL1132" t="str" cm="1">
        <f t="array" ref="AL1132">_xlfn.IFS(Table1[[#This Row],[JobSatisfaction]]=1,"Low",Table1[[#This Row],[JobSatisfaction]]=2,"Medium",Table1[[#This Row],[JobSatisfaction]]=3,"High",Table1[[#This Row],[JobSatisfaction]]=4,"Very High")</f>
        <v>High</v>
      </c>
      <c r="AM1132">
        <f>IF(Table1[[#This Row],[Attrition]]="Yes",1,0)</f>
        <v>0</v>
      </c>
    </row>
    <row r="1133" spans="1:39" ht="13.8" x14ac:dyDescent="0.25">
      <c r="A1133">
        <v>34</v>
      </c>
      <c r="B1133" t="str" cm="1">
        <f t="array" ref="B1133">_xlfn.IFS(Table1[[#This Row],[Age]]&lt;30,"Under 30",Table1[[#This Row],[Age]]&lt;=40,"30-40",Table1[[#This Row],[Age]]&lt;=50,"41-50",Table1[[#This Row],[Age]]&gt;50,"Over 50")</f>
        <v>30-40</v>
      </c>
      <c r="C1133" t="s">
        <v>43</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t="str" cm="1">
        <f t="array" ref="AH1133">_xlfn.IFS(Table1[[#This Row],[YearsAtCompany]]&lt;=2,"0-2 years",Table1[[#This Row],[YearsAtCompany]]&lt;=5,"3-5 years",Table1[[#This Row],[YearsAtCompany]]&lt;=10,"6-10 years",Table1[[#This Row],[YearsAtCompany]]&gt;10,"10+ years")</f>
        <v>6-10 years</v>
      </c>
      <c r="AI1133">
        <v>2</v>
      </c>
      <c r="AJ1133">
        <v>7</v>
      </c>
      <c r="AK1133">
        <v>7</v>
      </c>
      <c r="AL1133" t="str" cm="1">
        <f t="array" ref="AL1133">_xlfn.IFS(Table1[[#This Row],[JobSatisfaction]]=1,"Low",Table1[[#This Row],[JobSatisfaction]]=2,"Medium",Table1[[#This Row],[JobSatisfaction]]=3,"High",Table1[[#This Row],[JobSatisfaction]]=4,"Very High")</f>
        <v>High</v>
      </c>
      <c r="AM1133">
        <f>IF(Table1[[#This Row],[Attrition]]="Yes",1,0)</f>
        <v>0</v>
      </c>
    </row>
    <row r="1134" spans="1:39" ht="13.8" x14ac:dyDescent="0.25">
      <c r="A1134">
        <v>40</v>
      </c>
      <c r="B1134" t="str" cm="1">
        <f t="array" ref="B1134">_xlfn.IFS(Table1[[#This Row],[Age]]&lt;30,"Under 30",Table1[[#This Row],[Age]]&lt;=40,"30-40",Table1[[#This Row],[Age]]&lt;=50,"41-50",Table1[[#This Row],[Age]]&gt;50,"Over 50")</f>
        <v>30-40</v>
      </c>
      <c r="C1134" t="s">
        <v>43</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t="str" cm="1">
        <f t="array" ref="AH1134">_xlfn.IFS(Table1[[#This Row],[YearsAtCompany]]&lt;=2,"0-2 years",Table1[[#This Row],[YearsAtCompany]]&lt;=5,"3-5 years",Table1[[#This Row],[YearsAtCompany]]&lt;=10,"6-10 years",Table1[[#This Row],[YearsAtCompany]]&gt;10,"10+ years")</f>
        <v>3-5 years</v>
      </c>
      <c r="AI1134">
        <v>4</v>
      </c>
      <c r="AJ1134">
        <v>1</v>
      </c>
      <c r="AK1134">
        <v>2</v>
      </c>
      <c r="AL1134" t="str" cm="1">
        <f t="array" ref="AL1134">_xlfn.IFS(Table1[[#This Row],[JobSatisfaction]]=1,"Low",Table1[[#This Row],[JobSatisfaction]]=2,"Medium",Table1[[#This Row],[JobSatisfaction]]=3,"High",Table1[[#This Row],[JobSatisfaction]]=4,"Very High")</f>
        <v>Low</v>
      </c>
      <c r="AM1134">
        <f>IF(Table1[[#This Row],[Attrition]]="Yes",1,0)</f>
        <v>0</v>
      </c>
    </row>
    <row r="1135" spans="1:39" ht="13.8" x14ac:dyDescent="0.25">
      <c r="A1135">
        <v>43</v>
      </c>
      <c r="B1135" t="str" cm="1">
        <f t="array" ref="B1135">_xlfn.IFS(Table1[[#This Row],[Age]]&lt;30,"Under 30",Table1[[#This Row],[Age]]&lt;=40,"30-40",Table1[[#This Row],[Age]]&lt;=50,"41-50",Table1[[#This Row],[Age]]&gt;50,"Over 50")</f>
        <v>41-50</v>
      </c>
      <c r="C1135" t="s">
        <v>43</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t="str" cm="1">
        <f t="array" ref="AH1135">_xlfn.IFS(Table1[[#This Row],[YearsAtCompany]]&lt;=2,"0-2 years",Table1[[#This Row],[YearsAtCompany]]&lt;=5,"3-5 years",Table1[[#This Row],[YearsAtCompany]]&lt;=10,"6-10 years",Table1[[#This Row],[YearsAtCompany]]&gt;10,"10+ years")</f>
        <v>6-10 years</v>
      </c>
      <c r="AI1135">
        <v>4</v>
      </c>
      <c r="AJ1135">
        <v>0</v>
      </c>
      <c r="AK1135">
        <v>2</v>
      </c>
      <c r="AL1135" t="str" cm="1">
        <f t="array" ref="AL1135">_xlfn.IFS(Table1[[#This Row],[JobSatisfaction]]=1,"Low",Table1[[#This Row],[JobSatisfaction]]=2,"Medium",Table1[[#This Row],[JobSatisfaction]]=3,"High",Table1[[#This Row],[JobSatisfaction]]=4,"Very High")</f>
        <v>Medium</v>
      </c>
      <c r="AM1135">
        <f>IF(Table1[[#This Row],[Attrition]]="Yes",1,0)</f>
        <v>0</v>
      </c>
    </row>
    <row r="1136" spans="1:39" ht="13.8" x14ac:dyDescent="0.25">
      <c r="A1136">
        <v>35</v>
      </c>
      <c r="B1136" t="str" cm="1">
        <f t="array" ref="B1136">_xlfn.IFS(Table1[[#This Row],[Age]]&lt;30,"Under 30",Table1[[#This Row],[Age]]&lt;=40,"30-40",Table1[[#This Row],[Age]]&lt;=50,"41-50",Table1[[#This Row],[Age]]&gt;50,"Over 50")</f>
        <v>30-40</v>
      </c>
      <c r="C1136" t="s">
        <v>43</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t="str" cm="1">
        <f t="array" ref="AH1136">_xlfn.IFS(Table1[[#This Row],[YearsAtCompany]]&lt;=2,"0-2 years",Table1[[#This Row],[YearsAtCompany]]&lt;=5,"3-5 years",Table1[[#This Row],[YearsAtCompany]]&lt;=10,"6-10 years",Table1[[#This Row],[YearsAtCompany]]&gt;10,"10+ years")</f>
        <v>0-2 years</v>
      </c>
      <c r="AI1136">
        <v>0</v>
      </c>
      <c r="AJ1136">
        <v>0</v>
      </c>
      <c r="AK1136">
        <v>1</v>
      </c>
      <c r="AL1136" t="str" cm="1">
        <f t="array" ref="AL1136">_xlfn.IFS(Table1[[#This Row],[JobSatisfaction]]=1,"Low",Table1[[#This Row],[JobSatisfaction]]=2,"Medium",Table1[[#This Row],[JobSatisfaction]]=3,"High",Table1[[#This Row],[JobSatisfaction]]=4,"Very High")</f>
        <v>Very High</v>
      </c>
      <c r="AM1136">
        <f>IF(Table1[[#This Row],[Attrition]]="Yes",1,0)</f>
        <v>0</v>
      </c>
    </row>
    <row r="1137" spans="1:39" ht="13.8" x14ac:dyDescent="0.25">
      <c r="A1137">
        <v>46</v>
      </c>
      <c r="B1137" t="str" cm="1">
        <f t="array" ref="B1137">_xlfn.IFS(Table1[[#This Row],[Age]]&lt;30,"Under 30",Table1[[#This Row],[Age]]&lt;=40,"30-40",Table1[[#This Row],[Age]]&lt;=50,"41-50",Table1[[#This Row],[Age]]&gt;50,"Over 50")</f>
        <v>41-50</v>
      </c>
      <c r="C1137" t="s">
        <v>43</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t="str" cm="1">
        <f t="array" ref="AH1137">_xlfn.IFS(Table1[[#This Row],[YearsAtCompany]]&lt;=2,"0-2 years",Table1[[#This Row],[YearsAtCompany]]&lt;=5,"3-5 years",Table1[[#This Row],[YearsAtCompany]]&lt;=10,"6-10 years",Table1[[#This Row],[YearsAtCompany]]&gt;10,"10+ years")</f>
        <v>10+ years</v>
      </c>
      <c r="AI1137">
        <v>0</v>
      </c>
      <c r="AJ1137">
        <v>0</v>
      </c>
      <c r="AK1137">
        <v>12</v>
      </c>
      <c r="AL1137" t="str" cm="1">
        <f t="array" ref="AL1137">_xlfn.IFS(Table1[[#This Row],[JobSatisfaction]]=1,"Low",Table1[[#This Row],[JobSatisfaction]]=2,"Medium",Table1[[#This Row],[JobSatisfaction]]=3,"High",Table1[[#This Row],[JobSatisfaction]]=4,"Very High")</f>
        <v>Low</v>
      </c>
      <c r="AM1137">
        <f>IF(Table1[[#This Row],[Attrition]]="Yes",1,0)</f>
        <v>0</v>
      </c>
    </row>
    <row r="1138" spans="1:39" ht="13.8" x14ac:dyDescent="0.25">
      <c r="A1138">
        <v>28</v>
      </c>
      <c r="B1138" t="str" cm="1">
        <f t="array" ref="B1138">_xlfn.IFS(Table1[[#This Row],[Age]]&lt;30,"Under 30",Table1[[#This Row],[Age]]&lt;=40,"30-40",Table1[[#This Row],[Age]]&lt;=50,"41-50",Table1[[#This Row],[Age]]&gt;50,"Over 50")</f>
        <v>Under 30</v>
      </c>
      <c r="C1138" t="s">
        <v>35</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t="str" cm="1">
        <f t="array" ref="AH1138">_xlfn.IFS(Table1[[#This Row],[YearsAtCompany]]&lt;=2,"0-2 years",Table1[[#This Row],[YearsAtCompany]]&lt;=5,"3-5 years",Table1[[#This Row],[YearsAtCompany]]&lt;=10,"6-10 years",Table1[[#This Row],[YearsAtCompany]]&gt;10,"10+ years")</f>
        <v>0-2 years</v>
      </c>
      <c r="AI1138">
        <v>1</v>
      </c>
      <c r="AJ1138">
        <v>0</v>
      </c>
      <c r="AK1138">
        <v>0</v>
      </c>
      <c r="AL1138" t="str" cm="1">
        <f t="array" ref="AL1138">_xlfn.IFS(Table1[[#This Row],[JobSatisfaction]]=1,"Low",Table1[[#This Row],[JobSatisfaction]]=2,"Medium",Table1[[#This Row],[JobSatisfaction]]=3,"High",Table1[[#This Row],[JobSatisfaction]]=4,"Very High")</f>
        <v>Medium</v>
      </c>
      <c r="AM1138">
        <f>IF(Table1[[#This Row],[Attrition]]="Yes",1,0)</f>
        <v>1</v>
      </c>
    </row>
    <row r="1139" spans="1:39" ht="13.8" x14ac:dyDescent="0.25">
      <c r="A1139">
        <v>22</v>
      </c>
      <c r="B1139" t="str" cm="1">
        <f t="array" ref="B1139">_xlfn.IFS(Table1[[#This Row],[Age]]&lt;30,"Under 30",Table1[[#This Row],[Age]]&lt;=40,"30-40",Table1[[#This Row],[Age]]&lt;=50,"41-50",Table1[[#This Row],[Age]]&gt;50,"Over 50")</f>
        <v>Under 30</v>
      </c>
      <c r="C1139" t="s">
        <v>43</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t="str" cm="1">
        <f t="array" ref="AH1139">_xlfn.IFS(Table1[[#This Row],[YearsAtCompany]]&lt;=2,"0-2 years",Table1[[#This Row],[YearsAtCompany]]&lt;=5,"3-5 years",Table1[[#This Row],[YearsAtCompany]]&lt;=10,"6-10 years",Table1[[#This Row],[YearsAtCompany]]&gt;10,"10+ years")</f>
        <v>3-5 years</v>
      </c>
      <c r="AI1139">
        <v>2</v>
      </c>
      <c r="AJ1139">
        <v>1</v>
      </c>
      <c r="AK1139">
        <v>3</v>
      </c>
      <c r="AL1139" t="str" cm="1">
        <f t="array" ref="AL1139">_xlfn.IFS(Table1[[#This Row],[JobSatisfaction]]=1,"Low",Table1[[#This Row],[JobSatisfaction]]=2,"Medium",Table1[[#This Row],[JobSatisfaction]]=3,"High",Table1[[#This Row],[JobSatisfaction]]=4,"Very High")</f>
        <v>High</v>
      </c>
      <c r="AM1139">
        <f>IF(Table1[[#This Row],[Attrition]]="Yes",1,0)</f>
        <v>0</v>
      </c>
    </row>
    <row r="1140" spans="1:39" ht="13.8" x14ac:dyDescent="0.25">
      <c r="A1140">
        <v>50</v>
      </c>
      <c r="B1140" t="str" cm="1">
        <f t="array" ref="B1140">_xlfn.IFS(Table1[[#This Row],[Age]]&lt;30,"Under 30",Table1[[#This Row],[Age]]&lt;=40,"30-40",Table1[[#This Row],[Age]]&lt;=50,"41-50",Table1[[#This Row],[Age]]&gt;50,"Over 50")</f>
        <v>41-50</v>
      </c>
      <c r="C1140" t="s">
        <v>43</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t="str" cm="1">
        <f t="array" ref="AH1140">_xlfn.IFS(Table1[[#This Row],[YearsAtCompany]]&lt;=2,"0-2 years",Table1[[#This Row],[YearsAtCompany]]&lt;=5,"3-5 years",Table1[[#This Row],[YearsAtCompany]]&lt;=10,"6-10 years",Table1[[#This Row],[YearsAtCompany]]&gt;10,"10+ years")</f>
        <v>10+ years</v>
      </c>
      <c r="AI1140">
        <v>8</v>
      </c>
      <c r="AJ1140">
        <v>12</v>
      </c>
      <c r="AK1140">
        <v>13</v>
      </c>
      <c r="AL1140" t="str" cm="1">
        <f t="array" ref="AL1140">_xlfn.IFS(Table1[[#This Row],[JobSatisfaction]]=1,"Low",Table1[[#This Row],[JobSatisfaction]]=2,"Medium",Table1[[#This Row],[JobSatisfaction]]=3,"High",Table1[[#This Row],[JobSatisfaction]]=4,"Very High")</f>
        <v>High</v>
      </c>
      <c r="AM1140">
        <f>IF(Table1[[#This Row],[Attrition]]="Yes",1,0)</f>
        <v>0</v>
      </c>
    </row>
    <row r="1141" spans="1:39" ht="13.8" x14ac:dyDescent="0.25">
      <c r="A1141">
        <v>32</v>
      </c>
      <c r="B1141" t="str" cm="1">
        <f t="array" ref="B1141">_xlfn.IFS(Table1[[#This Row],[Age]]&lt;30,"Under 30",Table1[[#This Row],[Age]]&lt;=40,"30-40",Table1[[#This Row],[Age]]&lt;=50,"41-50",Table1[[#This Row],[Age]]&gt;50,"Over 50")</f>
        <v>30-40</v>
      </c>
      <c r="C1141" t="s">
        <v>43</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t="str" cm="1">
        <f t="array" ref="AH1141">_xlfn.IFS(Table1[[#This Row],[YearsAtCompany]]&lt;=2,"0-2 years",Table1[[#This Row],[YearsAtCompany]]&lt;=5,"3-5 years",Table1[[#This Row],[YearsAtCompany]]&lt;=10,"6-10 years",Table1[[#This Row],[YearsAtCompany]]&gt;10,"10+ years")</f>
        <v>3-5 years</v>
      </c>
      <c r="AI1141">
        <v>2</v>
      </c>
      <c r="AJ1141">
        <v>0</v>
      </c>
      <c r="AK1141">
        <v>2</v>
      </c>
      <c r="AL1141" t="str" cm="1">
        <f t="array" ref="AL1141">_xlfn.IFS(Table1[[#This Row],[JobSatisfaction]]=1,"Low",Table1[[#This Row],[JobSatisfaction]]=2,"Medium",Table1[[#This Row],[JobSatisfaction]]=3,"High",Table1[[#This Row],[JobSatisfaction]]=4,"Very High")</f>
        <v>Very High</v>
      </c>
      <c r="AM1141">
        <f>IF(Table1[[#This Row],[Attrition]]="Yes",1,0)</f>
        <v>0</v>
      </c>
    </row>
    <row r="1142" spans="1:39" ht="13.8" x14ac:dyDescent="0.25">
      <c r="A1142">
        <v>44</v>
      </c>
      <c r="B1142" t="str" cm="1">
        <f t="array" ref="B1142">_xlfn.IFS(Table1[[#This Row],[Age]]&lt;30,"Under 30",Table1[[#This Row],[Age]]&lt;=40,"30-40",Table1[[#This Row],[Age]]&lt;=50,"41-50",Table1[[#This Row],[Age]]&gt;50,"Over 50")</f>
        <v>41-50</v>
      </c>
      <c r="C1142" t="s">
        <v>43</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t="str" cm="1">
        <f t="array" ref="AH1142">_xlfn.IFS(Table1[[#This Row],[YearsAtCompany]]&lt;=2,"0-2 years",Table1[[#This Row],[YearsAtCompany]]&lt;=5,"3-5 years",Table1[[#This Row],[YearsAtCompany]]&lt;=10,"6-10 years",Table1[[#This Row],[YearsAtCompany]]&gt;10,"10+ years")</f>
        <v>10+ years</v>
      </c>
      <c r="AI1142">
        <v>7</v>
      </c>
      <c r="AJ1142">
        <v>1</v>
      </c>
      <c r="AK1142">
        <v>10</v>
      </c>
      <c r="AL1142" t="str" cm="1">
        <f t="array" ref="AL1142">_xlfn.IFS(Table1[[#This Row],[JobSatisfaction]]=1,"Low",Table1[[#This Row],[JobSatisfaction]]=2,"Medium",Table1[[#This Row],[JobSatisfaction]]=3,"High",Table1[[#This Row],[JobSatisfaction]]=4,"Very High")</f>
        <v>Very High</v>
      </c>
      <c r="AM1142">
        <f>IF(Table1[[#This Row],[Attrition]]="Yes",1,0)</f>
        <v>0</v>
      </c>
    </row>
    <row r="1143" spans="1:39" ht="13.8" x14ac:dyDescent="0.25">
      <c r="A1143">
        <v>30</v>
      </c>
      <c r="B1143" t="str" cm="1">
        <f t="array" ref="B1143">_xlfn.IFS(Table1[[#This Row],[Age]]&lt;30,"Under 30",Table1[[#This Row],[Age]]&lt;=40,"30-40",Table1[[#This Row],[Age]]&lt;=50,"41-50",Table1[[#This Row],[Age]]&gt;50,"Over 50")</f>
        <v>30-40</v>
      </c>
      <c r="C1143" t="s">
        <v>43</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t="str" cm="1">
        <f t="array" ref="AH1143">_xlfn.IFS(Table1[[#This Row],[YearsAtCompany]]&lt;=2,"0-2 years",Table1[[#This Row],[YearsAtCompany]]&lt;=5,"3-5 years",Table1[[#This Row],[YearsAtCompany]]&lt;=10,"6-10 years",Table1[[#This Row],[YearsAtCompany]]&gt;10,"10+ years")</f>
        <v>6-10 years</v>
      </c>
      <c r="AI1143">
        <v>4</v>
      </c>
      <c r="AJ1143">
        <v>1</v>
      </c>
      <c r="AK1143">
        <v>1</v>
      </c>
      <c r="AL1143" t="str" cm="1">
        <f t="array" ref="AL1143">_xlfn.IFS(Table1[[#This Row],[JobSatisfaction]]=1,"Low",Table1[[#This Row],[JobSatisfaction]]=2,"Medium",Table1[[#This Row],[JobSatisfaction]]=3,"High",Table1[[#This Row],[JobSatisfaction]]=4,"Very High")</f>
        <v>Medium</v>
      </c>
      <c r="AM1143">
        <f>IF(Table1[[#This Row],[Attrition]]="Yes",1,0)</f>
        <v>0</v>
      </c>
    </row>
    <row r="1144" spans="1:39" ht="13.8" x14ac:dyDescent="0.25">
      <c r="A1144">
        <v>45</v>
      </c>
      <c r="B1144" t="str" cm="1">
        <f t="array" ref="B1144">_xlfn.IFS(Table1[[#This Row],[Age]]&lt;30,"Under 30",Table1[[#This Row],[Age]]&lt;=40,"30-40",Table1[[#This Row],[Age]]&lt;=50,"41-50",Table1[[#This Row],[Age]]&gt;50,"Over 50")</f>
        <v>41-50</v>
      </c>
      <c r="C1144" t="s">
        <v>43</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t="str" cm="1">
        <f t="array" ref="AH1144">_xlfn.IFS(Table1[[#This Row],[YearsAtCompany]]&lt;=2,"0-2 years",Table1[[#This Row],[YearsAtCompany]]&lt;=5,"3-5 years",Table1[[#This Row],[YearsAtCompany]]&lt;=10,"6-10 years",Table1[[#This Row],[YearsAtCompany]]&gt;10,"10+ years")</f>
        <v>6-10 years</v>
      </c>
      <c r="AI1144">
        <v>7</v>
      </c>
      <c r="AJ1144">
        <v>1</v>
      </c>
      <c r="AK1144">
        <v>4</v>
      </c>
      <c r="AL1144" t="str" cm="1">
        <f t="array" ref="AL1144">_xlfn.IFS(Table1[[#This Row],[JobSatisfaction]]=1,"Low",Table1[[#This Row],[JobSatisfaction]]=2,"Medium",Table1[[#This Row],[JobSatisfaction]]=3,"High",Table1[[#This Row],[JobSatisfaction]]=4,"Very High")</f>
        <v>Low</v>
      </c>
      <c r="AM1144">
        <f>IF(Table1[[#This Row],[Attrition]]="Yes",1,0)</f>
        <v>0</v>
      </c>
    </row>
    <row r="1145" spans="1:39" ht="13.8" x14ac:dyDescent="0.25">
      <c r="A1145">
        <v>45</v>
      </c>
      <c r="B1145" t="str" cm="1">
        <f t="array" ref="B1145">_xlfn.IFS(Table1[[#This Row],[Age]]&lt;30,"Under 30",Table1[[#This Row],[Age]]&lt;=40,"30-40",Table1[[#This Row],[Age]]&lt;=50,"41-50",Table1[[#This Row],[Age]]&gt;50,"Over 50")</f>
        <v>41-50</v>
      </c>
      <c r="C1145" t="s">
        <v>43</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t="str" cm="1">
        <f t="array" ref="AH1145">_xlfn.IFS(Table1[[#This Row],[YearsAtCompany]]&lt;=2,"0-2 years",Table1[[#This Row],[YearsAtCompany]]&lt;=5,"3-5 years",Table1[[#This Row],[YearsAtCompany]]&lt;=10,"6-10 years",Table1[[#This Row],[YearsAtCompany]]&gt;10,"10+ years")</f>
        <v>6-10 years</v>
      </c>
      <c r="AI1145">
        <v>7</v>
      </c>
      <c r="AJ1145">
        <v>4</v>
      </c>
      <c r="AK1145">
        <v>5</v>
      </c>
      <c r="AL1145" t="str" cm="1">
        <f t="array" ref="AL1145">_xlfn.IFS(Table1[[#This Row],[JobSatisfaction]]=1,"Low",Table1[[#This Row],[JobSatisfaction]]=2,"Medium",Table1[[#This Row],[JobSatisfaction]]=3,"High",Table1[[#This Row],[JobSatisfaction]]=4,"Very High")</f>
        <v>Low</v>
      </c>
      <c r="AM1145">
        <f>IF(Table1[[#This Row],[Attrition]]="Yes",1,0)</f>
        <v>0</v>
      </c>
    </row>
    <row r="1146" spans="1:39" ht="13.8" x14ac:dyDescent="0.25">
      <c r="A1146">
        <v>31</v>
      </c>
      <c r="B1146" t="str" cm="1">
        <f t="array" ref="B1146">_xlfn.IFS(Table1[[#This Row],[Age]]&lt;30,"Under 30",Table1[[#This Row],[Age]]&lt;=40,"30-40",Table1[[#This Row],[Age]]&lt;=50,"41-50",Table1[[#This Row],[Age]]&gt;50,"Over 50")</f>
        <v>30-40</v>
      </c>
      <c r="C1146" t="s">
        <v>43</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t="str" cm="1">
        <f t="array" ref="AH1146">_xlfn.IFS(Table1[[#This Row],[YearsAtCompany]]&lt;=2,"0-2 years",Table1[[#This Row],[YearsAtCompany]]&lt;=5,"3-5 years",Table1[[#This Row],[YearsAtCompany]]&lt;=10,"6-10 years",Table1[[#This Row],[YearsAtCompany]]&gt;10,"10+ years")</f>
        <v>3-5 years</v>
      </c>
      <c r="AI1146">
        <v>2</v>
      </c>
      <c r="AJ1146">
        <v>0</v>
      </c>
      <c r="AK1146">
        <v>3</v>
      </c>
      <c r="AL1146" t="str" cm="1">
        <f t="array" ref="AL1146">_xlfn.IFS(Table1[[#This Row],[JobSatisfaction]]=1,"Low",Table1[[#This Row],[JobSatisfaction]]=2,"Medium",Table1[[#This Row],[JobSatisfaction]]=3,"High",Table1[[#This Row],[JobSatisfaction]]=4,"Very High")</f>
        <v>Low</v>
      </c>
      <c r="AM1146">
        <f>IF(Table1[[#This Row],[Attrition]]="Yes",1,0)</f>
        <v>0</v>
      </c>
    </row>
    <row r="1147" spans="1:39" ht="13.8" x14ac:dyDescent="0.25">
      <c r="A1147">
        <v>36</v>
      </c>
      <c r="B1147" t="str" cm="1">
        <f t="array" ref="B1147">_xlfn.IFS(Table1[[#This Row],[Age]]&lt;30,"Under 30",Table1[[#This Row],[Age]]&lt;=40,"30-40",Table1[[#This Row],[Age]]&lt;=50,"41-50",Table1[[#This Row],[Age]]&gt;50,"Over 50")</f>
        <v>30-40</v>
      </c>
      <c r="C1147" t="s">
        <v>43</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t="str" cm="1">
        <f t="array" ref="AH1147">_xlfn.IFS(Table1[[#This Row],[YearsAtCompany]]&lt;=2,"0-2 years",Table1[[#This Row],[YearsAtCompany]]&lt;=5,"3-5 years",Table1[[#This Row],[YearsAtCompany]]&lt;=10,"6-10 years",Table1[[#This Row],[YearsAtCompany]]&gt;10,"10+ years")</f>
        <v>3-5 years</v>
      </c>
      <c r="AI1147">
        <v>2</v>
      </c>
      <c r="AJ1147">
        <v>1</v>
      </c>
      <c r="AK1147">
        <v>1</v>
      </c>
      <c r="AL1147" t="str" cm="1">
        <f t="array" ref="AL1147">_xlfn.IFS(Table1[[#This Row],[JobSatisfaction]]=1,"Low",Table1[[#This Row],[JobSatisfaction]]=2,"Medium",Table1[[#This Row],[JobSatisfaction]]=3,"High",Table1[[#This Row],[JobSatisfaction]]=4,"Very High")</f>
        <v>High</v>
      </c>
      <c r="AM1147">
        <f>IF(Table1[[#This Row],[Attrition]]="Yes",1,0)</f>
        <v>0</v>
      </c>
    </row>
    <row r="1148" spans="1:39" ht="13.8" x14ac:dyDescent="0.25">
      <c r="A1148">
        <v>34</v>
      </c>
      <c r="B1148" t="str" cm="1">
        <f t="array" ref="B1148">_xlfn.IFS(Table1[[#This Row],[Age]]&lt;30,"Under 30",Table1[[#This Row],[Age]]&lt;=40,"30-40",Table1[[#This Row],[Age]]&lt;=50,"41-50",Table1[[#This Row],[Age]]&gt;50,"Over 50")</f>
        <v>30-40</v>
      </c>
      <c r="C1148" t="s">
        <v>43</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t="str" cm="1">
        <f t="array" ref="AH1148">_xlfn.IFS(Table1[[#This Row],[YearsAtCompany]]&lt;=2,"0-2 years",Table1[[#This Row],[YearsAtCompany]]&lt;=5,"3-5 years",Table1[[#This Row],[YearsAtCompany]]&lt;=10,"6-10 years",Table1[[#This Row],[YearsAtCompany]]&gt;10,"10+ years")</f>
        <v>6-10 years</v>
      </c>
      <c r="AI1148">
        <v>7</v>
      </c>
      <c r="AJ1148">
        <v>7</v>
      </c>
      <c r="AK1148">
        <v>2</v>
      </c>
      <c r="AL1148" t="str" cm="1">
        <f t="array" ref="AL1148">_xlfn.IFS(Table1[[#This Row],[JobSatisfaction]]=1,"Low",Table1[[#This Row],[JobSatisfaction]]=2,"Medium",Table1[[#This Row],[JobSatisfaction]]=3,"High",Table1[[#This Row],[JobSatisfaction]]=4,"Very High")</f>
        <v>Very High</v>
      </c>
      <c r="AM1148">
        <f>IF(Table1[[#This Row],[Attrition]]="Yes",1,0)</f>
        <v>0</v>
      </c>
    </row>
    <row r="1149" spans="1:39" ht="13.8" x14ac:dyDescent="0.25">
      <c r="A1149">
        <v>49</v>
      </c>
      <c r="B1149" t="str" cm="1">
        <f t="array" ref="B1149">_xlfn.IFS(Table1[[#This Row],[Age]]&lt;30,"Under 30",Table1[[#This Row],[Age]]&lt;=40,"30-40",Table1[[#This Row],[Age]]&lt;=50,"41-50",Table1[[#This Row],[Age]]&gt;50,"Over 50")</f>
        <v>41-50</v>
      </c>
      <c r="C1149" t="s">
        <v>43</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t="str" cm="1">
        <f t="array" ref="AH1149">_xlfn.IFS(Table1[[#This Row],[YearsAtCompany]]&lt;=2,"0-2 years",Table1[[#This Row],[YearsAtCompany]]&lt;=5,"3-5 years",Table1[[#This Row],[YearsAtCompany]]&lt;=10,"6-10 years",Table1[[#This Row],[YearsAtCompany]]&gt;10,"10+ years")</f>
        <v>6-10 years</v>
      </c>
      <c r="AI1149">
        <v>6</v>
      </c>
      <c r="AJ1149">
        <v>1</v>
      </c>
      <c r="AK1149">
        <v>4</v>
      </c>
      <c r="AL1149" t="str" cm="1">
        <f t="array" ref="AL1149">_xlfn.IFS(Table1[[#This Row],[JobSatisfaction]]=1,"Low",Table1[[#This Row],[JobSatisfaction]]=2,"Medium",Table1[[#This Row],[JobSatisfaction]]=3,"High",Table1[[#This Row],[JobSatisfaction]]=4,"Very High")</f>
        <v>Low</v>
      </c>
      <c r="AM1149">
        <f>IF(Table1[[#This Row],[Attrition]]="Yes",1,0)</f>
        <v>0</v>
      </c>
    </row>
    <row r="1150" spans="1:39" ht="13.8" x14ac:dyDescent="0.25">
      <c r="A1150">
        <v>39</v>
      </c>
      <c r="B1150" t="str" cm="1">
        <f t="array" ref="B1150">_xlfn.IFS(Table1[[#This Row],[Age]]&lt;30,"Under 30",Table1[[#This Row],[Age]]&lt;=40,"30-40",Table1[[#This Row],[Age]]&lt;=50,"41-50",Table1[[#This Row],[Age]]&gt;50,"Over 50")</f>
        <v>30-40</v>
      </c>
      <c r="C1150" t="s">
        <v>43</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t="str" cm="1">
        <f t="array" ref="AH1150">_xlfn.IFS(Table1[[#This Row],[YearsAtCompany]]&lt;=2,"0-2 years",Table1[[#This Row],[YearsAtCompany]]&lt;=5,"3-5 years",Table1[[#This Row],[YearsAtCompany]]&lt;=10,"6-10 years",Table1[[#This Row],[YearsAtCompany]]&gt;10,"10+ years")</f>
        <v>6-10 years</v>
      </c>
      <c r="AI1150">
        <v>7</v>
      </c>
      <c r="AJ1150">
        <v>7</v>
      </c>
      <c r="AK1150">
        <v>7</v>
      </c>
      <c r="AL1150" t="str" cm="1">
        <f t="array" ref="AL1150">_xlfn.IFS(Table1[[#This Row],[JobSatisfaction]]=1,"Low",Table1[[#This Row],[JobSatisfaction]]=2,"Medium",Table1[[#This Row],[JobSatisfaction]]=3,"High",Table1[[#This Row],[JobSatisfaction]]=4,"Very High")</f>
        <v>Low</v>
      </c>
      <c r="AM1150">
        <f>IF(Table1[[#This Row],[Attrition]]="Yes",1,0)</f>
        <v>0</v>
      </c>
    </row>
    <row r="1151" spans="1:39" ht="13.8" x14ac:dyDescent="0.25">
      <c r="A1151">
        <v>27</v>
      </c>
      <c r="B1151" t="str" cm="1">
        <f t="array" ref="B1151">_xlfn.IFS(Table1[[#This Row],[Age]]&lt;30,"Under 30",Table1[[#This Row],[Age]]&lt;=40,"30-40",Table1[[#This Row],[Age]]&lt;=50,"41-50",Table1[[#This Row],[Age]]&gt;50,"Over 50")</f>
        <v>Under 30</v>
      </c>
      <c r="C1151" t="s">
        <v>43</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t="str" cm="1">
        <f t="array" ref="AH1151">_xlfn.IFS(Table1[[#This Row],[YearsAtCompany]]&lt;=2,"0-2 years",Table1[[#This Row],[YearsAtCompany]]&lt;=5,"3-5 years",Table1[[#This Row],[YearsAtCompany]]&lt;=10,"6-10 years",Table1[[#This Row],[YearsAtCompany]]&gt;10,"10+ years")</f>
        <v>6-10 years</v>
      </c>
      <c r="AI1151">
        <v>7</v>
      </c>
      <c r="AJ1151">
        <v>0</v>
      </c>
      <c r="AK1151">
        <v>7</v>
      </c>
      <c r="AL1151" t="str" cm="1">
        <f t="array" ref="AL1151">_xlfn.IFS(Table1[[#This Row],[JobSatisfaction]]=1,"Low",Table1[[#This Row],[JobSatisfaction]]=2,"Medium",Table1[[#This Row],[JobSatisfaction]]=3,"High",Table1[[#This Row],[JobSatisfaction]]=4,"Very High")</f>
        <v>Low</v>
      </c>
      <c r="AM1151">
        <f>IF(Table1[[#This Row],[Attrition]]="Yes",1,0)</f>
        <v>0</v>
      </c>
    </row>
    <row r="1152" spans="1:39" ht="13.8" x14ac:dyDescent="0.25">
      <c r="A1152">
        <v>35</v>
      </c>
      <c r="B1152" t="str" cm="1">
        <f t="array" ref="B1152">_xlfn.IFS(Table1[[#This Row],[Age]]&lt;30,"Under 30",Table1[[#This Row],[Age]]&lt;=40,"30-40",Table1[[#This Row],[Age]]&lt;=50,"41-50",Table1[[#This Row],[Age]]&gt;50,"Over 50")</f>
        <v>30-40</v>
      </c>
      <c r="C1152" t="s">
        <v>43</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t="str" cm="1">
        <f t="array" ref="AH1152">_xlfn.IFS(Table1[[#This Row],[YearsAtCompany]]&lt;=2,"0-2 years",Table1[[#This Row],[YearsAtCompany]]&lt;=5,"3-5 years",Table1[[#This Row],[YearsAtCompany]]&lt;=10,"6-10 years",Table1[[#This Row],[YearsAtCompany]]&gt;10,"10+ years")</f>
        <v>10+ years</v>
      </c>
      <c r="AI1152">
        <v>15</v>
      </c>
      <c r="AJ1152">
        <v>1</v>
      </c>
      <c r="AK1152">
        <v>10</v>
      </c>
      <c r="AL1152" t="str" cm="1">
        <f t="array" ref="AL1152">_xlfn.IFS(Table1[[#This Row],[JobSatisfaction]]=1,"Low",Table1[[#This Row],[JobSatisfaction]]=2,"Medium",Table1[[#This Row],[JobSatisfaction]]=3,"High",Table1[[#This Row],[JobSatisfaction]]=4,"Very High")</f>
        <v>Low</v>
      </c>
      <c r="AM1152">
        <f>IF(Table1[[#This Row],[Attrition]]="Yes",1,0)</f>
        <v>0</v>
      </c>
    </row>
    <row r="1153" spans="1:39" ht="13.8" x14ac:dyDescent="0.25">
      <c r="A1153">
        <v>28</v>
      </c>
      <c r="B1153" t="str" cm="1">
        <f t="array" ref="B1153">_xlfn.IFS(Table1[[#This Row],[Age]]&lt;30,"Under 30",Table1[[#This Row],[Age]]&lt;=40,"30-40",Table1[[#This Row],[Age]]&lt;=50,"41-50",Table1[[#This Row],[Age]]&gt;50,"Over 50")</f>
        <v>Under 30</v>
      </c>
      <c r="C1153" t="s">
        <v>43</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t="str" cm="1">
        <f t="array" ref="AH1153">_xlfn.IFS(Table1[[#This Row],[YearsAtCompany]]&lt;=2,"0-2 years",Table1[[#This Row],[YearsAtCompany]]&lt;=5,"3-5 years",Table1[[#This Row],[YearsAtCompany]]&lt;=10,"6-10 years",Table1[[#This Row],[YearsAtCompany]]&gt;10,"10+ years")</f>
        <v>3-5 years</v>
      </c>
      <c r="AI1153">
        <v>3</v>
      </c>
      <c r="AJ1153">
        <v>0</v>
      </c>
      <c r="AK1153">
        <v>0</v>
      </c>
      <c r="AL1153" t="str" cm="1">
        <f t="array" ref="AL1153">_xlfn.IFS(Table1[[#This Row],[JobSatisfaction]]=1,"Low",Table1[[#This Row],[JobSatisfaction]]=2,"Medium",Table1[[#This Row],[JobSatisfaction]]=3,"High",Table1[[#This Row],[JobSatisfaction]]=4,"Very High")</f>
        <v>Low</v>
      </c>
      <c r="AM1153">
        <f>IF(Table1[[#This Row],[Attrition]]="Yes",1,0)</f>
        <v>0</v>
      </c>
    </row>
    <row r="1154" spans="1:39" ht="13.8" x14ac:dyDescent="0.25">
      <c r="A1154">
        <v>21</v>
      </c>
      <c r="B1154" t="str" cm="1">
        <f t="array" ref="B1154">_xlfn.IFS(Table1[[#This Row],[Age]]&lt;30,"Under 30",Table1[[#This Row],[Age]]&lt;=40,"30-40",Table1[[#This Row],[Age]]&lt;=50,"41-50",Table1[[#This Row],[Age]]&gt;50,"Over 50")</f>
        <v>Under 30</v>
      </c>
      <c r="C1154" t="s">
        <v>43</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t="str" cm="1">
        <f t="array" ref="AH1154">_xlfn.IFS(Table1[[#This Row],[YearsAtCompany]]&lt;=2,"0-2 years",Table1[[#This Row],[YearsAtCompany]]&lt;=5,"3-5 years",Table1[[#This Row],[YearsAtCompany]]&lt;=10,"6-10 years",Table1[[#This Row],[YearsAtCompany]]&gt;10,"10+ years")</f>
        <v>0-2 years</v>
      </c>
      <c r="AI1154">
        <v>2</v>
      </c>
      <c r="AJ1154">
        <v>2</v>
      </c>
      <c r="AK1154">
        <v>2</v>
      </c>
      <c r="AL1154" t="str" cm="1">
        <f t="array" ref="AL1154">_xlfn.IFS(Table1[[#This Row],[JobSatisfaction]]=1,"Low",Table1[[#This Row],[JobSatisfaction]]=2,"Medium",Table1[[#This Row],[JobSatisfaction]]=3,"High",Table1[[#This Row],[JobSatisfaction]]=4,"Very High")</f>
        <v>Very High</v>
      </c>
      <c r="AM1154">
        <f>IF(Table1[[#This Row],[Attrition]]="Yes",1,0)</f>
        <v>0</v>
      </c>
    </row>
    <row r="1155" spans="1:39" ht="13.8" x14ac:dyDescent="0.25">
      <c r="A1155">
        <v>18</v>
      </c>
      <c r="B1155" t="str" cm="1">
        <f t="array" ref="B1155">_xlfn.IFS(Table1[[#This Row],[Age]]&lt;30,"Under 30",Table1[[#This Row],[Age]]&lt;=40,"30-40",Table1[[#This Row],[Age]]&lt;=50,"41-50",Table1[[#This Row],[Age]]&gt;50,"Over 50")</f>
        <v>Under 30</v>
      </c>
      <c r="C1155" t="s">
        <v>35</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t="str" cm="1">
        <f t="array" ref="AH1155">_xlfn.IFS(Table1[[#This Row],[YearsAtCompany]]&lt;=2,"0-2 years",Table1[[#This Row],[YearsAtCompany]]&lt;=5,"3-5 years",Table1[[#This Row],[YearsAtCompany]]&lt;=10,"6-10 years",Table1[[#This Row],[YearsAtCompany]]&gt;10,"10+ years")</f>
        <v>0-2 years</v>
      </c>
      <c r="AI1155">
        <v>0</v>
      </c>
      <c r="AJ1155">
        <v>0</v>
      </c>
      <c r="AK1155">
        <v>0</v>
      </c>
      <c r="AL1155" t="str" cm="1">
        <f t="array" ref="AL1155">_xlfn.IFS(Table1[[#This Row],[JobSatisfaction]]=1,"Low",Table1[[#This Row],[JobSatisfaction]]=2,"Medium",Table1[[#This Row],[JobSatisfaction]]=3,"High",Table1[[#This Row],[JobSatisfaction]]=4,"Very High")</f>
        <v>Very High</v>
      </c>
      <c r="AM1155">
        <f>IF(Table1[[#This Row],[Attrition]]="Yes",1,0)</f>
        <v>1</v>
      </c>
    </row>
    <row r="1156" spans="1:39" ht="13.8" x14ac:dyDescent="0.25">
      <c r="A1156">
        <v>47</v>
      </c>
      <c r="B1156" t="str" cm="1">
        <f t="array" ref="B1156">_xlfn.IFS(Table1[[#This Row],[Age]]&lt;30,"Under 30",Table1[[#This Row],[Age]]&lt;=40,"30-40",Table1[[#This Row],[Age]]&lt;=50,"41-50",Table1[[#This Row],[Age]]&gt;50,"Over 50")</f>
        <v>41-50</v>
      </c>
      <c r="C1156" t="s">
        <v>43</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t="str" cm="1">
        <f t="array" ref="AH1156">_xlfn.IFS(Table1[[#This Row],[YearsAtCompany]]&lt;=2,"0-2 years",Table1[[#This Row],[YearsAtCompany]]&lt;=5,"3-5 years",Table1[[#This Row],[YearsAtCompany]]&lt;=10,"6-10 years",Table1[[#This Row],[YearsAtCompany]]&gt;10,"10+ years")</f>
        <v>3-5 years</v>
      </c>
      <c r="AI1156">
        <v>2</v>
      </c>
      <c r="AJ1156">
        <v>1</v>
      </c>
      <c r="AK1156">
        <v>0</v>
      </c>
      <c r="AL1156" t="str" cm="1">
        <f t="array" ref="AL1156">_xlfn.IFS(Table1[[#This Row],[JobSatisfaction]]=1,"Low",Table1[[#This Row],[JobSatisfaction]]=2,"Medium",Table1[[#This Row],[JobSatisfaction]]=3,"High",Table1[[#This Row],[JobSatisfaction]]=4,"Very High")</f>
        <v>High</v>
      </c>
      <c r="AM1156">
        <f>IF(Table1[[#This Row],[Attrition]]="Yes",1,0)</f>
        <v>0</v>
      </c>
    </row>
    <row r="1157" spans="1:39" ht="13.8" x14ac:dyDescent="0.25">
      <c r="A1157">
        <v>39</v>
      </c>
      <c r="B1157" t="str" cm="1">
        <f t="array" ref="B1157">_xlfn.IFS(Table1[[#This Row],[Age]]&lt;30,"Under 30",Table1[[#This Row],[Age]]&lt;=40,"30-40",Table1[[#This Row],[Age]]&lt;=50,"41-50",Table1[[#This Row],[Age]]&gt;50,"Over 50")</f>
        <v>30-40</v>
      </c>
      <c r="C1157" t="s">
        <v>43</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t="str" cm="1">
        <f t="array" ref="AH1157">_xlfn.IFS(Table1[[#This Row],[YearsAtCompany]]&lt;=2,"0-2 years",Table1[[#This Row],[YearsAtCompany]]&lt;=5,"3-5 years",Table1[[#This Row],[YearsAtCompany]]&lt;=10,"6-10 years",Table1[[#This Row],[YearsAtCompany]]&gt;10,"10+ years")</f>
        <v>6-10 years</v>
      </c>
      <c r="AI1157">
        <v>8</v>
      </c>
      <c r="AJ1157">
        <v>0</v>
      </c>
      <c r="AK1157">
        <v>7</v>
      </c>
      <c r="AL1157" t="str" cm="1">
        <f t="array" ref="AL1157">_xlfn.IFS(Table1[[#This Row],[JobSatisfaction]]=1,"Low",Table1[[#This Row],[JobSatisfaction]]=2,"Medium",Table1[[#This Row],[JobSatisfaction]]=3,"High",Table1[[#This Row],[JobSatisfaction]]=4,"Very High")</f>
        <v>High</v>
      </c>
      <c r="AM1157">
        <f>IF(Table1[[#This Row],[Attrition]]="Yes",1,0)</f>
        <v>0</v>
      </c>
    </row>
    <row r="1158" spans="1:39" ht="13.8" x14ac:dyDescent="0.25">
      <c r="A1158">
        <v>40</v>
      </c>
      <c r="B1158" t="str" cm="1">
        <f t="array" ref="B1158">_xlfn.IFS(Table1[[#This Row],[Age]]&lt;30,"Under 30",Table1[[#This Row],[Age]]&lt;=40,"30-40",Table1[[#This Row],[Age]]&lt;=50,"41-50",Table1[[#This Row],[Age]]&gt;50,"Over 50")</f>
        <v>30-40</v>
      </c>
      <c r="C1158" t="s">
        <v>43</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t="str" cm="1">
        <f t="array" ref="AH1158">_xlfn.IFS(Table1[[#This Row],[YearsAtCompany]]&lt;=2,"0-2 years",Table1[[#This Row],[YearsAtCompany]]&lt;=5,"3-5 years",Table1[[#This Row],[YearsAtCompany]]&lt;=10,"6-10 years",Table1[[#This Row],[YearsAtCompany]]&gt;10,"10+ years")</f>
        <v>10+ years</v>
      </c>
      <c r="AI1158">
        <v>15</v>
      </c>
      <c r="AJ1158">
        <v>14</v>
      </c>
      <c r="AK1158">
        <v>12</v>
      </c>
      <c r="AL1158" t="str" cm="1">
        <f t="array" ref="AL1158">_xlfn.IFS(Table1[[#This Row],[JobSatisfaction]]=1,"Low",Table1[[#This Row],[JobSatisfaction]]=2,"Medium",Table1[[#This Row],[JobSatisfaction]]=3,"High",Table1[[#This Row],[JobSatisfaction]]=4,"Very High")</f>
        <v>High</v>
      </c>
      <c r="AM1158">
        <f>IF(Table1[[#This Row],[Attrition]]="Yes",1,0)</f>
        <v>0</v>
      </c>
    </row>
    <row r="1159" spans="1:39" ht="13.8" x14ac:dyDescent="0.25">
      <c r="A1159">
        <v>35</v>
      </c>
      <c r="B1159" t="str" cm="1">
        <f t="array" ref="B1159">_xlfn.IFS(Table1[[#This Row],[Age]]&lt;30,"Under 30",Table1[[#This Row],[Age]]&lt;=40,"30-40",Table1[[#This Row],[Age]]&lt;=50,"41-50",Table1[[#This Row],[Age]]&gt;50,"Over 50")</f>
        <v>30-40</v>
      </c>
      <c r="C1159" t="s">
        <v>43</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t="str" cm="1">
        <f t="array" ref="AH1159">_xlfn.IFS(Table1[[#This Row],[YearsAtCompany]]&lt;=2,"0-2 years",Table1[[#This Row],[YearsAtCompany]]&lt;=5,"3-5 years",Table1[[#This Row],[YearsAtCompany]]&lt;=10,"6-10 years",Table1[[#This Row],[YearsAtCompany]]&gt;10,"10+ years")</f>
        <v>10+ years</v>
      </c>
      <c r="AI1159">
        <v>11</v>
      </c>
      <c r="AJ1159">
        <v>2</v>
      </c>
      <c r="AK1159">
        <v>9</v>
      </c>
      <c r="AL1159" t="str" cm="1">
        <f t="array" ref="AL1159">_xlfn.IFS(Table1[[#This Row],[JobSatisfaction]]=1,"Low",Table1[[#This Row],[JobSatisfaction]]=2,"Medium",Table1[[#This Row],[JobSatisfaction]]=3,"High",Table1[[#This Row],[JobSatisfaction]]=4,"Very High")</f>
        <v>High</v>
      </c>
      <c r="AM1159">
        <f>IF(Table1[[#This Row],[Attrition]]="Yes",1,0)</f>
        <v>0</v>
      </c>
    </row>
    <row r="1160" spans="1:39" ht="13.8" x14ac:dyDescent="0.25">
      <c r="A1160">
        <v>37</v>
      </c>
      <c r="B1160" t="str" cm="1">
        <f t="array" ref="B1160">_xlfn.IFS(Table1[[#This Row],[Age]]&lt;30,"Under 30",Table1[[#This Row],[Age]]&lt;=40,"30-40",Table1[[#This Row],[Age]]&lt;=50,"41-50",Table1[[#This Row],[Age]]&gt;50,"Over 50")</f>
        <v>30-40</v>
      </c>
      <c r="C1160" t="s">
        <v>43</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t="str" cm="1">
        <f t="array" ref="AH1160">_xlfn.IFS(Table1[[#This Row],[YearsAtCompany]]&lt;=2,"0-2 years",Table1[[#This Row],[YearsAtCompany]]&lt;=5,"3-5 years",Table1[[#This Row],[YearsAtCompany]]&lt;=10,"6-10 years",Table1[[#This Row],[YearsAtCompany]]&gt;10,"10+ years")</f>
        <v>3-5 years</v>
      </c>
      <c r="AI1160">
        <v>3</v>
      </c>
      <c r="AJ1160">
        <v>0</v>
      </c>
      <c r="AK1160">
        <v>2</v>
      </c>
      <c r="AL1160" t="str" cm="1">
        <f t="array" ref="AL1160">_xlfn.IFS(Table1[[#This Row],[JobSatisfaction]]=1,"Low",Table1[[#This Row],[JobSatisfaction]]=2,"Medium",Table1[[#This Row],[JobSatisfaction]]=3,"High",Table1[[#This Row],[JobSatisfaction]]=4,"Very High")</f>
        <v>High</v>
      </c>
      <c r="AM1160">
        <f>IF(Table1[[#This Row],[Attrition]]="Yes",1,0)</f>
        <v>0</v>
      </c>
    </row>
    <row r="1161" spans="1:39" ht="13.8" x14ac:dyDescent="0.25">
      <c r="A1161">
        <v>39</v>
      </c>
      <c r="B1161" t="str" cm="1">
        <f t="array" ref="B1161">_xlfn.IFS(Table1[[#This Row],[Age]]&lt;30,"Under 30",Table1[[#This Row],[Age]]&lt;=40,"30-40",Table1[[#This Row],[Age]]&lt;=50,"41-50",Table1[[#This Row],[Age]]&gt;50,"Over 50")</f>
        <v>30-40</v>
      </c>
      <c r="C1161" t="s">
        <v>43</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t="str" cm="1">
        <f t="array" ref="AH1161">_xlfn.IFS(Table1[[#This Row],[YearsAtCompany]]&lt;=2,"0-2 years",Table1[[#This Row],[YearsAtCompany]]&lt;=5,"3-5 years",Table1[[#This Row],[YearsAtCompany]]&lt;=10,"6-10 years",Table1[[#This Row],[YearsAtCompany]]&gt;10,"10+ years")</f>
        <v>6-10 years</v>
      </c>
      <c r="AI1161">
        <v>2</v>
      </c>
      <c r="AJ1161">
        <v>3</v>
      </c>
      <c r="AK1161">
        <v>8</v>
      </c>
      <c r="AL1161" t="str" cm="1">
        <f t="array" ref="AL1161">_xlfn.IFS(Table1[[#This Row],[JobSatisfaction]]=1,"Low",Table1[[#This Row],[JobSatisfaction]]=2,"Medium",Table1[[#This Row],[JobSatisfaction]]=3,"High",Table1[[#This Row],[JobSatisfaction]]=4,"Very High")</f>
        <v>High</v>
      </c>
      <c r="AM1161">
        <f>IF(Table1[[#This Row],[Attrition]]="Yes",1,0)</f>
        <v>0</v>
      </c>
    </row>
    <row r="1162" spans="1:39" ht="13.8" x14ac:dyDescent="0.25">
      <c r="A1162">
        <v>45</v>
      </c>
      <c r="B1162" t="str" cm="1">
        <f t="array" ref="B1162">_xlfn.IFS(Table1[[#This Row],[Age]]&lt;30,"Under 30",Table1[[#This Row],[Age]]&lt;=40,"30-40",Table1[[#This Row],[Age]]&lt;=50,"41-50",Table1[[#This Row],[Age]]&gt;50,"Over 50")</f>
        <v>41-50</v>
      </c>
      <c r="C1162" t="s">
        <v>43</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t="str" cm="1">
        <f t="array" ref="AH1162">_xlfn.IFS(Table1[[#This Row],[YearsAtCompany]]&lt;=2,"0-2 years",Table1[[#This Row],[YearsAtCompany]]&lt;=5,"3-5 years",Table1[[#This Row],[YearsAtCompany]]&lt;=10,"6-10 years",Table1[[#This Row],[YearsAtCompany]]&gt;10,"10+ years")</f>
        <v>6-10 years</v>
      </c>
      <c r="AI1162">
        <v>7</v>
      </c>
      <c r="AJ1162">
        <v>3</v>
      </c>
      <c r="AK1162">
        <v>9</v>
      </c>
      <c r="AL1162" t="str" cm="1">
        <f t="array" ref="AL1162">_xlfn.IFS(Table1[[#This Row],[JobSatisfaction]]=1,"Low",Table1[[#This Row],[JobSatisfaction]]=2,"Medium",Table1[[#This Row],[JobSatisfaction]]=3,"High",Table1[[#This Row],[JobSatisfaction]]=4,"Very High")</f>
        <v>Very High</v>
      </c>
      <c r="AM1162">
        <f>IF(Table1[[#This Row],[Attrition]]="Yes",1,0)</f>
        <v>0</v>
      </c>
    </row>
    <row r="1163" spans="1:39" ht="13.8" x14ac:dyDescent="0.25">
      <c r="A1163">
        <v>38</v>
      </c>
      <c r="B1163" t="str" cm="1">
        <f t="array" ref="B1163">_xlfn.IFS(Table1[[#This Row],[Age]]&lt;30,"Under 30",Table1[[#This Row],[Age]]&lt;=40,"30-40",Table1[[#This Row],[Age]]&lt;=50,"41-50",Table1[[#This Row],[Age]]&gt;50,"Over 50")</f>
        <v>30-40</v>
      </c>
      <c r="C1163" t="s">
        <v>43</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t="str" cm="1">
        <f t="array" ref="AH1163">_xlfn.IFS(Table1[[#This Row],[YearsAtCompany]]&lt;=2,"0-2 years",Table1[[#This Row],[YearsAtCompany]]&lt;=5,"3-5 years",Table1[[#This Row],[YearsAtCompany]]&lt;=10,"6-10 years",Table1[[#This Row],[YearsAtCompany]]&gt;10,"10+ years")</f>
        <v>3-5 years</v>
      </c>
      <c r="AI1163">
        <v>4</v>
      </c>
      <c r="AJ1163">
        <v>0</v>
      </c>
      <c r="AK1163">
        <v>2</v>
      </c>
      <c r="AL1163" t="str" cm="1">
        <f t="array" ref="AL1163">_xlfn.IFS(Table1[[#This Row],[JobSatisfaction]]=1,"Low",Table1[[#This Row],[JobSatisfaction]]=2,"Medium",Table1[[#This Row],[JobSatisfaction]]=3,"High",Table1[[#This Row],[JobSatisfaction]]=4,"Very High")</f>
        <v>High</v>
      </c>
      <c r="AM1163">
        <f>IF(Table1[[#This Row],[Attrition]]="Yes",1,0)</f>
        <v>0</v>
      </c>
    </row>
    <row r="1164" spans="1:39" ht="13.8" x14ac:dyDescent="0.25">
      <c r="A1164">
        <v>35</v>
      </c>
      <c r="B1164" t="str" cm="1">
        <f t="array" ref="B1164">_xlfn.IFS(Table1[[#This Row],[Age]]&lt;30,"Under 30",Table1[[#This Row],[Age]]&lt;=40,"30-40",Table1[[#This Row],[Age]]&lt;=50,"41-50",Table1[[#This Row],[Age]]&gt;50,"Over 50")</f>
        <v>30-40</v>
      </c>
      <c r="C1164" t="s">
        <v>35</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t="str" cm="1">
        <f t="array" ref="AH1164">_xlfn.IFS(Table1[[#This Row],[YearsAtCompany]]&lt;=2,"0-2 years",Table1[[#This Row],[YearsAtCompany]]&lt;=5,"3-5 years",Table1[[#This Row],[YearsAtCompany]]&lt;=10,"6-10 years",Table1[[#This Row],[YearsAtCompany]]&gt;10,"10+ years")</f>
        <v>10+ years</v>
      </c>
      <c r="AI1164">
        <v>12</v>
      </c>
      <c r="AJ1164">
        <v>6</v>
      </c>
      <c r="AK1164">
        <v>0</v>
      </c>
      <c r="AL1164" t="str" cm="1">
        <f t="array" ref="AL1164">_xlfn.IFS(Table1[[#This Row],[JobSatisfaction]]=1,"Low",Table1[[#This Row],[JobSatisfaction]]=2,"Medium",Table1[[#This Row],[JobSatisfaction]]=3,"High",Table1[[#This Row],[JobSatisfaction]]=4,"Very High")</f>
        <v>Low</v>
      </c>
      <c r="AM1164">
        <f>IF(Table1[[#This Row],[Attrition]]="Yes",1,0)</f>
        <v>1</v>
      </c>
    </row>
    <row r="1165" spans="1:39" ht="13.8" x14ac:dyDescent="0.25">
      <c r="A1165">
        <v>37</v>
      </c>
      <c r="B1165" t="str" cm="1">
        <f t="array" ref="B1165">_xlfn.IFS(Table1[[#This Row],[Age]]&lt;30,"Under 30",Table1[[#This Row],[Age]]&lt;=40,"30-40",Table1[[#This Row],[Age]]&lt;=50,"41-50",Table1[[#This Row],[Age]]&gt;50,"Over 50")</f>
        <v>30-40</v>
      </c>
      <c r="C1165" t="s">
        <v>43</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t="str" cm="1">
        <f t="array" ref="AH1165">_xlfn.IFS(Table1[[#This Row],[YearsAtCompany]]&lt;=2,"0-2 years",Table1[[#This Row],[YearsAtCompany]]&lt;=5,"3-5 years",Table1[[#This Row],[YearsAtCompany]]&lt;=10,"6-10 years",Table1[[#This Row],[YearsAtCompany]]&gt;10,"10+ years")</f>
        <v>6-10 years</v>
      </c>
      <c r="AI1165">
        <v>4</v>
      </c>
      <c r="AJ1165">
        <v>7</v>
      </c>
      <c r="AK1165">
        <v>7</v>
      </c>
      <c r="AL1165" t="str" cm="1">
        <f t="array" ref="AL1165">_xlfn.IFS(Table1[[#This Row],[JobSatisfaction]]=1,"Low",Table1[[#This Row],[JobSatisfaction]]=2,"Medium",Table1[[#This Row],[JobSatisfaction]]=3,"High",Table1[[#This Row],[JobSatisfaction]]=4,"Very High")</f>
        <v>Medium</v>
      </c>
      <c r="AM1165">
        <f>IF(Table1[[#This Row],[Attrition]]="Yes",1,0)</f>
        <v>0</v>
      </c>
    </row>
    <row r="1166" spans="1:39" ht="13.8" x14ac:dyDescent="0.25">
      <c r="A1166">
        <v>40</v>
      </c>
      <c r="B1166" t="str" cm="1">
        <f t="array" ref="B1166">_xlfn.IFS(Table1[[#This Row],[Age]]&lt;30,"Under 30",Table1[[#This Row],[Age]]&lt;=40,"30-40",Table1[[#This Row],[Age]]&lt;=50,"41-50",Table1[[#This Row],[Age]]&gt;50,"Over 50")</f>
        <v>30-40</v>
      </c>
      <c r="C1166" t="s">
        <v>43</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t="str" cm="1">
        <f t="array" ref="AH1166">_xlfn.IFS(Table1[[#This Row],[YearsAtCompany]]&lt;=2,"0-2 years",Table1[[#This Row],[YearsAtCompany]]&lt;=5,"3-5 years",Table1[[#This Row],[YearsAtCompany]]&lt;=10,"6-10 years",Table1[[#This Row],[YearsAtCompany]]&gt;10,"10+ years")</f>
        <v>3-5 years</v>
      </c>
      <c r="AI1166">
        <v>2</v>
      </c>
      <c r="AJ1166">
        <v>3</v>
      </c>
      <c r="AK1166">
        <v>3</v>
      </c>
      <c r="AL1166" t="str" cm="1">
        <f t="array" ref="AL1166">_xlfn.IFS(Table1[[#This Row],[JobSatisfaction]]=1,"Low",Table1[[#This Row],[JobSatisfaction]]=2,"Medium",Table1[[#This Row],[JobSatisfaction]]=3,"High",Table1[[#This Row],[JobSatisfaction]]=4,"Very High")</f>
        <v>Very High</v>
      </c>
      <c r="AM1166">
        <f>IF(Table1[[#This Row],[Attrition]]="Yes",1,0)</f>
        <v>0</v>
      </c>
    </row>
    <row r="1167" spans="1:39" ht="13.8" x14ac:dyDescent="0.25">
      <c r="A1167">
        <v>44</v>
      </c>
      <c r="B1167" t="str" cm="1">
        <f t="array" ref="B1167">_xlfn.IFS(Table1[[#This Row],[Age]]&lt;30,"Under 30",Table1[[#This Row],[Age]]&lt;=40,"30-40",Table1[[#This Row],[Age]]&lt;=50,"41-50",Table1[[#This Row],[Age]]&gt;50,"Over 50")</f>
        <v>41-50</v>
      </c>
      <c r="C1167" t="s">
        <v>43</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t="str" cm="1">
        <f t="array" ref="AH1167">_xlfn.IFS(Table1[[#This Row],[YearsAtCompany]]&lt;=2,"0-2 years",Table1[[#This Row],[YearsAtCompany]]&lt;=5,"3-5 years",Table1[[#This Row],[YearsAtCompany]]&lt;=10,"6-10 years",Table1[[#This Row],[YearsAtCompany]]&gt;10,"10+ years")</f>
        <v>6-10 years</v>
      </c>
      <c r="AI1167">
        <v>7</v>
      </c>
      <c r="AJ1167">
        <v>0</v>
      </c>
      <c r="AK1167">
        <v>2</v>
      </c>
      <c r="AL1167" t="str" cm="1">
        <f t="array" ref="AL1167">_xlfn.IFS(Table1[[#This Row],[JobSatisfaction]]=1,"Low",Table1[[#This Row],[JobSatisfaction]]=2,"Medium",Table1[[#This Row],[JobSatisfaction]]=3,"High",Table1[[#This Row],[JobSatisfaction]]=4,"Very High")</f>
        <v>Very High</v>
      </c>
      <c r="AM1167">
        <f>IF(Table1[[#This Row],[Attrition]]="Yes",1,0)</f>
        <v>0</v>
      </c>
    </row>
    <row r="1168" spans="1:39" ht="13.8" x14ac:dyDescent="0.25">
      <c r="A1168">
        <v>48</v>
      </c>
      <c r="B1168" t="str" cm="1">
        <f t="array" ref="B1168">_xlfn.IFS(Table1[[#This Row],[Age]]&lt;30,"Under 30",Table1[[#This Row],[Age]]&lt;=40,"30-40",Table1[[#This Row],[Age]]&lt;=50,"41-50",Table1[[#This Row],[Age]]&gt;50,"Over 50")</f>
        <v>41-50</v>
      </c>
      <c r="C1168" t="s">
        <v>43</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t="str" cm="1">
        <f t="array" ref="AH1168">_xlfn.IFS(Table1[[#This Row],[YearsAtCompany]]&lt;=2,"0-2 years",Table1[[#This Row],[YearsAtCompany]]&lt;=5,"3-5 years",Table1[[#This Row],[YearsAtCompany]]&lt;=10,"6-10 years",Table1[[#This Row],[YearsAtCompany]]&gt;10,"10+ years")</f>
        <v>0-2 years</v>
      </c>
      <c r="AI1168">
        <v>2</v>
      </c>
      <c r="AJ1168">
        <v>2</v>
      </c>
      <c r="AK1168">
        <v>2</v>
      </c>
      <c r="AL1168" t="str" cm="1">
        <f t="array" ref="AL1168">_xlfn.IFS(Table1[[#This Row],[JobSatisfaction]]=1,"Low",Table1[[#This Row],[JobSatisfaction]]=2,"Medium",Table1[[#This Row],[JobSatisfaction]]=3,"High",Table1[[#This Row],[JobSatisfaction]]=4,"Very High")</f>
        <v>Very High</v>
      </c>
      <c r="AM1168">
        <f>IF(Table1[[#This Row],[Attrition]]="Yes",1,0)</f>
        <v>0</v>
      </c>
    </row>
    <row r="1169" spans="1:39" ht="13.8" x14ac:dyDescent="0.25">
      <c r="A1169">
        <v>35</v>
      </c>
      <c r="B1169" t="str" cm="1">
        <f t="array" ref="B1169">_xlfn.IFS(Table1[[#This Row],[Age]]&lt;30,"Under 30",Table1[[#This Row],[Age]]&lt;=40,"30-40",Table1[[#This Row],[Age]]&lt;=50,"41-50",Table1[[#This Row],[Age]]&gt;50,"Over 50")</f>
        <v>30-40</v>
      </c>
      <c r="C1169" t="s">
        <v>35</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t="str" cm="1">
        <f t="array" ref="AH1169">_xlfn.IFS(Table1[[#This Row],[YearsAtCompany]]&lt;=2,"0-2 years",Table1[[#This Row],[YearsAtCompany]]&lt;=5,"3-5 years",Table1[[#This Row],[YearsAtCompany]]&lt;=10,"6-10 years",Table1[[#This Row],[YearsAtCompany]]&gt;10,"10+ years")</f>
        <v>0-2 years</v>
      </c>
      <c r="AI1169">
        <v>2</v>
      </c>
      <c r="AJ1169">
        <v>2</v>
      </c>
      <c r="AK1169">
        <v>2</v>
      </c>
      <c r="AL1169" t="str" cm="1">
        <f t="array" ref="AL1169">_xlfn.IFS(Table1[[#This Row],[JobSatisfaction]]=1,"Low",Table1[[#This Row],[JobSatisfaction]]=2,"Medium",Table1[[#This Row],[JobSatisfaction]]=3,"High",Table1[[#This Row],[JobSatisfaction]]=4,"Very High")</f>
        <v>Very High</v>
      </c>
      <c r="AM1169">
        <f>IF(Table1[[#This Row],[Attrition]]="Yes",1,0)</f>
        <v>1</v>
      </c>
    </row>
    <row r="1170" spans="1:39" ht="13.8" x14ac:dyDescent="0.25">
      <c r="A1170">
        <v>24</v>
      </c>
      <c r="B1170" t="str" cm="1">
        <f t="array" ref="B1170">_xlfn.IFS(Table1[[#This Row],[Age]]&lt;30,"Under 30",Table1[[#This Row],[Age]]&lt;=40,"30-40",Table1[[#This Row],[Age]]&lt;=50,"41-50",Table1[[#This Row],[Age]]&gt;50,"Over 50")</f>
        <v>Under 30</v>
      </c>
      <c r="C1170" t="s">
        <v>43</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t="str" cm="1">
        <f t="array" ref="AH1170">_xlfn.IFS(Table1[[#This Row],[YearsAtCompany]]&lt;=2,"0-2 years",Table1[[#This Row],[YearsAtCompany]]&lt;=5,"3-5 years",Table1[[#This Row],[YearsAtCompany]]&lt;=10,"6-10 years",Table1[[#This Row],[YearsAtCompany]]&gt;10,"10+ years")</f>
        <v>6-10 years</v>
      </c>
      <c r="AI1170">
        <v>3</v>
      </c>
      <c r="AJ1170">
        <v>1</v>
      </c>
      <c r="AK1170">
        <v>3</v>
      </c>
      <c r="AL1170" t="str" cm="1">
        <f t="array" ref="AL1170">_xlfn.IFS(Table1[[#This Row],[JobSatisfaction]]=1,"Low",Table1[[#This Row],[JobSatisfaction]]=2,"Medium",Table1[[#This Row],[JobSatisfaction]]=3,"High",Table1[[#This Row],[JobSatisfaction]]=4,"Very High")</f>
        <v>Very High</v>
      </c>
      <c r="AM1170">
        <f>IF(Table1[[#This Row],[Attrition]]="Yes",1,0)</f>
        <v>0</v>
      </c>
    </row>
    <row r="1171" spans="1:39" ht="13.8" x14ac:dyDescent="0.25">
      <c r="A1171">
        <v>27</v>
      </c>
      <c r="B1171" t="str" cm="1">
        <f t="array" ref="B1171">_xlfn.IFS(Table1[[#This Row],[Age]]&lt;30,"Under 30",Table1[[#This Row],[Age]]&lt;=40,"30-40",Table1[[#This Row],[Age]]&lt;=50,"41-50",Table1[[#This Row],[Age]]&gt;50,"Over 50")</f>
        <v>Under 30</v>
      </c>
      <c r="C1171" t="s">
        <v>43</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t="str" cm="1">
        <f t="array" ref="AH1171">_xlfn.IFS(Table1[[#This Row],[YearsAtCompany]]&lt;=2,"0-2 years",Table1[[#This Row],[YearsAtCompany]]&lt;=5,"3-5 years",Table1[[#This Row],[YearsAtCompany]]&lt;=10,"6-10 years",Table1[[#This Row],[YearsAtCompany]]&gt;10,"10+ years")</f>
        <v>3-5 years</v>
      </c>
      <c r="AI1171">
        <v>2</v>
      </c>
      <c r="AJ1171">
        <v>0</v>
      </c>
      <c r="AK1171">
        <v>2</v>
      </c>
      <c r="AL1171" t="str" cm="1">
        <f t="array" ref="AL1171">_xlfn.IFS(Table1[[#This Row],[JobSatisfaction]]=1,"Low",Table1[[#This Row],[JobSatisfaction]]=2,"Medium",Table1[[#This Row],[JobSatisfaction]]=3,"High",Table1[[#This Row],[JobSatisfaction]]=4,"Very High")</f>
        <v>High</v>
      </c>
      <c r="AM1171">
        <f>IF(Table1[[#This Row],[Attrition]]="Yes",1,0)</f>
        <v>0</v>
      </c>
    </row>
    <row r="1172" spans="1:39" ht="13.8" x14ac:dyDescent="0.25">
      <c r="A1172">
        <v>27</v>
      </c>
      <c r="B1172" t="str" cm="1">
        <f t="array" ref="B1172">_xlfn.IFS(Table1[[#This Row],[Age]]&lt;30,"Under 30",Table1[[#This Row],[Age]]&lt;=40,"30-40",Table1[[#This Row],[Age]]&lt;=50,"41-50",Table1[[#This Row],[Age]]&gt;50,"Over 50")</f>
        <v>Under 30</v>
      </c>
      <c r="C1172" t="s">
        <v>43</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t="str" cm="1">
        <f t="array" ref="AH1172">_xlfn.IFS(Table1[[#This Row],[YearsAtCompany]]&lt;=2,"0-2 years",Table1[[#This Row],[YearsAtCompany]]&lt;=5,"3-5 years",Table1[[#This Row],[YearsAtCompany]]&lt;=10,"6-10 years",Table1[[#This Row],[YearsAtCompany]]&gt;10,"10+ years")</f>
        <v>3-5 years</v>
      </c>
      <c r="AI1172">
        <v>2</v>
      </c>
      <c r="AJ1172">
        <v>1</v>
      </c>
      <c r="AK1172">
        <v>2</v>
      </c>
      <c r="AL1172" t="str" cm="1">
        <f t="array" ref="AL1172">_xlfn.IFS(Table1[[#This Row],[JobSatisfaction]]=1,"Low",Table1[[#This Row],[JobSatisfaction]]=2,"Medium",Table1[[#This Row],[JobSatisfaction]]=3,"High",Table1[[#This Row],[JobSatisfaction]]=4,"Very High")</f>
        <v>Very High</v>
      </c>
      <c r="AM1172">
        <f>IF(Table1[[#This Row],[Attrition]]="Yes",1,0)</f>
        <v>0</v>
      </c>
    </row>
    <row r="1173" spans="1:39" ht="13.8" x14ac:dyDescent="0.25">
      <c r="A1173">
        <v>40</v>
      </c>
      <c r="B1173" t="str" cm="1">
        <f t="array" ref="B1173">_xlfn.IFS(Table1[[#This Row],[Age]]&lt;30,"Under 30",Table1[[#This Row],[Age]]&lt;=40,"30-40",Table1[[#This Row],[Age]]&lt;=50,"41-50",Table1[[#This Row],[Age]]&gt;50,"Over 50")</f>
        <v>30-40</v>
      </c>
      <c r="C1173" t="s">
        <v>35</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t="str" cm="1">
        <f t="array" ref="AH1173">_xlfn.IFS(Table1[[#This Row],[YearsAtCompany]]&lt;=2,"0-2 years",Table1[[#This Row],[YearsAtCompany]]&lt;=5,"3-5 years",Table1[[#This Row],[YearsAtCompany]]&lt;=10,"6-10 years",Table1[[#This Row],[YearsAtCompany]]&gt;10,"10+ years")</f>
        <v>3-5 years</v>
      </c>
      <c r="AI1173">
        <v>2</v>
      </c>
      <c r="AJ1173">
        <v>0</v>
      </c>
      <c r="AK1173">
        <v>3</v>
      </c>
      <c r="AL1173" t="str" cm="1">
        <f t="array" ref="AL1173">_xlfn.IFS(Table1[[#This Row],[JobSatisfaction]]=1,"Low",Table1[[#This Row],[JobSatisfaction]]=2,"Medium",Table1[[#This Row],[JobSatisfaction]]=3,"High",Table1[[#This Row],[JobSatisfaction]]=4,"Very High")</f>
        <v>Low</v>
      </c>
      <c r="AM1173">
        <f>IF(Table1[[#This Row],[Attrition]]="Yes",1,0)</f>
        <v>1</v>
      </c>
    </row>
    <row r="1174" spans="1:39" ht="13.8" x14ac:dyDescent="0.25">
      <c r="A1174">
        <v>29</v>
      </c>
      <c r="B1174" t="str" cm="1">
        <f t="array" ref="B1174">_xlfn.IFS(Table1[[#This Row],[Age]]&lt;30,"Under 30",Table1[[#This Row],[Age]]&lt;=40,"30-40",Table1[[#This Row],[Age]]&lt;=50,"41-50",Table1[[#This Row],[Age]]&gt;50,"Over 50")</f>
        <v>Under 30</v>
      </c>
      <c r="C1174" t="s">
        <v>43</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t="str" cm="1">
        <f t="array" ref="AH1174">_xlfn.IFS(Table1[[#This Row],[YearsAtCompany]]&lt;=2,"0-2 years",Table1[[#This Row],[YearsAtCompany]]&lt;=5,"3-5 years",Table1[[#This Row],[YearsAtCompany]]&lt;=10,"6-10 years",Table1[[#This Row],[YearsAtCompany]]&gt;10,"10+ years")</f>
        <v>3-5 years</v>
      </c>
      <c r="AI1174">
        <v>2</v>
      </c>
      <c r="AJ1174">
        <v>1</v>
      </c>
      <c r="AK1174">
        <v>4</v>
      </c>
      <c r="AL1174" t="str" cm="1">
        <f t="array" ref="AL1174">_xlfn.IFS(Table1[[#This Row],[JobSatisfaction]]=1,"Low",Table1[[#This Row],[JobSatisfaction]]=2,"Medium",Table1[[#This Row],[JobSatisfaction]]=3,"High",Table1[[#This Row],[JobSatisfaction]]=4,"Very High")</f>
        <v>High</v>
      </c>
      <c r="AM1174">
        <f>IF(Table1[[#This Row],[Attrition]]="Yes",1,0)</f>
        <v>0</v>
      </c>
    </row>
    <row r="1175" spans="1:39" ht="13.8" x14ac:dyDescent="0.25">
      <c r="A1175">
        <v>36</v>
      </c>
      <c r="B1175" t="str" cm="1">
        <f t="array" ref="B1175">_xlfn.IFS(Table1[[#This Row],[Age]]&lt;30,"Under 30",Table1[[#This Row],[Age]]&lt;=40,"30-40",Table1[[#This Row],[Age]]&lt;=50,"41-50",Table1[[#This Row],[Age]]&gt;50,"Over 50")</f>
        <v>30-40</v>
      </c>
      <c r="C1175" t="s">
        <v>43</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t="str" cm="1">
        <f t="array" ref="AH1175">_xlfn.IFS(Table1[[#This Row],[YearsAtCompany]]&lt;=2,"0-2 years",Table1[[#This Row],[YearsAtCompany]]&lt;=5,"3-5 years",Table1[[#This Row],[YearsAtCompany]]&lt;=10,"6-10 years",Table1[[#This Row],[YearsAtCompany]]&gt;10,"10+ years")</f>
        <v>3-5 years</v>
      </c>
      <c r="AI1175">
        <v>2</v>
      </c>
      <c r="AJ1175">
        <v>0</v>
      </c>
      <c r="AK1175">
        <v>2</v>
      </c>
      <c r="AL1175" t="str" cm="1">
        <f t="array" ref="AL1175">_xlfn.IFS(Table1[[#This Row],[JobSatisfaction]]=1,"Low",Table1[[#This Row],[JobSatisfaction]]=2,"Medium",Table1[[#This Row],[JobSatisfaction]]=3,"High",Table1[[#This Row],[JobSatisfaction]]=4,"Very High")</f>
        <v>Low</v>
      </c>
      <c r="AM1175">
        <f>IF(Table1[[#This Row],[Attrition]]="Yes",1,0)</f>
        <v>0</v>
      </c>
    </row>
    <row r="1176" spans="1:39" ht="13.8" x14ac:dyDescent="0.25">
      <c r="A1176">
        <v>25</v>
      </c>
      <c r="B1176" t="str" cm="1">
        <f t="array" ref="B1176">_xlfn.IFS(Table1[[#This Row],[Age]]&lt;30,"Under 30",Table1[[#This Row],[Age]]&lt;=40,"30-40",Table1[[#This Row],[Age]]&lt;=50,"41-50",Table1[[#This Row],[Age]]&gt;50,"Over 50")</f>
        <v>Under 30</v>
      </c>
      <c r="C1176" t="s">
        <v>43</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t="str" cm="1">
        <f t="array" ref="AH1176">_xlfn.IFS(Table1[[#This Row],[YearsAtCompany]]&lt;=2,"0-2 years",Table1[[#This Row],[YearsAtCompany]]&lt;=5,"3-5 years",Table1[[#This Row],[YearsAtCompany]]&lt;=10,"6-10 years",Table1[[#This Row],[YearsAtCompany]]&gt;10,"10+ years")</f>
        <v>6-10 years</v>
      </c>
      <c r="AI1176">
        <v>7</v>
      </c>
      <c r="AJ1176">
        <v>0</v>
      </c>
      <c r="AK1176">
        <v>7</v>
      </c>
      <c r="AL1176" t="str" cm="1">
        <f t="array" ref="AL1176">_xlfn.IFS(Table1[[#This Row],[JobSatisfaction]]=1,"Low",Table1[[#This Row],[JobSatisfaction]]=2,"Medium",Table1[[#This Row],[JobSatisfaction]]=3,"High",Table1[[#This Row],[JobSatisfaction]]=4,"Very High")</f>
        <v>High</v>
      </c>
      <c r="AM1176">
        <f>IF(Table1[[#This Row],[Attrition]]="Yes",1,0)</f>
        <v>0</v>
      </c>
    </row>
    <row r="1177" spans="1:39" ht="13.8" x14ac:dyDescent="0.25">
      <c r="A1177">
        <v>39</v>
      </c>
      <c r="B1177" t="str" cm="1">
        <f t="array" ref="B1177">_xlfn.IFS(Table1[[#This Row],[Age]]&lt;30,"Under 30",Table1[[#This Row],[Age]]&lt;=40,"30-40",Table1[[#This Row],[Age]]&lt;=50,"41-50",Table1[[#This Row],[Age]]&gt;50,"Over 50")</f>
        <v>30-40</v>
      </c>
      <c r="C1177" t="s">
        <v>43</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t="str" cm="1">
        <f t="array" ref="AH1177">_xlfn.IFS(Table1[[#This Row],[YearsAtCompany]]&lt;=2,"0-2 years",Table1[[#This Row],[YearsAtCompany]]&lt;=5,"3-5 years",Table1[[#This Row],[YearsAtCompany]]&lt;=10,"6-10 years",Table1[[#This Row],[YearsAtCompany]]&gt;10,"10+ years")</f>
        <v>3-5 years</v>
      </c>
      <c r="AI1177">
        <v>4</v>
      </c>
      <c r="AJ1177">
        <v>1</v>
      </c>
      <c r="AK1177">
        <v>0</v>
      </c>
      <c r="AL1177" t="str" cm="1">
        <f t="array" ref="AL1177">_xlfn.IFS(Table1[[#This Row],[JobSatisfaction]]=1,"Low",Table1[[#This Row],[JobSatisfaction]]=2,"Medium",Table1[[#This Row],[JobSatisfaction]]=3,"High",Table1[[#This Row],[JobSatisfaction]]=4,"Very High")</f>
        <v>Medium</v>
      </c>
      <c r="AM1177">
        <f>IF(Table1[[#This Row],[Attrition]]="Yes",1,0)</f>
        <v>0</v>
      </c>
    </row>
    <row r="1178" spans="1:39" ht="13.8" x14ac:dyDescent="0.25">
      <c r="A1178">
        <v>49</v>
      </c>
      <c r="B1178" t="str" cm="1">
        <f t="array" ref="B1178">_xlfn.IFS(Table1[[#This Row],[Age]]&lt;30,"Under 30",Table1[[#This Row],[Age]]&lt;=40,"30-40",Table1[[#This Row],[Age]]&lt;=50,"41-50",Table1[[#This Row],[Age]]&gt;50,"Over 50")</f>
        <v>41-50</v>
      </c>
      <c r="C1178" t="s">
        <v>43</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t="str" cm="1">
        <f t="array" ref="AH1178">_xlfn.IFS(Table1[[#This Row],[YearsAtCompany]]&lt;=2,"0-2 years",Table1[[#This Row],[YearsAtCompany]]&lt;=5,"3-5 years",Table1[[#This Row],[YearsAtCompany]]&lt;=10,"6-10 years",Table1[[#This Row],[YearsAtCompany]]&gt;10,"10+ years")</f>
        <v>3-5 years</v>
      </c>
      <c r="AI1178">
        <v>2</v>
      </c>
      <c r="AJ1178">
        <v>1</v>
      </c>
      <c r="AK1178">
        <v>2</v>
      </c>
      <c r="AL1178" t="str" cm="1">
        <f t="array" ref="AL1178">_xlfn.IFS(Table1[[#This Row],[JobSatisfaction]]=1,"Low",Table1[[#This Row],[JobSatisfaction]]=2,"Medium",Table1[[#This Row],[JobSatisfaction]]=3,"High",Table1[[#This Row],[JobSatisfaction]]=4,"Very High")</f>
        <v>Medium</v>
      </c>
      <c r="AM1178">
        <f>IF(Table1[[#This Row],[Attrition]]="Yes",1,0)</f>
        <v>0</v>
      </c>
    </row>
    <row r="1179" spans="1:39" ht="13.8" x14ac:dyDescent="0.25">
      <c r="A1179">
        <v>50</v>
      </c>
      <c r="B1179" t="str" cm="1">
        <f t="array" ref="B1179">_xlfn.IFS(Table1[[#This Row],[Age]]&lt;30,"Under 30",Table1[[#This Row],[Age]]&lt;=40,"30-40",Table1[[#This Row],[Age]]&lt;=50,"41-50",Table1[[#This Row],[Age]]&gt;50,"Over 50")</f>
        <v>41-50</v>
      </c>
      <c r="C1179" t="s">
        <v>43</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t="str" cm="1">
        <f t="array" ref="AH1179">_xlfn.IFS(Table1[[#This Row],[YearsAtCompany]]&lt;=2,"0-2 years",Table1[[#This Row],[YearsAtCompany]]&lt;=5,"3-5 years",Table1[[#This Row],[YearsAtCompany]]&lt;=10,"6-10 years",Table1[[#This Row],[YearsAtCompany]]&gt;10,"10+ years")</f>
        <v>10+ years</v>
      </c>
      <c r="AI1179">
        <v>11</v>
      </c>
      <c r="AJ1179">
        <v>1</v>
      </c>
      <c r="AK1179">
        <v>11</v>
      </c>
      <c r="AL1179" t="str" cm="1">
        <f t="array" ref="AL1179">_xlfn.IFS(Table1[[#This Row],[JobSatisfaction]]=1,"Low",Table1[[#This Row],[JobSatisfaction]]=2,"Medium",Table1[[#This Row],[JobSatisfaction]]=3,"High",Table1[[#This Row],[JobSatisfaction]]=4,"Very High")</f>
        <v>Low</v>
      </c>
      <c r="AM1179">
        <f>IF(Table1[[#This Row],[Attrition]]="Yes",1,0)</f>
        <v>0</v>
      </c>
    </row>
    <row r="1180" spans="1:39" ht="13.8" x14ac:dyDescent="0.25">
      <c r="A1180">
        <v>20</v>
      </c>
      <c r="B1180" t="str" cm="1">
        <f t="array" ref="B1180">_xlfn.IFS(Table1[[#This Row],[Age]]&lt;30,"Under 30",Table1[[#This Row],[Age]]&lt;=40,"30-40",Table1[[#This Row],[Age]]&lt;=50,"41-50",Table1[[#This Row],[Age]]&gt;50,"Over 50")</f>
        <v>Under 30</v>
      </c>
      <c r="C1180" t="s">
        <v>43</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t="str" cm="1">
        <f t="array" ref="AH1180">_xlfn.IFS(Table1[[#This Row],[YearsAtCompany]]&lt;=2,"0-2 years",Table1[[#This Row],[YearsAtCompany]]&lt;=5,"3-5 years",Table1[[#This Row],[YearsAtCompany]]&lt;=10,"6-10 years",Table1[[#This Row],[YearsAtCompany]]&gt;10,"10+ years")</f>
        <v>0-2 years</v>
      </c>
      <c r="AI1180">
        <v>2</v>
      </c>
      <c r="AJ1180">
        <v>2</v>
      </c>
      <c r="AK1180">
        <v>2</v>
      </c>
      <c r="AL1180" t="str" cm="1">
        <f t="array" ref="AL1180">_xlfn.IFS(Table1[[#This Row],[JobSatisfaction]]=1,"Low",Table1[[#This Row],[JobSatisfaction]]=2,"Medium",Table1[[#This Row],[JobSatisfaction]]=3,"High",Table1[[#This Row],[JobSatisfaction]]=4,"Very High")</f>
        <v>High</v>
      </c>
      <c r="AM1180">
        <f>IF(Table1[[#This Row],[Attrition]]="Yes",1,0)</f>
        <v>0</v>
      </c>
    </row>
    <row r="1181" spans="1:39" ht="13.8" x14ac:dyDescent="0.25">
      <c r="A1181">
        <v>34</v>
      </c>
      <c r="B1181" t="str" cm="1">
        <f t="array" ref="B1181">_xlfn.IFS(Table1[[#This Row],[Age]]&lt;30,"Under 30",Table1[[#This Row],[Age]]&lt;=40,"30-40",Table1[[#This Row],[Age]]&lt;=50,"41-50",Table1[[#This Row],[Age]]&gt;50,"Over 50")</f>
        <v>30-40</v>
      </c>
      <c r="C1181" t="s">
        <v>43</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t="str" cm="1">
        <f t="array" ref="AH1181">_xlfn.IFS(Table1[[#This Row],[YearsAtCompany]]&lt;=2,"0-2 years",Table1[[#This Row],[YearsAtCompany]]&lt;=5,"3-5 years",Table1[[#This Row],[YearsAtCompany]]&lt;=10,"6-10 years",Table1[[#This Row],[YearsAtCompany]]&gt;10,"10+ years")</f>
        <v>10+ years</v>
      </c>
      <c r="AI1181">
        <v>8</v>
      </c>
      <c r="AJ1181">
        <v>7</v>
      </c>
      <c r="AK1181">
        <v>9</v>
      </c>
      <c r="AL1181" t="str" cm="1">
        <f t="array" ref="AL1181">_xlfn.IFS(Table1[[#This Row],[JobSatisfaction]]=1,"Low",Table1[[#This Row],[JobSatisfaction]]=2,"Medium",Table1[[#This Row],[JobSatisfaction]]=3,"High",Table1[[#This Row],[JobSatisfaction]]=4,"Very High")</f>
        <v>Medium</v>
      </c>
      <c r="AM1181">
        <f>IF(Table1[[#This Row],[Attrition]]="Yes",1,0)</f>
        <v>0</v>
      </c>
    </row>
    <row r="1182" spans="1:39" ht="13.8" x14ac:dyDescent="0.25">
      <c r="A1182">
        <v>36</v>
      </c>
      <c r="B1182" t="str" cm="1">
        <f t="array" ref="B1182">_xlfn.IFS(Table1[[#This Row],[Age]]&lt;30,"Under 30",Table1[[#This Row],[Age]]&lt;=40,"30-40",Table1[[#This Row],[Age]]&lt;=50,"41-50",Table1[[#This Row],[Age]]&gt;50,"Over 50")</f>
        <v>30-40</v>
      </c>
      <c r="C1182" t="s">
        <v>43</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t="str" cm="1">
        <f t="array" ref="AH1182">_xlfn.IFS(Table1[[#This Row],[YearsAtCompany]]&lt;=2,"0-2 years",Table1[[#This Row],[YearsAtCompany]]&lt;=5,"3-5 years",Table1[[#This Row],[YearsAtCompany]]&lt;=10,"6-10 years",Table1[[#This Row],[YearsAtCompany]]&gt;10,"10+ years")</f>
        <v>3-5 years</v>
      </c>
      <c r="AI1182">
        <v>3</v>
      </c>
      <c r="AJ1182">
        <v>1</v>
      </c>
      <c r="AK1182">
        <v>3</v>
      </c>
      <c r="AL1182" t="str" cm="1">
        <f t="array" ref="AL1182">_xlfn.IFS(Table1[[#This Row],[JobSatisfaction]]=1,"Low",Table1[[#This Row],[JobSatisfaction]]=2,"Medium",Table1[[#This Row],[JobSatisfaction]]=3,"High",Table1[[#This Row],[JobSatisfaction]]=4,"Very High")</f>
        <v>Medium</v>
      </c>
      <c r="AM1182">
        <f>IF(Table1[[#This Row],[Attrition]]="Yes",1,0)</f>
        <v>0</v>
      </c>
    </row>
    <row r="1183" spans="1:39" ht="13.8" x14ac:dyDescent="0.25">
      <c r="A1183">
        <v>49</v>
      </c>
      <c r="B1183" t="str" cm="1">
        <f t="array" ref="B1183">_xlfn.IFS(Table1[[#This Row],[Age]]&lt;30,"Under 30",Table1[[#This Row],[Age]]&lt;=40,"30-40",Table1[[#This Row],[Age]]&lt;=50,"41-50",Table1[[#This Row],[Age]]&gt;50,"Over 50")</f>
        <v>41-50</v>
      </c>
      <c r="C1183" t="s">
        <v>43</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t="str" cm="1">
        <f t="array" ref="AH1183">_xlfn.IFS(Table1[[#This Row],[YearsAtCompany]]&lt;=2,"0-2 years",Table1[[#This Row],[YearsAtCompany]]&lt;=5,"3-5 years",Table1[[#This Row],[YearsAtCompany]]&lt;=10,"6-10 years",Table1[[#This Row],[YearsAtCompany]]&gt;10,"10+ years")</f>
        <v>10+ years</v>
      </c>
      <c r="AI1183">
        <v>11</v>
      </c>
      <c r="AJ1183">
        <v>2</v>
      </c>
      <c r="AK1183">
        <v>12</v>
      </c>
      <c r="AL1183" t="str" cm="1">
        <f t="array" ref="AL1183">_xlfn.IFS(Table1[[#This Row],[JobSatisfaction]]=1,"Low",Table1[[#This Row],[JobSatisfaction]]=2,"Medium",Table1[[#This Row],[JobSatisfaction]]=3,"High",Table1[[#This Row],[JobSatisfaction]]=4,"Very High")</f>
        <v>High</v>
      </c>
      <c r="AM1183">
        <f>IF(Table1[[#This Row],[Attrition]]="Yes",1,0)</f>
        <v>0</v>
      </c>
    </row>
    <row r="1184" spans="1:39" ht="13.8" x14ac:dyDescent="0.25">
      <c r="A1184">
        <v>36</v>
      </c>
      <c r="B1184" t="str" cm="1">
        <f t="array" ref="B1184">_xlfn.IFS(Table1[[#This Row],[Age]]&lt;30,"Under 30",Table1[[#This Row],[Age]]&lt;=40,"30-40",Table1[[#This Row],[Age]]&lt;=50,"41-50",Table1[[#This Row],[Age]]&gt;50,"Over 50")</f>
        <v>30-40</v>
      </c>
      <c r="C1184" t="s">
        <v>43</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t="str" cm="1">
        <f t="array" ref="AH1184">_xlfn.IFS(Table1[[#This Row],[YearsAtCompany]]&lt;=2,"0-2 years",Table1[[#This Row],[YearsAtCompany]]&lt;=5,"3-5 years",Table1[[#This Row],[YearsAtCompany]]&lt;=10,"6-10 years",Table1[[#This Row],[YearsAtCompany]]&gt;10,"10+ years")</f>
        <v>3-5 years</v>
      </c>
      <c r="AI1184">
        <v>2</v>
      </c>
      <c r="AJ1184">
        <v>1</v>
      </c>
      <c r="AK1184">
        <v>2</v>
      </c>
      <c r="AL1184" t="str" cm="1">
        <f t="array" ref="AL1184">_xlfn.IFS(Table1[[#This Row],[JobSatisfaction]]=1,"Low",Table1[[#This Row],[JobSatisfaction]]=2,"Medium",Table1[[#This Row],[JobSatisfaction]]=3,"High",Table1[[#This Row],[JobSatisfaction]]=4,"Very High")</f>
        <v>High</v>
      </c>
      <c r="AM1184">
        <f>IF(Table1[[#This Row],[Attrition]]="Yes",1,0)</f>
        <v>0</v>
      </c>
    </row>
    <row r="1185" spans="1:39" ht="13.8" x14ac:dyDescent="0.25">
      <c r="A1185">
        <v>36</v>
      </c>
      <c r="B1185" t="str" cm="1">
        <f t="array" ref="B1185">_xlfn.IFS(Table1[[#This Row],[Age]]&lt;30,"Under 30",Table1[[#This Row],[Age]]&lt;=40,"30-40",Table1[[#This Row],[Age]]&lt;=50,"41-50",Table1[[#This Row],[Age]]&gt;50,"Over 50")</f>
        <v>30-40</v>
      </c>
      <c r="C1185" t="s">
        <v>43</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t="str" cm="1">
        <f t="array" ref="AH1185">_xlfn.IFS(Table1[[#This Row],[YearsAtCompany]]&lt;=2,"0-2 years",Table1[[#This Row],[YearsAtCompany]]&lt;=5,"3-5 years",Table1[[#This Row],[YearsAtCompany]]&lt;=10,"6-10 years",Table1[[#This Row],[YearsAtCompany]]&gt;10,"10+ years")</f>
        <v>3-5 years</v>
      </c>
      <c r="AI1185">
        <v>4</v>
      </c>
      <c r="AJ1185">
        <v>0</v>
      </c>
      <c r="AK1185">
        <v>4</v>
      </c>
      <c r="AL1185" t="str" cm="1">
        <f t="array" ref="AL1185">_xlfn.IFS(Table1[[#This Row],[JobSatisfaction]]=1,"Low",Table1[[#This Row],[JobSatisfaction]]=2,"Medium",Table1[[#This Row],[JobSatisfaction]]=3,"High",Table1[[#This Row],[JobSatisfaction]]=4,"Very High")</f>
        <v>Low</v>
      </c>
      <c r="AM1185">
        <f>IF(Table1[[#This Row],[Attrition]]="Yes",1,0)</f>
        <v>0</v>
      </c>
    </row>
    <row r="1186" spans="1:39" ht="13.8" x14ac:dyDescent="0.25">
      <c r="A1186">
        <v>54</v>
      </c>
      <c r="B1186" t="str" cm="1">
        <f t="array" ref="B1186">_xlfn.IFS(Table1[[#This Row],[Age]]&lt;30,"Under 30",Table1[[#This Row],[Age]]&lt;=40,"30-40",Table1[[#This Row],[Age]]&lt;=50,"41-50",Table1[[#This Row],[Age]]&gt;50,"Over 50")</f>
        <v>Over 50</v>
      </c>
      <c r="C1186" t="s">
        <v>43</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t="str" cm="1">
        <f t="array" ref="AH1186">_xlfn.IFS(Table1[[#This Row],[YearsAtCompany]]&lt;=2,"0-2 years",Table1[[#This Row],[YearsAtCompany]]&lt;=5,"3-5 years",Table1[[#This Row],[YearsAtCompany]]&lt;=10,"6-10 years",Table1[[#This Row],[YearsAtCompany]]&gt;10,"10+ years")</f>
        <v>6-10 years</v>
      </c>
      <c r="AI1186">
        <v>8</v>
      </c>
      <c r="AJ1186">
        <v>4</v>
      </c>
      <c r="AK1186">
        <v>7</v>
      </c>
      <c r="AL1186" t="str" cm="1">
        <f t="array" ref="AL1186">_xlfn.IFS(Table1[[#This Row],[JobSatisfaction]]=1,"Low",Table1[[#This Row],[JobSatisfaction]]=2,"Medium",Table1[[#This Row],[JobSatisfaction]]=3,"High",Table1[[#This Row],[JobSatisfaction]]=4,"Very High")</f>
        <v>High</v>
      </c>
      <c r="AM1186">
        <f>IF(Table1[[#This Row],[Attrition]]="Yes",1,0)</f>
        <v>0</v>
      </c>
    </row>
    <row r="1187" spans="1:39" ht="13.8" x14ac:dyDescent="0.25">
      <c r="A1187">
        <v>43</v>
      </c>
      <c r="B1187" t="str" cm="1">
        <f t="array" ref="B1187">_xlfn.IFS(Table1[[#This Row],[Age]]&lt;30,"Under 30",Table1[[#This Row],[Age]]&lt;=40,"30-40",Table1[[#This Row],[Age]]&lt;=50,"41-50",Table1[[#This Row],[Age]]&gt;50,"Over 50")</f>
        <v>41-50</v>
      </c>
      <c r="C1187" t="s">
        <v>43</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t="str" cm="1">
        <f t="array" ref="AH1187">_xlfn.IFS(Table1[[#This Row],[YearsAtCompany]]&lt;=2,"0-2 years",Table1[[#This Row],[YearsAtCompany]]&lt;=5,"3-5 years",Table1[[#This Row],[YearsAtCompany]]&lt;=10,"6-10 years",Table1[[#This Row],[YearsAtCompany]]&gt;10,"10+ years")</f>
        <v>10+ years</v>
      </c>
      <c r="AI1187">
        <v>10</v>
      </c>
      <c r="AJ1187">
        <v>6</v>
      </c>
      <c r="AK1187">
        <v>11</v>
      </c>
      <c r="AL1187" t="str" cm="1">
        <f t="array" ref="AL1187">_xlfn.IFS(Table1[[#This Row],[JobSatisfaction]]=1,"Low",Table1[[#This Row],[JobSatisfaction]]=2,"Medium",Table1[[#This Row],[JobSatisfaction]]=3,"High",Table1[[#This Row],[JobSatisfaction]]=4,"Very High")</f>
        <v>High</v>
      </c>
      <c r="AM1187">
        <f>IF(Table1[[#This Row],[Attrition]]="Yes",1,0)</f>
        <v>0</v>
      </c>
    </row>
    <row r="1188" spans="1:39" ht="13.8" x14ac:dyDescent="0.25">
      <c r="A1188">
        <v>35</v>
      </c>
      <c r="B1188" t="str" cm="1">
        <f t="array" ref="B1188">_xlfn.IFS(Table1[[#This Row],[Age]]&lt;30,"Under 30",Table1[[#This Row],[Age]]&lt;=40,"30-40",Table1[[#This Row],[Age]]&lt;=50,"41-50",Table1[[#This Row],[Age]]&gt;50,"Over 50")</f>
        <v>30-40</v>
      </c>
      <c r="C1188" t="s">
        <v>35</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t="str" cm="1">
        <f t="array" ref="AH1188">_xlfn.IFS(Table1[[#This Row],[YearsAtCompany]]&lt;=2,"0-2 years",Table1[[#This Row],[YearsAtCompany]]&lt;=5,"3-5 years",Table1[[#This Row],[YearsAtCompany]]&lt;=10,"6-10 years",Table1[[#This Row],[YearsAtCompany]]&gt;10,"10+ years")</f>
        <v>10+ years</v>
      </c>
      <c r="AI1188">
        <v>9</v>
      </c>
      <c r="AJ1188">
        <v>6</v>
      </c>
      <c r="AK1188">
        <v>7</v>
      </c>
      <c r="AL1188" t="str" cm="1">
        <f t="array" ref="AL1188">_xlfn.IFS(Table1[[#This Row],[JobSatisfaction]]=1,"Low",Table1[[#This Row],[JobSatisfaction]]=2,"Medium",Table1[[#This Row],[JobSatisfaction]]=3,"High",Table1[[#This Row],[JobSatisfaction]]=4,"Very High")</f>
        <v>Very High</v>
      </c>
      <c r="AM1188">
        <f>IF(Table1[[#This Row],[Attrition]]="Yes",1,0)</f>
        <v>1</v>
      </c>
    </row>
    <row r="1189" spans="1:39" ht="13.8" x14ac:dyDescent="0.25">
      <c r="A1189">
        <v>38</v>
      </c>
      <c r="B1189" t="str" cm="1">
        <f t="array" ref="B1189">_xlfn.IFS(Table1[[#This Row],[Age]]&lt;30,"Under 30",Table1[[#This Row],[Age]]&lt;=40,"30-40",Table1[[#This Row],[Age]]&lt;=50,"41-50",Table1[[#This Row],[Age]]&gt;50,"Over 50")</f>
        <v>30-40</v>
      </c>
      <c r="C1189" t="s">
        <v>43</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t="str" cm="1">
        <f t="array" ref="AH1189">_xlfn.IFS(Table1[[#This Row],[YearsAtCompany]]&lt;=2,"0-2 years",Table1[[#This Row],[YearsAtCompany]]&lt;=5,"3-5 years",Table1[[#This Row],[YearsAtCompany]]&lt;=10,"6-10 years",Table1[[#This Row],[YearsAtCompany]]&gt;10,"10+ years")</f>
        <v>10+ years</v>
      </c>
      <c r="AI1189">
        <v>11</v>
      </c>
      <c r="AJ1189">
        <v>2</v>
      </c>
      <c r="AK1189">
        <v>9</v>
      </c>
      <c r="AL1189" t="str" cm="1">
        <f t="array" ref="AL1189">_xlfn.IFS(Table1[[#This Row],[JobSatisfaction]]=1,"Low",Table1[[#This Row],[JobSatisfaction]]=2,"Medium",Table1[[#This Row],[JobSatisfaction]]=3,"High",Table1[[#This Row],[JobSatisfaction]]=4,"Very High")</f>
        <v>Very High</v>
      </c>
      <c r="AM1189">
        <f>IF(Table1[[#This Row],[Attrition]]="Yes",1,0)</f>
        <v>0</v>
      </c>
    </row>
    <row r="1190" spans="1:39" ht="13.8" x14ac:dyDescent="0.25">
      <c r="A1190">
        <v>29</v>
      </c>
      <c r="B1190" t="str" cm="1">
        <f t="array" ref="B1190">_xlfn.IFS(Table1[[#This Row],[Age]]&lt;30,"Under 30",Table1[[#This Row],[Age]]&lt;=40,"30-40",Table1[[#This Row],[Age]]&lt;=50,"41-50",Table1[[#This Row],[Age]]&gt;50,"Over 50")</f>
        <v>Under 30</v>
      </c>
      <c r="C1190" t="s">
        <v>43</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t="str" cm="1">
        <f t="array" ref="AH1190">_xlfn.IFS(Table1[[#This Row],[YearsAtCompany]]&lt;=2,"0-2 years",Table1[[#This Row],[YearsAtCompany]]&lt;=5,"3-5 years",Table1[[#This Row],[YearsAtCompany]]&lt;=10,"6-10 years",Table1[[#This Row],[YearsAtCompany]]&gt;10,"10+ years")</f>
        <v>6-10 years</v>
      </c>
      <c r="AI1190">
        <v>0</v>
      </c>
      <c r="AJ1190">
        <v>0</v>
      </c>
      <c r="AK1190">
        <v>9</v>
      </c>
      <c r="AL1190" t="str" cm="1">
        <f t="array" ref="AL1190">_xlfn.IFS(Table1[[#This Row],[JobSatisfaction]]=1,"Low",Table1[[#This Row],[JobSatisfaction]]=2,"Medium",Table1[[#This Row],[JobSatisfaction]]=3,"High",Table1[[#This Row],[JobSatisfaction]]=4,"Very High")</f>
        <v>Medium</v>
      </c>
      <c r="AM1190">
        <f>IF(Table1[[#This Row],[Attrition]]="Yes",1,0)</f>
        <v>0</v>
      </c>
    </row>
    <row r="1191" spans="1:39" ht="13.8" x14ac:dyDescent="0.25">
      <c r="A1191">
        <v>33</v>
      </c>
      <c r="B1191" t="str" cm="1">
        <f t="array" ref="B1191">_xlfn.IFS(Table1[[#This Row],[Age]]&lt;30,"Under 30",Table1[[#This Row],[Age]]&lt;=40,"30-40",Table1[[#This Row],[Age]]&lt;=50,"41-50",Table1[[#This Row],[Age]]&gt;50,"Over 50")</f>
        <v>30-40</v>
      </c>
      <c r="C1191" t="s">
        <v>43</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t="str" cm="1">
        <f t="array" ref="AH1191">_xlfn.IFS(Table1[[#This Row],[YearsAtCompany]]&lt;=2,"0-2 years",Table1[[#This Row],[YearsAtCompany]]&lt;=5,"3-5 years",Table1[[#This Row],[YearsAtCompany]]&lt;=10,"6-10 years",Table1[[#This Row],[YearsAtCompany]]&gt;10,"10+ years")</f>
        <v>6-10 years</v>
      </c>
      <c r="AI1191">
        <v>2</v>
      </c>
      <c r="AJ1191">
        <v>0</v>
      </c>
      <c r="AK1191">
        <v>4</v>
      </c>
      <c r="AL1191" t="str" cm="1">
        <f t="array" ref="AL1191">_xlfn.IFS(Table1[[#This Row],[JobSatisfaction]]=1,"Low",Table1[[#This Row],[JobSatisfaction]]=2,"Medium",Table1[[#This Row],[JobSatisfaction]]=3,"High",Table1[[#This Row],[JobSatisfaction]]=4,"Very High")</f>
        <v>Very High</v>
      </c>
      <c r="AM1191">
        <f>IF(Table1[[#This Row],[Attrition]]="Yes",1,0)</f>
        <v>0</v>
      </c>
    </row>
    <row r="1192" spans="1:39" ht="13.8" x14ac:dyDescent="0.25">
      <c r="A1192">
        <v>32</v>
      </c>
      <c r="B1192" t="str" cm="1">
        <f t="array" ref="B1192">_xlfn.IFS(Table1[[#This Row],[Age]]&lt;30,"Under 30",Table1[[#This Row],[Age]]&lt;=40,"30-40",Table1[[#This Row],[Age]]&lt;=50,"41-50",Table1[[#This Row],[Age]]&gt;50,"Over 50")</f>
        <v>30-40</v>
      </c>
      <c r="C1192" t="s">
        <v>43</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t="str" cm="1">
        <f t="array" ref="AH1192">_xlfn.IFS(Table1[[#This Row],[YearsAtCompany]]&lt;=2,"0-2 years",Table1[[#This Row],[YearsAtCompany]]&lt;=5,"3-5 years",Table1[[#This Row],[YearsAtCompany]]&lt;=10,"6-10 years",Table1[[#This Row],[YearsAtCompany]]&gt;10,"10+ years")</f>
        <v>6-10 years</v>
      </c>
      <c r="AI1192">
        <v>5</v>
      </c>
      <c r="AJ1192">
        <v>1</v>
      </c>
      <c r="AK1192">
        <v>6</v>
      </c>
      <c r="AL1192" t="str" cm="1">
        <f t="array" ref="AL1192">_xlfn.IFS(Table1[[#This Row],[JobSatisfaction]]=1,"Low",Table1[[#This Row],[JobSatisfaction]]=2,"Medium",Table1[[#This Row],[JobSatisfaction]]=3,"High",Table1[[#This Row],[JobSatisfaction]]=4,"Very High")</f>
        <v>Medium</v>
      </c>
      <c r="AM1192">
        <f>IF(Table1[[#This Row],[Attrition]]="Yes",1,0)</f>
        <v>0</v>
      </c>
    </row>
    <row r="1193" spans="1:39" ht="13.8" x14ac:dyDescent="0.25">
      <c r="A1193">
        <v>31</v>
      </c>
      <c r="B1193" t="str" cm="1">
        <f t="array" ref="B1193">_xlfn.IFS(Table1[[#This Row],[Age]]&lt;30,"Under 30",Table1[[#This Row],[Age]]&lt;=40,"30-40",Table1[[#This Row],[Age]]&lt;=50,"41-50",Table1[[#This Row],[Age]]&gt;50,"Over 50")</f>
        <v>30-40</v>
      </c>
      <c r="C1193" t="s">
        <v>43</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t="str" cm="1">
        <f t="array" ref="AH1193">_xlfn.IFS(Table1[[#This Row],[YearsAtCompany]]&lt;=2,"0-2 years",Table1[[#This Row],[YearsAtCompany]]&lt;=5,"3-5 years",Table1[[#This Row],[YearsAtCompany]]&lt;=10,"6-10 years",Table1[[#This Row],[YearsAtCompany]]&gt;10,"10+ years")</f>
        <v>6-10 years</v>
      </c>
      <c r="AI1193">
        <v>0</v>
      </c>
      <c r="AJ1193">
        <v>0</v>
      </c>
      <c r="AK1193">
        <v>2</v>
      </c>
      <c r="AL1193" t="str" cm="1">
        <f t="array" ref="AL1193">_xlfn.IFS(Table1[[#This Row],[JobSatisfaction]]=1,"Low",Table1[[#This Row],[JobSatisfaction]]=2,"Medium",Table1[[#This Row],[JobSatisfaction]]=3,"High",Table1[[#This Row],[JobSatisfaction]]=4,"Very High")</f>
        <v>Very High</v>
      </c>
      <c r="AM1193">
        <f>IF(Table1[[#This Row],[Attrition]]="Yes",1,0)</f>
        <v>0</v>
      </c>
    </row>
    <row r="1194" spans="1:39" ht="13.8" x14ac:dyDescent="0.25">
      <c r="A1194">
        <v>49</v>
      </c>
      <c r="B1194" t="str" cm="1">
        <f t="array" ref="B1194">_xlfn.IFS(Table1[[#This Row],[Age]]&lt;30,"Under 30",Table1[[#This Row],[Age]]&lt;=40,"30-40",Table1[[#This Row],[Age]]&lt;=50,"41-50",Table1[[#This Row],[Age]]&gt;50,"Over 50")</f>
        <v>41-50</v>
      </c>
      <c r="C1194" t="s">
        <v>43</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t="str" cm="1">
        <f t="array" ref="AH1194">_xlfn.IFS(Table1[[#This Row],[YearsAtCompany]]&lt;=2,"0-2 years",Table1[[#This Row],[YearsAtCompany]]&lt;=5,"3-5 years",Table1[[#This Row],[YearsAtCompany]]&lt;=10,"6-10 years",Table1[[#This Row],[YearsAtCompany]]&gt;10,"10+ years")</f>
        <v>0-2 years</v>
      </c>
      <c r="AI1194">
        <v>2</v>
      </c>
      <c r="AJ1194">
        <v>2</v>
      </c>
      <c r="AK1194">
        <v>2</v>
      </c>
      <c r="AL1194" t="str" cm="1">
        <f t="array" ref="AL1194">_xlfn.IFS(Table1[[#This Row],[JobSatisfaction]]=1,"Low",Table1[[#This Row],[JobSatisfaction]]=2,"Medium",Table1[[#This Row],[JobSatisfaction]]=3,"High",Table1[[#This Row],[JobSatisfaction]]=4,"Very High")</f>
        <v>Low</v>
      </c>
      <c r="AM1194">
        <f>IF(Table1[[#This Row],[Attrition]]="Yes",1,0)</f>
        <v>0</v>
      </c>
    </row>
    <row r="1195" spans="1:39" ht="13.8" x14ac:dyDescent="0.25">
      <c r="A1195">
        <v>38</v>
      </c>
      <c r="B1195" t="str" cm="1">
        <f t="array" ref="B1195">_xlfn.IFS(Table1[[#This Row],[Age]]&lt;30,"Under 30",Table1[[#This Row],[Age]]&lt;=40,"30-40",Table1[[#This Row],[Age]]&lt;=50,"41-50",Table1[[#This Row],[Age]]&gt;50,"Over 50")</f>
        <v>30-40</v>
      </c>
      <c r="C1195" t="s">
        <v>43</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t="str" cm="1">
        <f t="array" ref="AH1195">_xlfn.IFS(Table1[[#This Row],[YearsAtCompany]]&lt;=2,"0-2 years",Table1[[#This Row],[YearsAtCompany]]&lt;=5,"3-5 years",Table1[[#This Row],[YearsAtCompany]]&lt;=10,"6-10 years",Table1[[#This Row],[YearsAtCompany]]&gt;10,"10+ years")</f>
        <v>3-5 years</v>
      </c>
      <c r="AI1195">
        <v>3</v>
      </c>
      <c r="AJ1195">
        <v>3</v>
      </c>
      <c r="AK1195">
        <v>3</v>
      </c>
      <c r="AL1195" t="str" cm="1">
        <f t="array" ref="AL1195">_xlfn.IFS(Table1[[#This Row],[JobSatisfaction]]=1,"Low",Table1[[#This Row],[JobSatisfaction]]=2,"Medium",Table1[[#This Row],[JobSatisfaction]]=3,"High",Table1[[#This Row],[JobSatisfaction]]=4,"Very High")</f>
        <v>Medium</v>
      </c>
      <c r="AM1195">
        <f>IF(Table1[[#This Row],[Attrition]]="Yes",1,0)</f>
        <v>0</v>
      </c>
    </row>
    <row r="1196" spans="1:39" ht="13.8" x14ac:dyDescent="0.25">
      <c r="A1196">
        <v>47</v>
      </c>
      <c r="B1196" t="str" cm="1">
        <f t="array" ref="B1196">_xlfn.IFS(Table1[[#This Row],[Age]]&lt;30,"Under 30",Table1[[#This Row],[Age]]&lt;=40,"30-40",Table1[[#This Row],[Age]]&lt;=50,"41-50",Table1[[#This Row],[Age]]&gt;50,"Over 50")</f>
        <v>41-50</v>
      </c>
      <c r="C1196" t="s">
        <v>43</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t="str" cm="1">
        <f t="array" ref="AH1196">_xlfn.IFS(Table1[[#This Row],[YearsAtCompany]]&lt;=2,"0-2 years",Table1[[#This Row],[YearsAtCompany]]&lt;=5,"3-5 years",Table1[[#This Row],[YearsAtCompany]]&lt;=10,"6-10 years",Table1[[#This Row],[YearsAtCompany]]&gt;10,"10+ years")</f>
        <v>3-5 years</v>
      </c>
      <c r="AI1196">
        <v>2</v>
      </c>
      <c r="AJ1196">
        <v>1</v>
      </c>
      <c r="AK1196">
        <v>2</v>
      </c>
      <c r="AL1196" t="str" cm="1">
        <f t="array" ref="AL1196">_xlfn.IFS(Table1[[#This Row],[JobSatisfaction]]=1,"Low",Table1[[#This Row],[JobSatisfaction]]=2,"Medium",Table1[[#This Row],[JobSatisfaction]]=3,"High",Table1[[#This Row],[JobSatisfaction]]=4,"Very High")</f>
        <v>Medium</v>
      </c>
      <c r="AM1196">
        <f>IF(Table1[[#This Row],[Attrition]]="Yes",1,0)</f>
        <v>0</v>
      </c>
    </row>
    <row r="1197" spans="1:39" ht="13.8" x14ac:dyDescent="0.25">
      <c r="A1197">
        <v>49</v>
      </c>
      <c r="B1197" t="str" cm="1">
        <f t="array" ref="B1197">_xlfn.IFS(Table1[[#This Row],[Age]]&lt;30,"Under 30",Table1[[#This Row],[Age]]&lt;=40,"30-40",Table1[[#This Row],[Age]]&lt;=50,"41-50",Table1[[#This Row],[Age]]&gt;50,"Over 50")</f>
        <v>41-50</v>
      </c>
      <c r="C1197" t="s">
        <v>43</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t="str" cm="1">
        <f t="array" ref="AH1197">_xlfn.IFS(Table1[[#This Row],[YearsAtCompany]]&lt;=2,"0-2 years",Table1[[#This Row],[YearsAtCompany]]&lt;=5,"3-5 years",Table1[[#This Row],[YearsAtCompany]]&lt;=10,"6-10 years",Table1[[#This Row],[YearsAtCompany]]&gt;10,"10+ years")</f>
        <v>6-10 years</v>
      </c>
      <c r="AI1197">
        <v>7</v>
      </c>
      <c r="AJ1197">
        <v>0</v>
      </c>
      <c r="AK1197">
        <v>0</v>
      </c>
      <c r="AL1197" t="str" cm="1">
        <f t="array" ref="AL1197">_xlfn.IFS(Table1[[#This Row],[JobSatisfaction]]=1,"Low",Table1[[#This Row],[JobSatisfaction]]=2,"Medium",Table1[[#This Row],[JobSatisfaction]]=3,"High",Table1[[#This Row],[JobSatisfaction]]=4,"Very High")</f>
        <v>High</v>
      </c>
      <c r="AM1197">
        <f>IF(Table1[[#This Row],[Attrition]]="Yes",1,0)</f>
        <v>0</v>
      </c>
    </row>
    <row r="1198" spans="1:39" ht="13.8" x14ac:dyDescent="0.25">
      <c r="A1198">
        <v>41</v>
      </c>
      <c r="B1198" t="str" cm="1">
        <f t="array" ref="B1198">_xlfn.IFS(Table1[[#This Row],[Age]]&lt;30,"Under 30",Table1[[#This Row],[Age]]&lt;=40,"30-40",Table1[[#This Row],[Age]]&lt;=50,"41-50",Table1[[#This Row],[Age]]&gt;50,"Over 50")</f>
        <v>41-50</v>
      </c>
      <c r="C1198" t="s">
        <v>43</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t="str" cm="1">
        <f t="array" ref="AH1198">_xlfn.IFS(Table1[[#This Row],[YearsAtCompany]]&lt;=2,"0-2 years",Table1[[#This Row],[YearsAtCompany]]&lt;=5,"3-5 years",Table1[[#This Row],[YearsAtCompany]]&lt;=10,"6-10 years",Table1[[#This Row],[YearsAtCompany]]&gt;10,"10+ years")</f>
        <v>0-2 years</v>
      </c>
      <c r="AI1198">
        <v>0</v>
      </c>
      <c r="AJ1198">
        <v>0</v>
      </c>
      <c r="AK1198">
        <v>2</v>
      </c>
      <c r="AL1198" t="str" cm="1">
        <f t="array" ref="AL1198">_xlfn.IFS(Table1[[#This Row],[JobSatisfaction]]=1,"Low",Table1[[#This Row],[JobSatisfaction]]=2,"Medium",Table1[[#This Row],[JobSatisfaction]]=3,"High",Table1[[#This Row],[JobSatisfaction]]=4,"Very High")</f>
        <v>High</v>
      </c>
      <c r="AM1198">
        <f>IF(Table1[[#This Row],[Attrition]]="Yes",1,0)</f>
        <v>0</v>
      </c>
    </row>
    <row r="1199" spans="1:39" ht="13.8" x14ac:dyDescent="0.25">
      <c r="A1199">
        <v>20</v>
      </c>
      <c r="B1199" t="str" cm="1">
        <f t="array" ref="B1199">_xlfn.IFS(Table1[[#This Row],[Age]]&lt;30,"Under 30",Table1[[#This Row],[Age]]&lt;=40,"30-40",Table1[[#This Row],[Age]]&lt;=50,"41-50",Table1[[#This Row],[Age]]&gt;50,"Over 50")</f>
        <v>Under 30</v>
      </c>
      <c r="C1199" t="s">
        <v>43</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t="str" cm="1">
        <f t="array" ref="AH1199">_xlfn.IFS(Table1[[#This Row],[YearsAtCompany]]&lt;=2,"0-2 years",Table1[[#This Row],[YearsAtCompany]]&lt;=5,"3-5 years",Table1[[#This Row],[YearsAtCompany]]&lt;=10,"6-10 years",Table1[[#This Row],[YearsAtCompany]]&gt;10,"10+ years")</f>
        <v>0-2 years</v>
      </c>
      <c r="AI1199">
        <v>2</v>
      </c>
      <c r="AJ1199">
        <v>0</v>
      </c>
      <c r="AK1199">
        <v>2</v>
      </c>
      <c r="AL1199" t="str" cm="1">
        <f t="array" ref="AL1199">_xlfn.IFS(Table1[[#This Row],[JobSatisfaction]]=1,"Low",Table1[[#This Row],[JobSatisfaction]]=2,"Medium",Table1[[#This Row],[JobSatisfaction]]=3,"High",Table1[[#This Row],[JobSatisfaction]]=4,"Very High")</f>
        <v>Low</v>
      </c>
      <c r="AM1199">
        <f>IF(Table1[[#This Row],[Attrition]]="Yes",1,0)</f>
        <v>0</v>
      </c>
    </row>
    <row r="1200" spans="1:39" ht="13.8" x14ac:dyDescent="0.25">
      <c r="A1200">
        <v>33</v>
      </c>
      <c r="B1200" t="str" cm="1">
        <f t="array" ref="B1200">_xlfn.IFS(Table1[[#This Row],[Age]]&lt;30,"Under 30",Table1[[#This Row],[Age]]&lt;=40,"30-40",Table1[[#This Row],[Age]]&lt;=50,"41-50",Table1[[#This Row],[Age]]&gt;50,"Over 50")</f>
        <v>30-40</v>
      </c>
      <c r="C1200" t="s">
        <v>43</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t="str" cm="1">
        <f t="array" ref="AH1200">_xlfn.IFS(Table1[[#This Row],[YearsAtCompany]]&lt;=2,"0-2 years",Table1[[#This Row],[YearsAtCompany]]&lt;=5,"3-5 years",Table1[[#This Row],[YearsAtCompany]]&lt;=10,"6-10 years",Table1[[#This Row],[YearsAtCompany]]&gt;10,"10+ years")</f>
        <v>6-10 years</v>
      </c>
      <c r="AI1200">
        <v>5</v>
      </c>
      <c r="AJ1200">
        <v>1</v>
      </c>
      <c r="AK1200">
        <v>2</v>
      </c>
      <c r="AL1200" t="str" cm="1">
        <f t="array" ref="AL1200">_xlfn.IFS(Table1[[#This Row],[JobSatisfaction]]=1,"Low",Table1[[#This Row],[JobSatisfaction]]=2,"Medium",Table1[[#This Row],[JobSatisfaction]]=3,"High",Table1[[#This Row],[JobSatisfaction]]=4,"Very High")</f>
        <v>Very High</v>
      </c>
      <c r="AM1200">
        <f>IF(Table1[[#This Row],[Attrition]]="Yes",1,0)</f>
        <v>0</v>
      </c>
    </row>
    <row r="1201" spans="1:39" ht="13.8" x14ac:dyDescent="0.25">
      <c r="A1201">
        <v>36</v>
      </c>
      <c r="B1201" t="str" cm="1">
        <f t="array" ref="B1201">_xlfn.IFS(Table1[[#This Row],[Age]]&lt;30,"Under 30",Table1[[#This Row],[Age]]&lt;=40,"30-40",Table1[[#This Row],[Age]]&lt;=50,"41-50",Table1[[#This Row],[Age]]&gt;50,"Over 50")</f>
        <v>30-40</v>
      </c>
      <c r="C1201" t="s">
        <v>43</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t="str" cm="1">
        <f t="array" ref="AH1201">_xlfn.IFS(Table1[[#This Row],[YearsAtCompany]]&lt;=2,"0-2 years",Table1[[#This Row],[YearsAtCompany]]&lt;=5,"3-5 years",Table1[[#This Row],[YearsAtCompany]]&lt;=10,"6-10 years",Table1[[#This Row],[YearsAtCompany]]&gt;10,"10+ years")</f>
        <v>3-5 years</v>
      </c>
      <c r="AI1201">
        <v>2</v>
      </c>
      <c r="AJ1201">
        <v>0</v>
      </c>
      <c r="AK1201">
        <v>2</v>
      </c>
      <c r="AL1201" t="str" cm="1">
        <f t="array" ref="AL1201">_xlfn.IFS(Table1[[#This Row],[JobSatisfaction]]=1,"Low",Table1[[#This Row],[JobSatisfaction]]=2,"Medium",Table1[[#This Row],[JobSatisfaction]]=3,"High",Table1[[#This Row],[JobSatisfaction]]=4,"Very High")</f>
        <v>High</v>
      </c>
      <c r="AM1201">
        <f>IF(Table1[[#This Row],[Attrition]]="Yes",1,0)</f>
        <v>0</v>
      </c>
    </row>
    <row r="1202" spans="1:39" ht="13.8" x14ac:dyDescent="0.25">
      <c r="A1202">
        <v>44</v>
      </c>
      <c r="B1202" t="str" cm="1">
        <f t="array" ref="B1202">_xlfn.IFS(Table1[[#This Row],[Age]]&lt;30,"Under 30",Table1[[#This Row],[Age]]&lt;=40,"30-40",Table1[[#This Row],[Age]]&lt;=50,"41-50",Table1[[#This Row],[Age]]&gt;50,"Over 50")</f>
        <v>41-50</v>
      </c>
      <c r="C1202" t="s">
        <v>43</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t="str" cm="1">
        <f t="array" ref="AH1202">_xlfn.IFS(Table1[[#This Row],[YearsAtCompany]]&lt;=2,"0-2 years",Table1[[#This Row],[YearsAtCompany]]&lt;=5,"3-5 years",Table1[[#This Row],[YearsAtCompany]]&lt;=10,"6-10 years",Table1[[#This Row],[YearsAtCompany]]&gt;10,"10+ years")</f>
        <v>0-2 years</v>
      </c>
      <c r="AI1202">
        <v>2</v>
      </c>
      <c r="AJ1202">
        <v>2</v>
      </c>
      <c r="AK1202">
        <v>2</v>
      </c>
      <c r="AL1202" t="str" cm="1">
        <f t="array" ref="AL1202">_xlfn.IFS(Table1[[#This Row],[JobSatisfaction]]=1,"Low",Table1[[#This Row],[JobSatisfaction]]=2,"Medium",Table1[[#This Row],[JobSatisfaction]]=3,"High",Table1[[#This Row],[JobSatisfaction]]=4,"Very High")</f>
        <v>Very High</v>
      </c>
      <c r="AM1202">
        <f>IF(Table1[[#This Row],[Attrition]]="Yes",1,0)</f>
        <v>0</v>
      </c>
    </row>
    <row r="1203" spans="1:39" ht="13.8" x14ac:dyDescent="0.25">
      <c r="A1203">
        <v>23</v>
      </c>
      <c r="B1203" t="str" cm="1">
        <f t="array" ref="B1203">_xlfn.IFS(Table1[[#This Row],[Age]]&lt;30,"Under 30",Table1[[#This Row],[Age]]&lt;=40,"30-40",Table1[[#This Row],[Age]]&lt;=50,"41-50",Table1[[#This Row],[Age]]&gt;50,"Over 50")</f>
        <v>Under 30</v>
      </c>
      <c r="C1203" t="s">
        <v>35</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t="str" cm="1">
        <f t="array" ref="AH1203">_xlfn.IFS(Table1[[#This Row],[YearsAtCompany]]&lt;=2,"0-2 years",Table1[[#This Row],[YearsAtCompany]]&lt;=5,"3-5 years",Table1[[#This Row],[YearsAtCompany]]&lt;=10,"6-10 years",Table1[[#This Row],[YearsAtCompany]]&gt;10,"10+ years")</f>
        <v>3-5 years</v>
      </c>
      <c r="AI1203">
        <v>4</v>
      </c>
      <c r="AJ1203">
        <v>1</v>
      </c>
      <c r="AK1203">
        <v>2</v>
      </c>
      <c r="AL1203" t="str" cm="1">
        <f t="array" ref="AL1203">_xlfn.IFS(Table1[[#This Row],[JobSatisfaction]]=1,"Low",Table1[[#This Row],[JobSatisfaction]]=2,"Medium",Table1[[#This Row],[JobSatisfaction]]=3,"High",Table1[[#This Row],[JobSatisfaction]]=4,"Very High")</f>
        <v>High</v>
      </c>
      <c r="AM1203">
        <f>IF(Table1[[#This Row],[Attrition]]="Yes",1,0)</f>
        <v>1</v>
      </c>
    </row>
    <row r="1204" spans="1:39" ht="13.8" x14ac:dyDescent="0.25">
      <c r="A1204">
        <v>38</v>
      </c>
      <c r="B1204" t="str" cm="1">
        <f t="array" ref="B1204">_xlfn.IFS(Table1[[#This Row],[Age]]&lt;30,"Under 30",Table1[[#This Row],[Age]]&lt;=40,"30-40",Table1[[#This Row],[Age]]&lt;=50,"41-50",Table1[[#This Row],[Age]]&gt;50,"Over 50")</f>
        <v>30-40</v>
      </c>
      <c r="C1204" t="s">
        <v>43</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t="str" cm="1">
        <f t="array" ref="AH1204">_xlfn.IFS(Table1[[#This Row],[YearsAtCompany]]&lt;=2,"0-2 years",Table1[[#This Row],[YearsAtCompany]]&lt;=5,"3-5 years",Table1[[#This Row],[YearsAtCompany]]&lt;=10,"6-10 years",Table1[[#This Row],[YearsAtCompany]]&gt;10,"10+ years")</f>
        <v>0-2 years</v>
      </c>
      <c r="AI1204">
        <v>0</v>
      </c>
      <c r="AJ1204">
        <v>0</v>
      </c>
      <c r="AK1204">
        <v>0</v>
      </c>
      <c r="AL1204" t="str" cm="1">
        <f t="array" ref="AL1204">_xlfn.IFS(Table1[[#This Row],[JobSatisfaction]]=1,"Low",Table1[[#This Row],[JobSatisfaction]]=2,"Medium",Table1[[#This Row],[JobSatisfaction]]=3,"High",Table1[[#This Row],[JobSatisfaction]]=4,"Very High")</f>
        <v>High</v>
      </c>
      <c r="AM1204">
        <f>IF(Table1[[#This Row],[Attrition]]="Yes",1,0)</f>
        <v>0</v>
      </c>
    </row>
    <row r="1205" spans="1:39" ht="13.8" x14ac:dyDescent="0.25">
      <c r="A1205">
        <v>53</v>
      </c>
      <c r="B1205" t="str" cm="1">
        <f t="array" ref="B1205">_xlfn.IFS(Table1[[#This Row],[Age]]&lt;30,"Under 30",Table1[[#This Row],[Age]]&lt;=40,"30-40",Table1[[#This Row],[Age]]&lt;=50,"41-50",Table1[[#This Row],[Age]]&gt;50,"Over 50")</f>
        <v>Over 50</v>
      </c>
      <c r="C1205" t="s">
        <v>43</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t="str" cm="1">
        <f t="array" ref="AH1205">_xlfn.IFS(Table1[[#This Row],[YearsAtCompany]]&lt;=2,"0-2 years",Table1[[#This Row],[YearsAtCompany]]&lt;=5,"3-5 years",Table1[[#This Row],[YearsAtCompany]]&lt;=10,"6-10 years",Table1[[#This Row],[YearsAtCompany]]&gt;10,"10+ years")</f>
        <v>3-5 years</v>
      </c>
      <c r="AI1205">
        <v>3</v>
      </c>
      <c r="AJ1205">
        <v>1</v>
      </c>
      <c r="AK1205">
        <v>2</v>
      </c>
      <c r="AL1205" t="str" cm="1">
        <f t="array" ref="AL1205">_xlfn.IFS(Table1[[#This Row],[JobSatisfaction]]=1,"Low",Table1[[#This Row],[JobSatisfaction]]=2,"Medium",Table1[[#This Row],[JobSatisfaction]]=3,"High",Table1[[#This Row],[JobSatisfaction]]=4,"Very High")</f>
        <v>Very High</v>
      </c>
      <c r="AM1205">
        <f>IF(Table1[[#This Row],[Attrition]]="Yes",1,0)</f>
        <v>0</v>
      </c>
    </row>
    <row r="1206" spans="1:39" ht="13.8" x14ac:dyDescent="0.25">
      <c r="A1206">
        <v>48</v>
      </c>
      <c r="B1206" t="str" cm="1">
        <f t="array" ref="B1206">_xlfn.IFS(Table1[[#This Row],[Age]]&lt;30,"Under 30",Table1[[#This Row],[Age]]&lt;=40,"30-40",Table1[[#This Row],[Age]]&lt;=50,"41-50",Table1[[#This Row],[Age]]&gt;50,"Over 50")</f>
        <v>41-50</v>
      </c>
      <c r="C1206" t="s">
        <v>35</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t="str" cm="1">
        <f t="array" ref="AH1206">_xlfn.IFS(Table1[[#This Row],[YearsAtCompany]]&lt;=2,"0-2 years",Table1[[#This Row],[YearsAtCompany]]&lt;=5,"3-5 years",Table1[[#This Row],[YearsAtCompany]]&lt;=10,"6-10 years",Table1[[#This Row],[YearsAtCompany]]&gt;10,"10+ years")</f>
        <v>6-10 years</v>
      </c>
      <c r="AI1206">
        <v>7</v>
      </c>
      <c r="AJ1206">
        <v>7</v>
      </c>
      <c r="AK1206">
        <v>7</v>
      </c>
      <c r="AL1206" t="str" cm="1">
        <f t="array" ref="AL1206">_xlfn.IFS(Table1[[#This Row],[JobSatisfaction]]=1,"Low",Table1[[#This Row],[JobSatisfaction]]=2,"Medium",Table1[[#This Row],[JobSatisfaction]]=3,"High",Table1[[#This Row],[JobSatisfaction]]=4,"Very High")</f>
        <v>High</v>
      </c>
      <c r="AM1206">
        <f>IF(Table1[[#This Row],[Attrition]]="Yes",1,0)</f>
        <v>1</v>
      </c>
    </row>
    <row r="1207" spans="1:39" ht="13.8" x14ac:dyDescent="0.25">
      <c r="A1207">
        <v>32</v>
      </c>
      <c r="B1207" t="str" cm="1">
        <f t="array" ref="B1207">_xlfn.IFS(Table1[[#This Row],[Age]]&lt;30,"Under 30",Table1[[#This Row],[Age]]&lt;=40,"30-40",Table1[[#This Row],[Age]]&lt;=50,"41-50",Table1[[#This Row],[Age]]&gt;50,"Over 50")</f>
        <v>30-40</v>
      </c>
      <c r="C1207" t="s">
        <v>35</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t="str" cm="1">
        <f t="array" ref="AH1207">_xlfn.IFS(Table1[[#This Row],[YearsAtCompany]]&lt;=2,"0-2 years",Table1[[#This Row],[YearsAtCompany]]&lt;=5,"3-5 years",Table1[[#This Row],[YearsAtCompany]]&lt;=10,"6-10 years",Table1[[#This Row],[YearsAtCompany]]&gt;10,"10+ years")</f>
        <v>0-2 years</v>
      </c>
      <c r="AI1207">
        <v>0</v>
      </c>
      <c r="AJ1207">
        <v>0</v>
      </c>
      <c r="AK1207">
        <v>0</v>
      </c>
      <c r="AL1207" t="str" cm="1">
        <f t="array" ref="AL1207">_xlfn.IFS(Table1[[#This Row],[JobSatisfaction]]=1,"Low",Table1[[#This Row],[JobSatisfaction]]=2,"Medium",Table1[[#This Row],[JobSatisfaction]]=3,"High",Table1[[#This Row],[JobSatisfaction]]=4,"Very High")</f>
        <v>Medium</v>
      </c>
      <c r="AM1207">
        <f>IF(Table1[[#This Row],[Attrition]]="Yes",1,0)</f>
        <v>1</v>
      </c>
    </row>
    <row r="1208" spans="1:39" ht="13.8" x14ac:dyDescent="0.25">
      <c r="A1208">
        <v>26</v>
      </c>
      <c r="B1208" t="str" cm="1">
        <f t="array" ref="B1208">_xlfn.IFS(Table1[[#This Row],[Age]]&lt;30,"Under 30",Table1[[#This Row],[Age]]&lt;=40,"30-40",Table1[[#This Row],[Age]]&lt;=50,"41-50",Table1[[#This Row],[Age]]&gt;50,"Over 50")</f>
        <v>Under 30</v>
      </c>
      <c r="C1208" t="s">
        <v>43</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t="str" cm="1">
        <f t="array" ref="AH1208">_xlfn.IFS(Table1[[#This Row],[YearsAtCompany]]&lt;=2,"0-2 years",Table1[[#This Row],[YearsAtCompany]]&lt;=5,"3-5 years",Table1[[#This Row],[YearsAtCompany]]&lt;=10,"6-10 years",Table1[[#This Row],[YearsAtCompany]]&gt;10,"10+ years")</f>
        <v>6-10 years</v>
      </c>
      <c r="AI1208">
        <v>7</v>
      </c>
      <c r="AJ1208">
        <v>5</v>
      </c>
      <c r="AK1208">
        <v>7</v>
      </c>
      <c r="AL1208" t="str" cm="1">
        <f t="array" ref="AL1208">_xlfn.IFS(Table1[[#This Row],[JobSatisfaction]]=1,"Low",Table1[[#This Row],[JobSatisfaction]]=2,"Medium",Table1[[#This Row],[JobSatisfaction]]=3,"High",Table1[[#This Row],[JobSatisfaction]]=4,"Very High")</f>
        <v>Very High</v>
      </c>
      <c r="AM1208">
        <f>IF(Table1[[#This Row],[Attrition]]="Yes",1,0)</f>
        <v>0</v>
      </c>
    </row>
    <row r="1209" spans="1:39" ht="13.8" x14ac:dyDescent="0.25">
      <c r="A1209">
        <v>55</v>
      </c>
      <c r="B1209" t="str" cm="1">
        <f t="array" ref="B1209">_xlfn.IFS(Table1[[#This Row],[Age]]&lt;30,"Under 30",Table1[[#This Row],[Age]]&lt;=40,"30-40",Table1[[#This Row],[Age]]&lt;=50,"41-50",Table1[[#This Row],[Age]]&gt;50,"Over 50")</f>
        <v>Over 50</v>
      </c>
      <c r="C1209" t="s">
        <v>43</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t="str" cm="1">
        <f t="array" ref="AH1209">_xlfn.IFS(Table1[[#This Row],[YearsAtCompany]]&lt;=2,"0-2 years",Table1[[#This Row],[YearsAtCompany]]&lt;=5,"3-5 years",Table1[[#This Row],[YearsAtCompany]]&lt;=10,"6-10 years",Table1[[#This Row],[YearsAtCompany]]&gt;10,"10+ years")</f>
        <v>3-5 years</v>
      </c>
      <c r="AI1209">
        <v>2</v>
      </c>
      <c r="AJ1209">
        <v>1</v>
      </c>
      <c r="AK1209">
        <v>2</v>
      </c>
      <c r="AL1209" t="str" cm="1">
        <f t="array" ref="AL1209">_xlfn.IFS(Table1[[#This Row],[JobSatisfaction]]=1,"Low",Table1[[#This Row],[JobSatisfaction]]=2,"Medium",Table1[[#This Row],[JobSatisfaction]]=3,"High",Table1[[#This Row],[JobSatisfaction]]=4,"Very High")</f>
        <v>Medium</v>
      </c>
      <c r="AM1209">
        <f>IF(Table1[[#This Row],[Attrition]]="Yes",1,0)</f>
        <v>0</v>
      </c>
    </row>
    <row r="1210" spans="1:39" ht="13.8" x14ac:dyDescent="0.25">
      <c r="A1210">
        <v>34</v>
      </c>
      <c r="B1210" t="str" cm="1">
        <f t="array" ref="B1210">_xlfn.IFS(Table1[[#This Row],[Age]]&lt;30,"Under 30",Table1[[#This Row],[Age]]&lt;=40,"30-40",Table1[[#This Row],[Age]]&lt;=50,"41-50",Table1[[#This Row],[Age]]&gt;50,"Over 50")</f>
        <v>30-40</v>
      </c>
      <c r="C1210" t="s">
        <v>43</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t="str" cm="1">
        <f t="array" ref="AH1210">_xlfn.IFS(Table1[[#This Row],[YearsAtCompany]]&lt;=2,"0-2 years",Table1[[#This Row],[YearsAtCompany]]&lt;=5,"3-5 years",Table1[[#This Row],[YearsAtCompany]]&lt;=10,"6-10 years",Table1[[#This Row],[YearsAtCompany]]&gt;10,"10+ years")</f>
        <v>10+ years</v>
      </c>
      <c r="AI1210">
        <v>10</v>
      </c>
      <c r="AJ1210">
        <v>4</v>
      </c>
      <c r="AK1210">
        <v>13</v>
      </c>
      <c r="AL1210" t="str" cm="1">
        <f t="array" ref="AL1210">_xlfn.IFS(Table1[[#This Row],[JobSatisfaction]]=1,"Low",Table1[[#This Row],[JobSatisfaction]]=2,"Medium",Table1[[#This Row],[JobSatisfaction]]=3,"High",Table1[[#This Row],[JobSatisfaction]]=4,"Very High")</f>
        <v>Very High</v>
      </c>
      <c r="AM1210">
        <f>IF(Table1[[#This Row],[Attrition]]="Yes",1,0)</f>
        <v>0</v>
      </c>
    </row>
    <row r="1211" spans="1:39" ht="13.8" x14ac:dyDescent="0.25">
      <c r="A1211">
        <v>60</v>
      </c>
      <c r="B1211" t="str" cm="1">
        <f t="array" ref="B1211">_xlfn.IFS(Table1[[#This Row],[Age]]&lt;30,"Under 30",Table1[[#This Row],[Age]]&lt;=40,"30-40",Table1[[#This Row],[Age]]&lt;=50,"41-50",Table1[[#This Row],[Age]]&gt;50,"Over 50")</f>
        <v>Over 50</v>
      </c>
      <c r="C1211" t="s">
        <v>43</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t="str" cm="1">
        <f t="array" ref="AH1211">_xlfn.IFS(Table1[[#This Row],[YearsAtCompany]]&lt;=2,"0-2 years",Table1[[#This Row],[YearsAtCompany]]&lt;=5,"3-5 years",Table1[[#This Row],[YearsAtCompany]]&lt;=10,"6-10 years",Table1[[#This Row],[YearsAtCompany]]&gt;10,"10+ years")</f>
        <v>0-2 years</v>
      </c>
      <c r="AI1211">
        <v>0</v>
      </c>
      <c r="AJ1211">
        <v>0</v>
      </c>
      <c r="AK1211">
        <v>0</v>
      </c>
      <c r="AL1211" t="str" cm="1">
        <f t="array" ref="AL1211">_xlfn.IFS(Table1[[#This Row],[JobSatisfaction]]=1,"Low",Table1[[#This Row],[JobSatisfaction]]=2,"Medium",Table1[[#This Row],[JobSatisfaction]]=3,"High",Table1[[#This Row],[JobSatisfaction]]=4,"Very High")</f>
        <v>Very High</v>
      </c>
      <c r="AM1211">
        <f>IF(Table1[[#This Row],[Attrition]]="Yes",1,0)</f>
        <v>0</v>
      </c>
    </row>
    <row r="1212" spans="1:39" ht="13.8" x14ac:dyDescent="0.25">
      <c r="A1212">
        <v>33</v>
      </c>
      <c r="B1212" t="str" cm="1">
        <f t="array" ref="B1212">_xlfn.IFS(Table1[[#This Row],[Age]]&lt;30,"Under 30",Table1[[#This Row],[Age]]&lt;=40,"30-40",Table1[[#This Row],[Age]]&lt;=50,"41-50",Table1[[#This Row],[Age]]&gt;50,"Over 50")</f>
        <v>30-40</v>
      </c>
      <c r="C1212" t="s">
        <v>43</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t="str" cm="1">
        <f t="array" ref="AH1212">_xlfn.IFS(Table1[[#This Row],[YearsAtCompany]]&lt;=2,"0-2 years",Table1[[#This Row],[YearsAtCompany]]&lt;=5,"3-5 years",Table1[[#This Row],[YearsAtCompany]]&lt;=10,"6-10 years",Table1[[#This Row],[YearsAtCompany]]&gt;10,"10+ years")</f>
        <v>10+ years</v>
      </c>
      <c r="AI1212">
        <v>11</v>
      </c>
      <c r="AJ1212">
        <v>2</v>
      </c>
      <c r="AK1212">
        <v>13</v>
      </c>
      <c r="AL1212" t="str" cm="1">
        <f t="array" ref="AL1212">_xlfn.IFS(Table1[[#This Row],[JobSatisfaction]]=1,"Low",Table1[[#This Row],[JobSatisfaction]]=2,"Medium",Table1[[#This Row],[JobSatisfaction]]=3,"High",Table1[[#This Row],[JobSatisfaction]]=4,"Very High")</f>
        <v>Medium</v>
      </c>
      <c r="AM1212">
        <f>IF(Table1[[#This Row],[Attrition]]="Yes",1,0)</f>
        <v>0</v>
      </c>
    </row>
    <row r="1213" spans="1:39" ht="13.8" x14ac:dyDescent="0.25">
      <c r="A1213">
        <v>37</v>
      </c>
      <c r="B1213" t="str" cm="1">
        <f t="array" ref="B1213">_xlfn.IFS(Table1[[#This Row],[Age]]&lt;30,"Under 30",Table1[[#This Row],[Age]]&lt;=40,"30-40",Table1[[#This Row],[Age]]&lt;=50,"41-50",Table1[[#This Row],[Age]]&gt;50,"Over 50")</f>
        <v>30-40</v>
      </c>
      <c r="C1213" t="s">
        <v>43</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t="str" cm="1">
        <f t="array" ref="AH1213">_xlfn.IFS(Table1[[#This Row],[YearsAtCompany]]&lt;=2,"0-2 years",Table1[[#This Row],[YearsAtCompany]]&lt;=5,"3-5 years",Table1[[#This Row],[YearsAtCompany]]&lt;=10,"6-10 years",Table1[[#This Row],[YearsAtCompany]]&gt;10,"10+ years")</f>
        <v>6-10 years</v>
      </c>
      <c r="AI1213">
        <v>3</v>
      </c>
      <c r="AJ1213">
        <v>1</v>
      </c>
      <c r="AK1213">
        <v>3</v>
      </c>
      <c r="AL1213" t="str" cm="1">
        <f t="array" ref="AL1213">_xlfn.IFS(Table1[[#This Row],[JobSatisfaction]]=1,"Low",Table1[[#This Row],[JobSatisfaction]]=2,"Medium",Table1[[#This Row],[JobSatisfaction]]=3,"High",Table1[[#This Row],[JobSatisfaction]]=4,"Very High")</f>
        <v>Very High</v>
      </c>
      <c r="AM1213">
        <f>IF(Table1[[#This Row],[Attrition]]="Yes",1,0)</f>
        <v>0</v>
      </c>
    </row>
    <row r="1214" spans="1:39" ht="13.8" x14ac:dyDescent="0.25">
      <c r="A1214">
        <v>34</v>
      </c>
      <c r="B1214" t="str" cm="1">
        <f t="array" ref="B1214">_xlfn.IFS(Table1[[#This Row],[Age]]&lt;30,"Under 30",Table1[[#This Row],[Age]]&lt;=40,"30-40",Table1[[#This Row],[Age]]&lt;=50,"41-50",Table1[[#This Row],[Age]]&gt;50,"Over 50")</f>
        <v>30-40</v>
      </c>
      <c r="C1214" t="s">
        <v>43</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t="str" cm="1">
        <f t="array" ref="AH1214">_xlfn.IFS(Table1[[#This Row],[YearsAtCompany]]&lt;=2,"0-2 years",Table1[[#This Row],[YearsAtCompany]]&lt;=5,"3-5 years",Table1[[#This Row],[YearsAtCompany]]&lt;=10,"6-10 years",Table1[[#This Row],[YearsAtCompany]]&gt;10,"10+ years")</f>
        <v>6-10 years</v>
      </c>
      <c r="AI1214">
        <v>9</v>
      </c>
      <c r="AJ1214">
        <v>8</v>
      </c>
      <c r="AK1214">
        <v>7</v>
      </c>
      <c r="AL1214" t="str" cm="1">
        <f t="array" ref="AL1214">_xlfn.IFS(Table1[[#This Row],[JobSatisfaction]]=1,"Low",Table1[[#This Row],[JobSatisfaction]]=2,"Medium",Table1[[#This Row],[JobSatisfaction]]=3,"High",Table1[[#This Row],[JobSatisfaction]]=4,"Very High")</f>
        <v>Very High</v>
      </c>
      <c r="AM1214">
        <f>IF(Table1[[#This Row],[Attrition]]="Yes",1,0)</f>
        <v>0</v>
      </c>
    </row>
    <row r="1215" spans="1:39" ht="13.8" x14ac:dyDescent="0.25">
      <c r="A1215">
        <v>23</v>
      </c>
      <c r="B1215" t="str" cm="1">
        <f t="array" ref="B1215">_xlfn.IFS(Table1[[#This Row],[Age]]&lt;30,"Under 30",Table1[[#This Row],[Age]]&lt;=40,"30-40",Table1[[#This Row],[Age]]&lt;=50,"41-50",Table1[[#This Row],[Age]]&gt;50,"Over 50")</f>
        <v>Under 30</v>
      </c>
      <c r="C1215" t="s">
        <v>35</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t="str" cm="1">
        <f t="array" ref="AH1215">_xlfn.IFS(Table1[[#This Row],[YearsAtCompany]]&lt;=2,"0-2 years",Table1[[#This Row],[YearsAtCompany]]&lt;=5,"3-5 years",Table1[[#This Row],[YearsAtCompany]]&lt;=10,"6-10 years",Table1[[#This Row],[YearsAtCompany]]&gt;10,"10+ years")</f>
        <v>3-5 years</v>
      </c>
      <c r="AI1215">
        <v>2</v>
      </c>
      <c r="AJ1215">
        <v>0</v>
      </c>
      <c r="AK1215">
        <v>2</v>
      </c>
      <c r="AL1215" t="str" cm="1">
        <f t="array" ref="AL1215">_xlfn.IFS(Table1[[#This Row],[JobSatisfaction]]=1,"Low",Table1[[#This Row],[JobSatisfaction]]=2,"Medium",Table1[[#This Row],[JobSatisfaction]]=3,"High",Table1[[#This Row],[JobSatisfaction]]=4,"Very High")</f>
        <v>Very High</v>
      </c>
      <c r="AM1215">
        <f>IF(Table1[[#This Row],[Attrition]]="Yes",1,0)</f>
        <v>1</v>
      </c>
    </row>
    <row r="1216" spans="1:39" ht="13.8" x14ac:dyDescent="0.25">
      <c r="A1216">
        <v>44</v>
      </c>
      <c r="B1216" t="str" cm="1">
        <f t="array" ref="B1216">_xlfn.IFS(Table1[[#This Row],[Age]]&lt;30,"Under 30",Table1[[#This Row],[Age]]&lt;=40,"30-40",Table1[[#This Row],[Age]]&lt;=50,"41-50",Table1[[#This Row],[Age]]&gt;50,"Over 50")</f>
        <v>41-50</v>
      </c>
      <c r="C1216" t="s">
        <v>43</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t="str" cm="1">
        <f t="array" ref="AH1216">_xlfn.IFS(Table1[[#This Row],[YearsAtCompany]]&lt;=2,"0-2 years",Table1[[#This Row],[YearsAtCompany]]&lt;=5,"3-5 years",Table1[[#This Row],[YearsAtCompany]]&lt;=10,"6-10 years",Table1[[#This Row],[YearsAtCompany]]&gt;10,"10+ years")</f>
        <v>6-10 years</v>
      </c>
      <c r="AI1216">
        <v>7</v>
      </c>
      <c r="AJ1216">
        <v>6</v>
      </c>
      <c r="AK1216">
        <v>7</v>
      </c>
      <c r="AL1216" t="str" cm="1">
        <f t="array" ref="AL1216">_xlfn.IFS(Table1[[#This Row],[JobSatisfaction]]=1,"Low",Table1[[#This Row],[JobSatisfaction]]=2,"Medium",Table1[[#This Row],[JobSatisfaction]]=3,"High",Table1[[#This Row],[JobSatisfaction]]=4,"Very High")</f>
        <v>Very High</v>
      </c>
      <c r="AM1216">
        <f>IF(Table1[[#This Row],[Attrition]]="Yes",1,0)</f>
        <v>0</v>
      </c>
    </row>
    <row r="1217" spans="1:39" ht="13.8" x14ac:dyDescent="0.25">
      <c r="A1217">
        <v>35</v>
      </c>
      <c r="B1217" t="str" cm="1">
        <f t="array" ref="B1217">_xlfn.IFS(Table1[[#This Row],[Age]]&lt;30,"Under 30",Table1[[#This Row],[Age]]&lt;=40,"30-40",Table1[[#This Row],[Age]]&lt;=50,"41-50",Table1[[#This Row],[Age]]&gt;50,"Over 50")</f>
        <v>30-40</v>
      </c>
      <c r="C1217" t="s">
        <v>43</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t="str" cm="1">
        <f t="array" ref="AH1217">_xlfn.IFS(Table1[[#This Row],[YearsAtCompany]]&lt;=2,"0-2 years",Table1[[#This Row],[YearsAtCompany]]&lt;=5,"3-5 years",Table1[[#This Row],[YearsAtCompany]]&lt;=10,"6-10 years",Table1[[#This Row],[YearsAtCompany]]&gt;10,"10+ years")</f>
        <v>3-5 years</v>
      </c>
      <c r="AI1217">
        <v>4</v>
      </c>
      <c r="AJ1217">
        <v>1</v>
      </c>
      <c r="AK1217">
        <v>4</v>
      </c>
      <c r="AL1217" t="str" cm="1">
        <f t="array" ref="AL1217">_xlfn.IFS(Table1[[#This Row],[JobSatisfaction]]=1,"Low",Table1[[#This Row],[JobSatisfaction]]=2,"Medium",Table1[[#This Row],[JobSatisfaction]]=3,"High",Table1[[#This Row],[JobSatisfaction]]=4,"Very High")</f>
        <v>Very High</v>
      </c>
      <c r="AM1217">
        <f>IF(Table1[[#This Row],[Attrition]]="Yes",1,0)</f>
        <v>0</v>
      </c>
    </row>
    <row r="1218" spans="1:39" ht="13.8" x14ac:dyDescent="0.25">
      <c r="A1218">
        <v>43</v>
      </c>
      <c r="B1218" t="str" cm="1">
        <f t="array" ref="B1218">_xlfn.IFS(Table1[[#This Row],[Age]]&lt;30,"Under 30",Table1[[#This Row],[Age]]&lt;=40,"30-40",Table1[[#This Row],[Age]]&lt;=50,"41-50",Table1[[#This Row],[Age]]&gt;50,"Over 50")</f>
        <v>41-50</v>
      </c>
      <c r="C1218" t="s">
        <v>43</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t="str" cm="1">
        <f t="array" ref="AH1218">_xlfn.IFS(Table1[[#This Row],[YearsAtCompany]]&lt;=2,"0-2 years",Table1[[#This Row],[YearsAtCompany]]&lt;=5,"3-5 years",Table1[[#This Row],[YearsAtCompany]]&lt;=10,"6-10 years",Table1[[#This Row],[YearsAtCompany]]&gt;10,"10+ years")</f>
        <v>6-10 years</v>
      </c>
      <c r="AI1218">
        <v>9</v>
      </c>
      <c r="AJ1218">
        <v>8</v>
      </c>
      <c r="AK1218">
        <v>8</v>
      </c>
      <c r="AL1218" t="str" cm="1">
        <f t="array" ref="AL1218">_xlfn.IFS(Table1[[#This Row],[JobSatisfaction]]=1,"Low",Table1[[#This Row],[JobSatisfaction]]=2,"Medium",Table1[[#This Row],[JobSatisfaction]]=3,"High",Table1[[#This Row],[JobSatisfaction]]=4,"Very High")</f>
        <v>Very High</v>
      </c>
      <c r="AM1218">
        <f>IF(Table1[[#This Row],[Attrition]]="Yes",1,0)</f>
        <v>0</v>
      </c>
    </row>
    <row r="1219" spans="1:39" ht="13.8" x14ac:dyDescent="0.25">
      <c r="A1219">
        <v>24</v>
      </c>
      <c r="B1219" t="str" cm="1">
        <f t="array" ref="B1219">_xlfn.IFS(Table1[[#This Row],[Age]]&lt;30,"Under 30",Table1[[#This Row],[Age]]&lt;=40,"30-40",Table1[[#This Row],[Age]]&lt;=50,"41-50",Table1[[#This Row],[Age]]&gt;50,"Over 50")</f>
        <v>Under 30</v>
      </c>
      <c r="C1219" t="s">
        <v>43</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t="str" cm="1">
        <f t="array" ref="AH1219">_xlfn.IFS(Table1[[#This Row],[YearsAtCompany]]&lt;=2,"0-2 years",Table1[[#This Row],[YearsAtCompany]]&lt;=5,"3-5 years",Table1[[#This Row],[YearsAtCompany]]&lt;=10,"6-10 years",Table1[[#This Row],[YearsAtCompany]]&gt;10,"10+ years")</f>
        <v>3-5 years</v>
      </c>
      <c r="AI1219">
        <v>3</v>
      </c>
      <c r="AJ1219">
        <v>0</v>
      </c>
      <c r="AK1219">
        <v>4</v>
      </c>
      <c r="AL1219" t="str" cm="1">
        <f t="array" ref="AL1219">_xlfn.IFS(Table1[[#This Row],[JobSatisfaction]]=1,"Low",Table1[[#This Row],[JobSatisfaction]]=2,"Medium",Table1[[#This Row],[JobSatisfaction]]=3,"High",Table1[[#This Row],[JobSatisfaction]]=4,"Very High")</f>
        <v>High</v>
      </c>
      <c r="AM1219">
        <f>IF(Table1[[#This Row],[Attrition]]="Yes",1,0)</f>
        <v>0</v>
      </c>
    </row>
    <row r="1220" spans="1:39" ht="13.8" x14ac:dyDescent="0.25">
      <c r="A1220">
        <v>41</v>
      </c>
      <c r="B1220" t="str" cm="1">
        <f t="array" ref="B1220">_xlfn.IFS(Table1[[#This Row],[Age]]&lt;30,"Under 30",Table1[[#This Row],[Age]]&lt;=40,"30-40",Table1[[#This Row],[Age]]&lt;=50,"41-50",Table1[[#This Row],[Age]]&gt;50,"Over 50")</f>
        <v>41-50</v>
      </c>
      <c r="C1220" t="s">
        <v>43</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t="str" cm="1">
        <f t="array" ref="AH1220">_xlfn.IFS(Table1[[#This Row],[YearsAtCompany]]&lt;=2,"0-2 years",Table1[[#This Row],[YearsAtCompany]]&lt;=5,"3-5 years",Table1[[#This Row],[YearsAtCompany]]&lt;=10,"6-10 years",Table1[[#This Row],[YearsAtCompany]]&gt;10,"10+ years")</f>
        <v>6-10 years</v>
      </c>
      <c r="AI1220">
        <v>8</v>
      </c>
      <c r="AJ1220">
        <v>8</v>
      </c>
      <c r="AK1220">
        <v>7</v>
      </c>
      <c r="AL1220" t="str" cm="1">
        <f t="array" ref="AL1220">_xlfn.IFS(Table1[[#This Row],[JobSatisfaction]]=1,"Low",Table1[[#This Row],[JobSatisfaction]]=2,"Medium",Table1[[#This Row],[JobSatisfaction]]=3,"High",Table1[[#This Row],[JobSatisfaction]]=4,"Very High")</f>
        <v>High</v>
      </c>
      <c r="AM1220">
        <f>IF(Table1[[#This Row],[Attrition]]="Yes",1,0)</f>
        <v>0</v>
      </c>
    </row>
    <row r="1221" spans="1:39" ht="13.8" x14ac:dyDescent="0.25">
      <c r="A1221">
        <v>29</v>
      </c>
      <c r="B1221" t="str" cm="1">
        <f t="array" ref="B1221">_xlfn.IFS(Table1[[#This Row],[Age]]&lt;30,"Under 30",Table1[[#This Row],[Age]]&lt;=40,"30-40",Table1[[#This Row],[Age]]&lt;=50,"41-50",Table1[[#This Row],[Age]]&gt;50,"Over 50")</f>
        <v>Under 30</v>
      </c>
      <c r="C1221" t="s">
        <v>43</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t="str" cm="1">
        <f t="array" ref="AH1221">_xlfn.IFS(Table1[[#This Row],[YearsAtCompany]]&lt;=2,"0-2 years",Table1[[#This Row],[YearsAtCompany]]&lt;=5,"3-5 years",Table1[[#This Row],[YearsAtCompany]]&lt;=10,"6-10 years",Table1[[#This Row],[YearsAtCompany]]&gt;10,"10+ years")</f>
        <v>3-5 years</v>
      </c>
      <c r="AI1221">
        <v>3</v>
      </c>
      <c r="AJ1221">
        <v>1</v>
      </c>
      <c r="AK1221">
        <v>2</v>
      </c>
      <c r="AL1221" t="str" cm="1">
        <f t="array" ref="AL1221">_xlfn.IFS(Table1[[#This Row],[JobSatisfaction]]=1,"Low",Table1[[#This Row],[JobSatisfaction]]=2,"Medium",Table1[[#This Row],[JobSatisfaction]]=3,"High",Table1[[#This Row],[JobSatisfaction]]=4,"Very High")</f>
        <v>High</v>
      </c>
      <c r="AM1221">
        <f>IF(Table1[[#This Row],[Attrition]]="Yes",1,0)</f>
        <v>0</v>
      </c>
    </row>
    <row r="1222" spans="1:39" ht="13.8" x14ac:dyDescent="0.25">
      <c r="A1222">
        <v>36</v>
      </c>
      <c r="B1222" t="str" cm="1">
        <f t="array" ref="B1222">_xlfn.IFS(Table1[[#This Row],[Age]]&lt;30,"Under 30",Table1[[#This Row],[Age]]&lt;=40,"30-40",Table1[[#This Row],[Age]]&lt;=50,"41-50",Table1[[#This Row],[Age]]&gt;50,"Over 50")</f>
        <v>30-40</v>
      </c>
      <c r="C1222" t="s">
        <v>43</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t="str" cm="1">
        <f t="array" ref="AH1222">_xlfn.IFS(Table1[[#This Row],[YearsAtCompany]]&lt;=2,"0-2 years",Table1[[#This Row],[YearsAtCompany]]&lt;=5,"3-5 years",Table1[[#This Row],[YearsAtCompany]]&lt;=10,"6-10 years",Table1[[#This Row],[YearsAtCompany]]&gt;10,"10+ years")</f>
        <v>10+ years</v>
      </c>
      <c r="AI1222">
        <v>7</v>
      </c>
      <c r="AJ1222">
        <v>6</v>
      </c>
      <c r="AK1222">
        <v>7</v>
      </c>
      <c r="AL1222" t="str" cm="1">
        <f t="array" ref="AL1222">_xlfn.IFS(Table1[[#This Row],[JobSatisfaction]]=1,"Low",Table1[[#This Row],[JobSatisfaction]]=2,"Medium",Table1[[#This Row],[JobSatisfaction]]=3,"High",Table1[[#This Row],[JobSatisfaction]]=4,"Very High")</f>
        <v>Very High</v>
      </c>
      <c r="AM1222">
        <f>IF(Table1[[#This Row],[Attrition]]="Yes",1,0)</f>
        <v>0</v>
      </c>
    </row>
    <row r="1223" spans="1:39" ht="13.8" x14ac:dyDescent="0.25">
      <c r="A1223">
        <v>45</v>
      </c>
      <c r="B1223" t="str" cm="1">
        <f t="array" ref="B1223">_xlfn.IFS(Table1[[#This Row],[Age]]&lt;30,"Under 30",Table1[[#This Row],[Age]]&lt;=40,"30-40",Table1[[#This Row],[Age]]&lt;=50,"41-50",Table1[[#This Row],[Age]]&gt;50,"Over 50")</f>
        <v>41-50</v>
      </c>
      <c r="C1223" t="s">
        <v>43</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t="str" cm="1">
        <f t="array" ref="AH1223">_xlfn.IFS(Table1[[#This Row],[YearsAtCompany]]&lt;=2,"0-2 years",Table1[[#This Row],[YearsAtCompany]]&lt;=5,"3-5 years",Table1[[#This Row],[YearsAtCompany]]&lt;=10,"6-10 years",Table1[[#This Row],[YearsAtCompany]]&gt;10,"10+ years")</f>
        <v>10+ years</v>
      </c>
      <c r="AI1223">
        <v>15</v>
      </c>
      <c r="AJ1223">
        <v>14</v>
      </c>
      <c r="AK1223">
        <v>4</v>
      </c>
      <c r="AL1223" t="str" cm="1">
        <f t="array" ref="AL1223">_xlfn.IFS(Table1[[#This Row],[JobSatisfaction]]=1,"Low",Table1[[#This Row],[JobSatisfaction]]=2,"Medium",Table1[[#This Row],[JobSatisfaction]]=3,"High",Table1[[#This Row],[JobSatisfaction]]=4,"Very High")</f>
        <v>High</v>
      </c>
      <c r="AM1223">
        <f>IF(Table1[[#This Row],[Attrition]]="Yes",1,0)</f>
        <v>0</v>
      </c>
    </row>
    <row r="1224" spans="1:39" ht="13.8" x14ac:dyDescent="0.25">
      <c r="A1224">
        <v>24</v>
      </c>
      <c r="B1224" t="str" cm="1">
        <f t="array" ref="B1224">_xlfn.IFS(Table1[[#This Row],[Age]]&lt;30,"Under 30",Table1[[#This Row],[Age]]&lt;=40,"30-40",Table1[[#This Row],[Age]]&lt;=50,"41-50",Table1[[#This Row],[Age]]&gt;50,"Over 50")</f>
        <v>Under 30</v>
      </c>
      <c r="C1224" t="s">
        <v>35</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t="str" cm="1">
        <f t="array" ref="AH1224">_xlfn.IFS(Table1[[#This Row],[YearsAtCompany]]&lt;=2,"0-2 years",Table1[[#This Row],[YearsAtCompany]]&lt;=5,"3-5 years",Table1[[#This Row],[YearsAtCompany]]&lt;=10,"6-10 years",Table1[[#This Row],[YearsAtCompany]]&gt;10,"10+ years")</f>
        <v>0-2 years</v>
      </c>
      <c r="AI1224">
        <v>0</v>
      </c>
      <c r="AJ1224">
        <v>0</v>
      </c>
      <c r="AK1224">
        <v>0</v>
      </c>
      <c r="AL1224" t="str" cm="1">
        <f t="array" ref="AL1224">_xlfn.IFS(Table1[[#This Row],[JobSatisfaction]]=1,"Low",Table1[[#This Row],[JobSatisfaction]]=2,"Medium",Table1[[#This Row],[JobSatisfaction]]=3,"High",Table1[[#This Row],[JobSatisfaction]]=4,"Very High")</f>
        <v>High</v>
      </c>
      <c r="AM1224">
        <f>IF(Table1[[#This Row],[Attrition]]="Yes",1,0)</f>
        <v>1</v>
      </c>
    </row>
    <row r="1225" spans="1:39" ht="13.8" x14ac:dyDescent="0.25">
      <c r="A1225">
        <v>47</v>
      </c>
      <c r="B1225" t="str" cm="1">
        <f t="array" ref="B1225">_xlfn.IFS(Table1[[#This Row],[Age]]&lt;30,"Under 30",Table1[[#This Row],[Age]]&lt;=40,"30-40",Table1[[#This Row],[Age]]&lt;=50,"41-50",Table1[[#This Row],[Age]]&gt;50,"Over 50")</f>
        <v>41-50</v>
      </c>
      <c r="C1225" t="s">
        <v>35</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t="str" cm="1">
        <f t="array" ref="AH1225">_xlfn.IFS(Table1[[#This Row],[YearsAtCompany]]&lt;=2,"0-2 years",Table1[[#This Row],[YearsAtCompany]]&lt;=5,"3-5 years",Table1[[#This Row],[YearsAtCompany]]&lt;=10,"6-10 years",Table1[[#This Row],[YearsAtCompany]]&gt;10,"10+ years")</f>
        <v>10+ years</v>
      </c>
      <c r="AI1225">
        <v>5</v>
      </c>
      <c r="AJ1225">
        <v>14</v>
      </c>
      <c r="AK1225">
        <v>10</v>
      </c>
      <c r="AL1225" t="str" cm="1">
        <f t="array" ref="AL1225">_xlfn.IFS(Table1[[#This Row],[JobSatisfaction]]=1,"Low",Table1[[#This Row],[JobSatisfaction]]=2,"Medium",Table1[[#This Row],[JobSatisfaction]]=3,"High",Table1[[#This Row],[JobSatisfaction]]=4,"Very High")</f>
        <v>High</v>
      </c>
      <c r="AM1225">
        <f>IF(Table1[[#This Row],[Attrition]]="Yes",1,0)</f>
        <v>1</v>
      </c>
    </row>
    <row r="1226" spans="1:39" ht="13.8" x14ac:dyDescent="0.25">
      <c r="A1226">
        <v>26</v>
      </c>
      <c r="B1226" t="str" cm="1">
        <f t="array" ref="B1226">_xlfn.IFS(Table1[[#This Row],[Age]]&lt;30,"Under 30",Table1[[#This Row],[Age]]&lt;=40,"30-40",Table1[[#This Row],[Age]]&lt;=50,"41-50",Table1[[#This Row],[Age]]&gt;50,"Over 50")</f>
        <v>Under 30</v>
      </c>
      <c r="C1226" t="s">
        <v>43</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t="str" cm="1">
        <f t="array" ref="AH1226">_xlfn.IFS(Table1[[#This Row],[YearsAtCompany]]&lt;=2,"0-2 years",Table1[[#This Row],[YearsAtCompany]]&lt;=5,"3-5 years",Table1[[#This Row],[YearsAtCompany]]&lt;=10,"6-10 years",Table1[[#This Row],[YearsAtCompany]]&gt;10,"10+ years")</f>
        <v>3-5 years</v>
      </c>
      <c r="AI1226">
        <v>2</v>
      </c>
      <c r="AJ1226">
        <v>0</v>
      </c>
      <c r="AK1226">
        <v>2</v>
      </c>
      <c r="AL1226" t="str" cm="1">
        <f t="array" ref="AL1226">_xlfn.IFS(Table1[[#This Row],[JobSatisfaction]]=1,"Low",Table1[[#This Row],[JobSatisfaction]]=2,"Medium",Table1[[#This Row],[JobSatisfaction]]=3,"High",Table1[[#This Row],[JobSatisfaction]]=4,"Very High")</f>
        <v>High</v>
      </c>
      <c r="AM1226">
        <f>IF(Table1[[#This Row],[Attrition]]="Yes",1,0)</f>
        <v>0</v>
      </c>
    </row>
    <row r="1227" spans="1:39" ht="13.8" x14ac:dyDescent="0.25">
      <c r="A1227">
        <v>45</v>
      </c>
      <c r="B1227" t="str" cm="1">
        <f t="array" ref="B1227">_xlfn.IFS(Table1[[#This Row],[Age]]&lt;30,"Under 30",Table1[[#This Row],[Age]]&lt;=40,"30-40",Table1[[#This Row],[Age]]&lt;=50,"41-50",Table1[[#This Row],[Age]]&gt;50,"Over 50")</f>
        <v>41-50</v>
      </c>
      <c r="C1227" t="s">
        <v>43</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t="str" cm="1">
        <f t="array" ref="AH1227">_xlfn.IFS(Table1[[#This Row],[YearsAtCompany]]&lt;=2,"0-2 years",Table1[[#This Row],[YearsAtCompany]]&lt;=5,"3-5 years",Table1[[#This Row],[YearsAtCompany]]&lt;=10,"6-10 years",Table1[[#This Row],[YearsAtCompany]]&gt;10,"10+ years")</f>
        <v>10+ years</v>
      </c>
      <c r="AI1227">
        <v>6</v>
      </c>
      <c r="AJ1227">
        <v>8</v>
      </c>
      <c r="AK1227">
        <v>6</v>
      </c>
      <c r="AL1227" t="str" cm="1">
        <f t="array" ref="AL1227">_xlfn.IFS(Table1[[#This Row],[JobSatisfaction]]=1,"Low",Table1[[#This Row],[JobSatisfaction]]=2,"Medium",Table1[[#This Row],[JobSatisfaction]]=3,"High",Table1[[#This Row],[JobSatisfaction]]=4,"Very High")</f>
        <v>Medium</v>
      </c>
      <c r="AM1227">
        <f>IF(Table1[[#This Row],[Attrition]]="Yes",1,0)</f>
        <v>0</v>
      </c>
    </row>
    <row r="1228" spans="1:39" ht="13.8" x14ac:dyDescent="0.25">
      <c r="A1228">
        <v>32</v>
      </c>
      <c r="B1228" t="str" cm="1">
        <f t="array" ref="B1228">_xlfn.IFS(Table1[[#This Row],[Age]]&lt;30,"Under 30",Table1[[#This Row],[Age]]&lt;=40,"30-40",Table1[[#This Row],[Age]]&lt;=50,"41-50",Table1[[#This Row],[Age]]&gt;50,"Over 50")</f>
        <v>30-40</v>
      </c>
      <c r="C1228" t="s">
        <v>43</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t="str" cm="1">
        <f t="array" ref="AH1228">_xlfn.IFS(Table1[[#This Row],[YearsAtCompany]]&lt;=2,"0-2 years",Table1[[#This Row],[YearsAtCompany]]&lt;=5,"3-5 years",Table1[[#This Row],[YearsAtCompany]]&lt;=10,"6-10 years",Table1[[#This Row],[YearsAtCompany]]&gt;10,"10+ years")</f>
        <v>3-5 years</v>
      </c>
      <c r="AI1228">
        <v>2</v>
      </c>
      <c r="AJ1228">
        <v>1</v>
      </c>
      <c r="AK1228">
        <v>3</v>
      </c>
      <c r="AL1228" t="str" cm="1">
        <f t="array" ref="AL1228">_xlfn.IFS(Table1[[#This Row],[JobSatisfaction]]=1,"Low",Table1[[#This Row],[JobSatisfaction]]=2,"Medium",Table1[[#This Row],[JobSatisfaction]]=3,"High",Table1[[#This Row],[JobSatisfaction]]=4,"Very High")</f>
        <v>High</v>
      </c>
      <c r="AM1228">
        <f>IF(Table1[[#This Row],[Attrition]]="Yes",1,0)</f>
        <v>0</v>
      </c>
    </row>
    <row r="1229" spans="1:39" ht="13.8" x14ac:dyDescent="0.25">
      <c r="A1229">
        <v>31</v>
      </c>
      <c r="B1229" t="str" cm="1">
        <f t="array" ref="B1229">_xlfn.IFS(Table1[[#This Row],[Age]]&lt;30,"Under 30",Table1[[#This Row],[Age]]&lt;=40,"30-40",Table1[[#This Row],[Age]]&lt;=50,"41-50",Table1[[#This Row],[Age]]&gt;50,"Over 50")</f>
        <v>30-40</v>
      </c>
      <c r="C1229" t="s">
        <v>43</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t="str" cm="1">
        <f t="array" ref="AH1229">_xlfn.IFS(Table1[[#This Row],[YearsAtCompany]]&lt;=2,"0-2 years",Table1[[#This Row],[YearsAtCompany]]&lt;=5,"3-5 years",Table1[[#This Row],[YearsAtCompany]]&lt;=10,"6-10 years",Table1[[#This Row],[YearsAtCompany]]&gt;10,"10+ years")</f>
        <v>3-5 years</v>
      </c>
      <c r="AI1229">
        <v>2</v>
      </c>
      <c r="AJ1229">
        <v>0</v>
      </c>
      <c r="AK1229">
        <v>3</v>
      </c>
      <c r="AL1229" t="str" cm="1">
        <f t="array" ref="AL1229">_xlfn.IFS(Table1[[#This Row],[JobSatisfaction]]=1,"Low",Table1[[#This Row],[JobSatisfaction]]=2,"Medium",Table1[[#This Row],[JobSatisfaction]]=3,"High",Table1[[#This Row],[JobSatisfaction]]=4,"Very High")</f>
        <v>High</v>
      </c>
      <c r="AM1229">
        <f>IF(Table1[[#This Row],[Attrition]]="Yes",1,0)</f>
        <v>0</v>
      </c>
    </row>
    <row r="1230" spans="1:39" ht="13.8" x14ac:dyDescent="0.25">
      <c r="A1230">
        <v>41</v>
      </c>
      <c r="B1230" t="str" cm="1">
        <f t="array" ref="B1230">_xlfn.IFS(Table1[[#This Row],[Age]]&lt;30,"Under 30",Table1[[#This Row],[Age]]&lt;=40,"30-40",Table1[[#This Row],[Age]]&lt;=50,"41-50",Table1[[#This Row],[Age]]&gt;50,"Over 50")</f>
        <v>41-50</v>
      </c>
      <c r="C1230" t="s">
        <v>43</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t="str" cm="1">
        <f t="array" ref="AH1230">_xlfn.IFS(Table1[[#This Row],[YearsAtCompany]]&lt;=2,"0-2 years",Table1[[#This Row],[YearsAtCompany]]&lt;=5,"3-5 years",Table1[[#This Row],[YearsAtCompany]]&lt;=10,"6-10 years",Table1[[#This Row],[YearsAtCompany]]&gt;10,"10+ years")</f>
        <v>3-5 years</v>
      </c>
      <c r="AI1230">
        <v>2</v>
      </c>
      <c r="AJ1230">
        <v>1</v>
      </c>
      <c r="AK1230">
        <v>2</v>
      </c>
      <c r="AL1230" t="str" cm="1">
        <f t="array" ref="AL1230">_xlfn.IFS(Table1[[#This Row],[JobSatisfaction]]=1,"Low",Table1[[#This Row],[JobSatisfaction]]=2,"Medium",Table1[[#This Row],[JobSatisfaction]]=3,"High",Table1[[#This Row],[JobSatisfaction]]=4,"Very High")</f>
        <v>Medium</v>
      </c>
      <c r="AM1230">
        <f>IF(Table1[[#This Row],[Attrition]]="Yes",1,0)</f>
        <v>0</v>
      </c>
    </row>
    <row r="1231" spans="1:39" ht="13.8" x14ac:dyDescent="0.25">
      <c r="A1231">
        <v>40</v>
      </c>
      <c r="B1231" t="str" cm="1">
        <f t="array" ref="B1231">_xlfn.IFS(Table1[[#This Row],[Age]]&lt;30,"Under 30",Table1[[#This Row],[Age]]&lt;=40,"30-40",Table1[[#This Row],[Age]]&lt;=50,"41-50",Table1[[#This Row],[Age]]&gt;50,"Over 50")</f>
        <v>30-40</v>
      </c>
      <c r="C1231" t="s">
        <v>43</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t="str" cm="1">
        <f t="array" ref="AH1231">_xlfn.IFS(Table1[[#This Row],[YearsAtCompany]]&lt;=2,"0-2 years",Table1[[#This Row],[YearsAtCompany]]&lt;=5,"3-5 years",Table1[[#This Row],[YearsAtCompany]]&lt;=10,"6-10 years",Table1[[#This Row],[YearsAtCompany]]&gt;10,"10+ years")</f>
        <v>0-2 years</v>
      </c>
      <c r="AI1231">
        <v>0</v>
      </c>
      <c r="AJ1231">
        <v>0</v>
      </c>
      <c r="AK1231">
        <v>0</v>
      </c>
      <c r="AL1231" t="str" cm="1">
        <f t="array" ref="AL1231">_xlfn.IFS(Table1[[#This Row],[JobSatisfaction]]=1,"Low",Table1[[#This Row],[JobSatisfaction]]=2,"Medium",Table1[[#This Row],[JobSatisfaction]]=3,"High",Table1[[#This Row],[JobSatisfaction]]=4,"Very High")</f>
        <v>Low</v>
      </c>
      <c r="AM1231">
        <f>IF(Table1[[#This Row],[Attrition]]="Yes",1,0)</f>
        <v>0</v>
      </c>
    </row>
    <row r="1232" spans="1:39" ht="13.8" x14ac:dyDescent="0.25">
      <c r="A1232">
        <v>24</v>
      </c>
      <c r="B1232" t="str" cm="1">
        <f t="array" ref="B1232">_xlfn.IFS(Table1[[#This Row],[Age]]&lt;30,"Under 30",Table1[[#This Row],[Age]]&lt;=40,"30-40",Table1[[#This Row],[Age]]&lt;=50,"41-50",Table1[[#This Row],[Age]]&gt;50,"Over 50")</f>
        <v>Under 30</v>
      </c>
      <c r="C1232" t="s">
        <v>43</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t="str" cm="1">
        <f t="array" ref="AH1232">_xlfn.IFS(Table1[[#This Row],[YearsAtCompany]]&lt;=2,"0-2 years",Table1[[#This Row],[YearsAtCompany]]&lt;=5,"3-5 years",Table1[[#This Row],[YearsAtCompany]]&lt;=10,"6-10 years",Table1[[#This Row],[YearsAtCompany]]&gt;10,"10+ years")</f>
        <v>6-10 years</v>
      </c>
      <c r="AI1232">
        <v>2</v>
      </c>
      <c r="AJ1232">
        <v>1</v>
      </c>
      <c r="AK1232">
        <v>2</v>
      </c>
      <c r="AL1232" t="str" cm="1">
        <f t="array" ref="AL1232">_xlfn.IFS(Table1[[#This Row],[JobSatisfaction]]=1,"Low",Table1[[#This Row],[JobSatisfaction]]=2,"Medium",Table1[[#This Row],[JobSatisfaction]]=3,"High",Table1[[#This Row],[JobSatisfaction]]=4,"Very High")</f>
        <v>Low</v>
      </c>
      <c r="AM1232">
        <f>IF(Table1[[#This Row],[Attrition]]="Yes",1,0)</f>
        <v>0</v>
      </c>
    </row>
    <row r="1233" spans="1:39" ht="13.8" x14ac:dyDescent="0.25">
      <c r="A1233">
        <v>46</v>
      </c>
      <c r="B1233" t="str" cm="1">
        <f t="array" ref="B1233">_xlfn.IFS(Table1[[#This Row],[Age]]&lt;30,"Under 30",Table1[[#This Row],[Age]]&lt;=40,"30-40",Table1[[#This Row],[Age]]&lt;=50,"41-50",Table1[[#This Row],[Age]]&gt;50,"Over 50")</f>
        <v>41-50</v>
      </c>
      <c r="C1233" t="s">
        <v>43</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t="str" cm="1">
        <f t="array" ref="AH1233">_xlfn.IFS(Table1[[#This Row],[YearsAtCompany]]&lt;=2,"0-2 years",Table1[[#This Row],[YearsAtCompany]]&lt;=5,"3-5 years",Table1[[#This Row],[YearsAtCompany]]&lt;=10,"6-10 years",Table1[[#This Row],[YearsAtCompany]]&gt;10,"10+ years")</f>
        <v>6-10 years</v>
      </c>
      <c r="AI1233">
        <v>7</v>
      </c>
      <c r="AJ1233">
        <v>0</v>
      </c>
      <c r="AK1233">
        <v>9</v>
      </c>
      <c r="AL1233" t="str" cm="1">
        <f t="array" ref="AL1233">_xlfn.IFS(Table1[[#This Row],[JobSatisfaction]]=1,"Low",Table1[[#This Row],[JobSatisfaction]]=2,"Medium",Table1[[#This Row],[JobSatisfaction]]=3,"High",Table1[[#This Row],[JobSatisfaction]]=4,"Very High")</f>
        <v>Medium</v>
      </c>
      <c r="AM1233">
        <f>IF(Table1[[#This Row],[Attrition]]="Yes",1,0)</f>
        <v>0</v>
      </c>
    </row>
    <row r="1234" spans="1:39" ht="13.8" x14ac:dyDescent="0.25">
      <c r="A1234">
        <v>35</v>
      </c>
      <c r="B1234" t="str" cm="1">
        <f t="array" ref="B1234">_xlfn.IFS(Table1[[#This Row],[Age]]&lt;30,"Under 30",Table1[[#This Row],[Age]]&lt;=40,"30-40",Table1[[#This Row],[Age]]&lt;=50,"41-50",Table1[[#This Row],[Age]]&gt;50,"Over 50")</f>
        <v>30-40</v>
      </c>
      <c r="C1234" t="s">
        <v>43</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t="str" cm="1">
        <f t="array" ref="AH1234">_xlfn.IFS(Table1[[#This Row],[YearsAtCompany]]&lt;=2,"0-2 years",Table1[[#This Row],[YearsAtCompany]]&lt;=5,"3-5 years",Table1[[#This Row],[YearsAtCompany]]&lt;=10,"6-10 years",Table1[[#This Row],[YearsAtCompany]]&gt;10,"10+ years")</f>
        <v>6-10 years</v>
      </c>
      <c r="AI1234">
        <v>7</v>
      </c>
      <c r="AJ1234">
        <v>0</v>
      </c>
      <c r="AK1234">
        <v>7</v>
      </c>
      <c r="AL1234" t="str" cm="1">
        <f t="array" ref="AL1234">_xlfn.IFS(Table1[[#This Row],[JobSatisfaction]]=1,"Low",Table1[[#This Row],[JobSatisfaction]]=2,"Medium",Table1[[#This Row],[JobSatisfaction]]=3,"High",Table1[[#This Row],[JobSatisfaction]]=4,"Very High")</f>
        <v>High</v>
      </c>
      <c r="AM1234">
        <f>IF(Table1[[#This Row],[Attrition]]="Yes",1,0)</f>
        <v>0</v>
      </c>
    </row>
    <row r="1235" spans="1:39" ht="13.8" x14ac:dyDescent="0.25">
      <c r="A1235">
        <v>30</v>
      </c>
      <c r="B1235" t="str" cm="1">
        <f t="array" ref="B1235">_xlfn.IFS(Table1[[#This Row],[Age]]&lt;30,"Under 30",Table1[[#This Row],[Age]]&lt;=40,"30-40",Table1[[#This Row],[Age]]&lt;=50,"41-50",Table1[[#This Row],[Age]]&gt;50,"Over 50")</f>
        <v>30-40</v>
      </c>
      <c r="C1235" t="s">
        <v>43</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t="str" cm="1">
        <f t="array" ref="AH1235">_xlfn.IFS(Table1[[#This Row],[YearsAtCompany]]&lt;=2,"0-2 years",Table1[[#This Row],[YearsAtCompany]]&lt;=5,"3-5 years",Table1[[#This Row],[YearsAtCompany]]&lt;=10,"6-10 years",Table1[[#This Row],[YearsAtCompany]]&gt;10,"10+ years")</f>
        <v>6-10 years</v>
      </c>
      <c r="AI1235">
        <v>0</v>
      </c>
      <c r="AJ1235">
        <v>0</v>
      </c>
      <c r="AK1235">
        <v>8</v>
      </c>
      <c r="AL1235" t="str" cm="1">
        <f t="array" ref="AL1235">_xlfn.IFS(Table1[[#This Row],[JobSatisfaction]]=1,"Low",Table1[[#This Row],[JobSatisfaction]]=2,"Medium",Table1[[#This Row],[JobSatisfaction]]=3,"High",Table1[[#This Row],[JobSatisfaction]]=4,"Very High")</f>
        <v>Very High</v>
      </c>
      <c r="AM1235">
        <f>IF(Table1[[#This Row],[Attrition]]="Yes",1,0)</f>
        <v>0</v>
      </c>
    </row>
    <row r="1236" spans="1:39" ht="13.8" x14ac:dyDescent="0.25">
      <c r="A1236">
        <v>47</v>
      </c>
      <c r="B1236" t="str" cm="1">
        <f t="array" ref="B1236">_xlfn.IFS(Table1[[#This Row],[Age]]&lt;30,"Under 30",Table1[[#This Row],[Age]]&lt;=40,"30-40",Table1[[#This Row],[Age]]&lt;=50,"41-50",Table1[[#This Row],[Age]]&gt;50,"Over 50")</f>
        <v>41-50</v>
      </c>
      <c r="C1236" t="s">
        <v>43</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t="str" cm="1">
        <f t="array" ref="AH1236">_xlfn.IFS(Table1[[#This Row],[YearsAtCompany]]&lt;=2,"0-2 years",Table1[[#This Row],[YearsAtCompany]]&lt;=5,"3-5 years",Table1[[#This Row],[YearsAtCompany]]&lt;=10,"6-10 years",Table1[[#This Row],[YearsAtCompany]]&gt;10,"10+ years")</f>
        <v>0-2 years</v>
      </c>
      <c r="AI1236">
        <v>0</v>
      </c>
      <c r="AJ1236">
        <v>0</v>
      </c>
      <c r="AK1236">
        <v>0</v>
      </c>
      <c r="AL1236" t="str" cm="1">
        <f t="array" ref="AL1236">_xlfn.IFS(Table1[[#This Row],[JobSatisfaction]]=1,"Low",Table1[[#This Row],[JobSatisfaction]]=2,"Medium",Table1[[#This Row],[JobSatisfaction]]=3,"High",Table1[[#This Row],[JobSatisfaction]]=4,"Very High")</f>
        <v>Medium</v>
      </c>
      <c r="AM1236">
        <f>IF(Table1[[#This Row],[Attrition]]="Yes",1,0)</f>
        <v>0</v>
      </c>
    </row>
    <row r="1237" spans="1:39" ht="13.8" x14ac:dyDescent="0.25">
      <c r="A1237">
        <v>46</v>
      </c>
      <c r="B1237" t="str" cm="1">
        <f t="array" ref="B1237">_xlfn.IFS(Table1[[#This Row],[Age]]&lt;30,"Under 30",Table1[[#This Row],[Age]]&lt;=40,"30-40",Table1[[#This Row],[Age]]&lt;=50,"41-50",Table1[[#This Row],[Age]]&gt;50,"Over 50")</f>
        <v>41-50</v>
      </c>
      <c r="C1237" t="s">
        <v>43</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t="str" cm="1">
        <f t="array" ref="AH1237">_xlfn.IFS(Table1[[#This Row],[YearsAtCompany]]&lt;=2,"0-2 years",Table1[[#This Row],[YearsAtCompany]]&lt;=5,"3-5 years",Table1[[#This Row],[YearsAtCompany]]&lt;=10,"6-10 years",Table1[[#This Row],[YearsAtCompany]]&gt;10,"10+ years")</f>
        <v>6-10 years</v>
      </c>
      <c r="AI1237">
        <v>6</v>
      </c>
      <c r="AJ1237">
        <v>0</v>
      </c>
      <c r="AK1237">
        <v>3</v>
      </c>
      <c r="AL1237" t="str" cm="1">
        <f t="array" ref="AL1237">_xlfn.IFS(Table1[[#This Row],[JobSatisfaction]]=1,"Low",Table1[[#This Row],[JobSatisfaction]]=2,"Medium",Table1[[#This Row],[JobSatisfaction]]=3,"High",Table1[[#This Row],[JobSatisfaction]]=4,"Very High")</f>
        <v>Very High</v>
      </c>
      <c r="AM1237">
        <f>IF(Table1[[#This Row],[Attrition]]="Yes",1,0)</f>
        <v>0</v>
      </c>
    </row>
    <row r="1238" spans="1:39" ht="13.8" x14ac:dyDescent="0.25">
      <c r="A1238">
        <v>36</v>
      </c>
      <c r="B1238" t="str" cm="1">
        <f t="array" ref="B1238">_xlfn.IFS(Table1[[#This Row],[Age]]&lt;30,"Under 30",Table1[[#This Row],[Age]]&lt;=40,"30-40",Table1[[#This Row],[Age]]&lt;=50,"41-50",Table1[[#This Row],[Age]]&gt;50,"Over 50")</f>
        <v>30-40</v>
      </c>
      <c r="C1238" t="s">
        <v>35</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t="str" cm="1">
        <f t="array" ref="AH1238">_xlfn.IFS(Table1[[#This Row],[YearsAtCompany]]&lt;=2,"0-2 years",Table1[[#This Row],[YearsAtCompany]]&lt;=5,"3-5 years",Table1[[#This Row],[YearsAtCompany]]&lt;=10,"6-10 years",Table1[[#This Row],[YearsAtCompany]]&gt;10,"10+ years")</f>
        <v>0-2 years</v>
      </c>
      <c r="AI1238">
        <v>2</v>
      </c>
      <c r="AJ1238">
        <v>2</v>
      </c>
      <c r="AK1238">
        <v>2</v>
      </c>
      <c r="AL1238" t="str" cm="1">
        <f t="array" ref="AL1238">_xlfn.IFS(Table1[[#This Row],[JobSatisfaction]]=1,"Low",Table1[[#This Row],[JobSatisfaction]]=2,"Medium",Table1[[#This Row],[JobSatisfaction]]=3,"High",Table1[[#This Row],[JobSatisfaction]]=4,"Very High")</f>
        <v>Low</v>
      </c>
      <c r="AM1238">
        <f>IF(Table1[[#This Row],[Attrition]]="Yes",1,0)</f>
        <v>1</v>
      </c>
    </row>
    <row r="1239" spans="1:39" ht="13.8" x14ac:dyDescent="0.25">
      <c r="A1239">
        <v>32</v>
      </c>
      <c r="B1239" t="str" cm="1">
        <f t="array" ref="B1239">_xlfn.IFS(Table1[[#This Row],[Age]]&lt;30,"Under 30",Table1[[#This Row],[Age]]&lt;=40,"30-40",Table1[[#This Row],[Age]]&lt;=50,"41-50",Table1[[#This Row],[Age]]&gt;50,"Over 50")</f>
        <v>30-40</v>
      </c>
      <c r="C1239" t="s">
        <v>35</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t="str" cm="1">
        <f t="array" ref="AH1239">_xlfn.IFS(Table1[[#This Row],[YearsAtCompany]]&lt;=2,"0-2 years",Table1[[#This Row],[YearsAtCompany]]&lt;=5,"3-5 years",Table1[[#This Row],[YearsAtCompany]]&lt;=10,"6-10 years",Table1[[#This Row],[YearsAtCompany]]&gt;10,"10+ years")</f>
        <v>0-2 years</v>
      </c>
      <c r="AI1239">
        <v>0</v>
      </c>
      <c r="AJ1239">
        <v>0</v>
      </c>
      <c r="AK1239">
        <v>0</v>
      </c>
      <c r="AL1239" t="str" cm="1">
        <f t="array" ref="AL1239">_xlfn.IFS(Table1[[#This Row],[JobSatisfaction]]=1,"Low",Table1[[#This Row],[JobSatisfaction]]=2,"Medium",Table1[[#This Row],[JobSatisfaction]]=3,"High",Table1[[#This Row],[JobSatisfaction]]=4,"Very High")</f>
        <v>Medium</v>
      </c>
      <c r="AM1239">
        <f>IF(Table1[[#This Row],[Attrition]]="Yes",1,0)</f>
        <v>1</v>
      </c>
    </row>
    <row r="1240" spans="1:39" ht="13.8" x14ac:dyDescent="0.25">
      <c r="A1240">
        <v>23</v>
      </c>
      <c r="B1240" t="str" cm="1">
        <f t="array" ref="B1240">_xlfn.IFS(Table1[[#This Row],[Age]]&lt;30,"Under 30",Table1[[#This Row],[Age]]&lt;=40,"30-40",Table1[[#This Row],[Age]]&lt;=50,"41-50",Table1[[#This Row],[Age]]&gt;50,"Over 50")</f>
        <v>Under 30</v>
      </c>
      <c r="C1240" t="s">
        <v>43</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t="str" cm="1">
        <f t="array" ref="AH1240">_xlfn.IFS(Table1[[#This Row],[YearsAtCompany]]&lt;=2,"0-2 years",Table1[[#This Row],[YearsAtCompany]]&lt;=5,"3-5 years",Table1[[#This Row],[YearsAtCompany]]&lt;=10,"6-10 years",Table1[[#This Row],[YearsAtCompany]]&gt;10,"10+ years")</f>
        <v>3-5 years</v>
      </c>
      <c r="AI1240">
        <v>2</v>
      </c>
      <c r="AJ1240">
        <v>1</v>
      </c>
      <c r="AK1240">
        <v>2</v>
      </c>
      <c r="AL1240" t="str" cm="1">
        <f t="array" ref="AL1240">_xlfn.IFS(Table1[[#This Row],[JobSatisfaction]]=1,"Low",Table1[[#This Row],[JobSatisfaction]]=2,"Medium",Table1[[#This Row],[JobSatisfaction]]=3,"High",Table1[[#This Row],[JobSatisfaction]]=4,"Very High")</f>
        <v>Medium</v>
      </c>
      <c r="AM1240">
        <f>IF(Table1[[#This Row],[Attrition]]="Yes",1,0)</f>
        <v>0</v>
      </c>
    </row>
    <row r="1241" spans="1:39" ht="13.8" x14ac:dyDescent="0.25">
      <c r="A1241">
        <v>31</v>
      </c>
      <c r="B1241" t="str" cm="1">
        <f t="array" ref="B1241">_xlfn.IFS(Table1[[#This Row],[Age]]&lt;30,"Under 30",Table1[[#This Row],[Age]]&lt;=40,"30-40",Table1[[#This Row],[Age]]&lt;=50,"41-50",Table1[[#This Row],[Age]]&gt;50,"Over 50")</f>
        <v>30-40</v>
      </c>
      <c r="C1241" t="s">
        <v>43</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t="str" cm="1">
        <f t="array" ref="AH1241">_xlfn.IFS(Table1[[#This Row],[YearsAtCompany]]&lt;=2,"0-2 years",Table1[[#This Row],[YearsAtCompany]]&lt;=5,"3-5 years",Table1[[#This Row],[YearsAtCompany]]&lt;=10,"6-10 years",Table1[[#This Row],[YearsAtCompany]]&gt;10,"10+ years")</f>
        <v>3-5 years</v>
      </c>
      <c r="AI1241">
        <v>4</v>
      </c>
      <c r="AJ1241">
        <v>1</v>
      </c>
      <c r="AK1241">
        <v>4</v>
      </c>
      <c r="AL1241" t="str" cm="1">
        <f t="array" ref="AL1241">_xlfn.IFS(Table1[[#This Row],[JobSatisfaction]]=1,"Low",Table1[[#This Row],[JobSatisfaction]]=2,"Medium",Table1[[#This Row],[JobSatisfaction]]=3,"High",Table1[[#This Row],[JobSatisfaction]]=4,"Very High")</f>
        <v>Very High</v>
      </c>
      <c r="AM1241">
        <f>IF(Table1[[#This Row],[Attrition]]="Yes",1,0)</f>
        <v>0</v>
      </c>
    </row>
    <row r="1242" spans="1:39" ht="13.8" x14ac:dyDescent="0.25">
      <c r="A1242">
        <v>39</v>
      </c>
      <c r="B1242" t="str" cm="1">
        <f t="array" ref="B1242">_xlfn.IFS(Table1[[#This Row],[Age]]&lt;30,"Under 30",Table1[[#This Row],[Age]]&lt;=40,"30-40",Table1[[#This Row],[Age]]&lt;=50,"41-50",Table1[[#This Row],[Age]]&gt;50,"Over 50")</f>
        <v>30-40</v>
      </c>
      <c r="C1242" t="s">
        <v>43</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t="str" cm="1">
        <f t="array" ref="AH1242">_xlfn.IFS(Table1[[#This Row],[YearsAtCompany]]&lt;=2,"0-2 years",Table1[[#This Row],[YearsAtCompany]]&lt;=5,"3-5 years",Table1[[#This Row],[YearsAtCompany]]&lt;=10,"6-10 years",Table1[[#This Row],[YearsAtCompany]]&gt;10,"10+ years")</f>
        <v>6-10 years</v>
      </c>
      <c r="AI1242">
        <v>8</v>
      </c>
      <c r="AJ1242">
        <v>5</v>
      </c>
      <c r="AK1242">
        <v>8</v>
      </c>
      <c r="AL1242" t="str" cm="1">
        <f t="array" ref="AL1242">_xlfn.IFS(Table1[[#This Row],[JobSatisfaction]]=1,"Low",Table1[[#This Row],[JobSatisfaction]]=2,"Medium",Table1[[#This Row],[JobSatisfaction]]=3,"High",Table1[[#This Row],[JobSatisfaction]]=4,"Very High")</f>
        <v>Very High</v>
      </c>
      <c r="AM1242">
        <f>IF(Table1[[#This Row],[Attrition]]="Yes",1,0)</f>
        <v>0</v>
      </c>
    </row>
    <row r="1243" spans="1:39" ht="13.8" x14ac:dyDescent="0.25">
      <c r="A1243">
        <v>32</v>
      </c>
      <c r="B1243" t="str" cm="1">
        <f t="array" ref="B1243">_xlfn.IFS(Table1[[#This Row],[Age]]&lt;30,"Under 30",Table1[[#This Row],[Age]]&lt;=40,"30-40",Table1[[#This Row],[Age]]&lt;=50,"41-50",Table1[[#This Row],[Age]]&gt;50,"Over 50")</f>
        <v>30-40</v>
      </c>
      <c r="C1243" t="s">
        <v>43</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t="str" cm="1">
        <f t="array" ref="AH1243">_xlfn.IFS(Table1[[#This Row],[YearsAtCompany]]&lt;=2,"0-2 years",Table1[[#This Row],[YearsAtCompany]]&lt;=5,"3-5 years",Table1[[#This Row],[YearsAtCompany]]&lt;=10,"6-10 years",Table1[[#This Row],[YearsAtCompany]]&gt;10,"10+ years")</f>
        <v>3-5 years</v>
      </c>
      <c r="AI1243">
        <v>3</v>
      </c>
      <c r="AJ1243">
        <v>0</v>
      </c>
      <c r="AK1243">
        <v>2</v>
      </c>
      <c r="AL1243" t="str" cm="1">
        <f t="array" ref="AL1243">_xlfn.IFS(Table1[[#This Row],[JobSatisfaction]]=1,"Low",Table1[[#This Row],[JobSatisfaction]]=2,"Medium",Table1[[#This Row],[JobSatisfaction]]=3,"High",Table1[[#This Row],[JobSatisfaction]]=4,"Very High")</f>
        <v>High</v>
      </c>
      <c r="AM1243">
        <f>IF(Table1[[#This Row],[Attrition]]="Yes",1,0)</f>
        <v>0</v>
      </c>
    </row>
    <row r="1244" spans="1:39" ht="13.8" x14ac:dyDescent="0.25">
      <c r="A1244">
        <v>40</v>
      </c>
      <c r="B1244" t="str" cm="1">
        <f t="array" ref="B1244">_xlfn.IFS(Table1[[#This Row],[Age]]&lt;30,"Under 30",Table1[[#This Row],[Age]]&lt;=40,"30-40",Table1[[#This Row],[Age]]&lt;=50,"41-50",Table1[[#This Row],[Age]]&gt;50,"Over 50")</f>
        <v>30-40</v>
      </c>
      <c r="C1244" t="s">
        <v>43</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t="str" cm="1">
        <f t="array" ref="AH1244">_xlfn.IFS(Table1[[#This Row],[YearsAtCompany]]&lt;=2,"0-2 years",Table1[[#This Row],[YearsAtCompany]]&lt;=5,"3-5 years",Table1[[#This Row],[YearsAtCompany]]&lt;=10,"6-10 years",Table1[[#This Row],[YearsAtCompany]]&gt;10,"10+ years")</f>
        <v>10+ years</v>
      </c>
      <c r="AI1244">
        <v>8</v>
      </c>
      <c r="AJ1244">
        <v>12</v>
      </c>
      <c r="AK1244">
        <v>8</v>
      </c>
      <c r="AL1244" t="str" cm="1">
        <f t="array" ref="AL1244">_xlfn.IFS(Table1[[#This Row],[JobSatisfaction]]=1,"Low",Table1[[#This Row],[JobSatisfaction]]=2,"Medium",Table1[[#This Row],[JobSatisfaction]]=3,"High",Table1[[#This Row],[JobSatisfaction]]=4,"Very High")</f>
        <v>Medium</v>
      </c>
      <c r="AM1244">
        <f>IF(Table1[[#This Row],[Attrition]]="Yes",1,0)</f>
        <v>0</v>
      </c>
    </row>
    <row r="1245" spans="1:39" ht="13.8" x14ac:dyDescent="0.25">
      <c r="A1245">
        <v>45</v>
      </c>
      <c r="B1245" t="str" cm="1">
        <f t="array" ref="B1245">_xlfn.IFS(Table1[[#This Row],[Age]]&lt;30,"Under 30",Table1[[#This Row],[Age]]&lt;=40,"30-40",Table1[[#This Row],[Age]]&lt;=50,"41-50",Table1[[#This Row],[Age]]&gt;50,"Over 50")</f>
        <v>41-50</v>
      </c>
      <c r="C1245" t="s">
        <v>43</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t="str" cm="1">
        <f t="array" ref="AH1245">_xlfn.IFS(Table1[[#This Row],[YearsAtCompany]]&lt;=2,"0-2 years",Table1[[#This Row],[YearsAtCompany]]&lt;=5,"3-5 years",Table1[[#This Row],[YearsAtCompany]]&lt;=10,"6-10 years",Table1[[#This Row],[YearsAtCompany]]&gt;10,"10+ years")</f>
        <v>3-5 years</v>
      </c>
      <c r="AI1245">
        <v>0</v>
      </c>
      <c r="AJ1245">
        <v>0</v>
      </c>
      <c r="AK1245">
        <v>3</v>
      </c>
      <c r="AL1245" t="str" cm="1">
        <f t="array" ref="AL1245">_xlfn.IFS(Table1[[#This Row],[JobSatisfaction]]=1,"Low",Table1[[#This Row],[JobSatisfaction]]=2,"Medium",Table1[[#This Row],[JobSatisfaction]]=3,"High",Table1[[#This Row],[JobSatisfaction]]=4,"Very High")</f>
        <v>High</v>
      </c>
      <c r="AM1245">
        <f>IF(Table1[[#This Row],[Attrition]]="Yes",1,0)</f>
        <v>0</v>
      </c>
    </row>
    <row r="1246" spans="1:39" ht="13.8" x14ac:dyDescent="0.25">
      <c r="A1246">
        <v>30</v>
      </c>
      <c r="B1246" t="str" cm="1">
        <f t="array" ref="B1246">_xlfn.IFS(Table1[[#This Row],[Age]]&lt;30,"Under 30",Table1[[#This Row],[Age]]&lt;=40,"30-40",Table1[[#This Row],[Age]]&lt;=50,"41-50",Table1[[#This Row],[Age]]&gt;50,"Over 50")</f>
        <v>30-40</v>
      </c>
      <c r="C1246" t="s">
        <v>43</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t="str" cm="1">
        <f t="array" ref="AH1246">_xlfn.IFS(Table1[[#This Row],[YearsAtCompany]]&lt;=2,"0-2 years",Table1[[#This Row],[YearsAtCompany]]&lt;=5,"3-5 years",Table1[[#This Row],[YearsAtCompany]]&lt;=10,"6-10 years",Table1[[#This Row],[YearsAtCompany]]&gt;10,"10+ years")</f>
        <v>6-10 years</v>
      </c>
      <c r="AI1246">
        <v>7</v>
      </c>
      <c r="AJ1246">
        <v>0</v>
      </c>
      <c r="AK1246">
        <v>7</v>
      </c>
      <c r="AL1246" t="str" cm="1">
        <f t="array" ref="AL1246">_xlfn.IFS(Table1[[#This Row],[JobSatisfaction]]=1,"Low",Table1[[#This Row],[JobSatisfaction]]=2,"Medium",Table1[[#This Row],[JobSatisfaction]]=3,"High",Table1[[#This Row],[JobSatisfaction]]=4,"Very High")</f>
        <v>Low</v>
      </c>
      <c r="AM1246">
        <f>IF(Table1[[#This Row],[Attrition]]="Yes",1,0)</f>
        <v>0</v>
      </c>
    </row>
    <row r="1247" spans="1:39" ht="13.8" x14ac:dyDescent="0.25">
      <c r="A1247">
        <v>24</v>
      </c>
      <c r="B1247" t="str" cm="1">
        <f t="array" ref="B1247">_xlfn.IFS(Table1[[#This Row],[Age]]&lt;30,"Under 30",Table1[[#This Row],[Age]]&lt;=40,"30-40",Table1[[#This Row],[Age]]&lt;=50,"41-50",Table1[[#This Row],[Age]]&gt;50,"Over 50")</f>
        <v>Under 30</v>
      </c>
      <c r="C1247" t="s">
        <v>43</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t="str" cm="1">
        <f t="array" ref="AH1247">_xlfn.IFS(Table1[[#This Row],[YearsAtCompany]]&lt;=2,"0-2 years",Table1[[#This Row],[YearsAtCompany]]&lt;=5,"3-5 years",Table1[[#This Row],[YearsAtCompany]]&lt;=10,"6-10 years",Table1[[#This Row],[YearsAtCompany]]&gt;10,"10+ years")</f>
        <v>0-2 years</v>
      </c>
      <c r="AI1247">
        <v>2</v>
      </c>
      <c r="AJ1247">
        <v>2</v>
      </c>
      <c r="AK1247">
        <v>1</v>
      </c>
      <c r="AL1247" t="str" cm="1">
        <f t="array" ref="AL1247">_xlfn.IFS(Table1[[#This Row],[JobSatisfaction]]=1,"Low",Table1[[#This Row],[JobSatisfaction]]=2,"Medium",Table1[[#This Row],[JobSatisfaction]]=3,"High",Table1[[#This Row],[JobSatisfaction]]=4,"Very High")</f>
        <v>Very High</v>
      </c>
      <c r="AM1247">
        <f>IF(Table1[[#This Row],[Attrition]]="Yes",1,0)</f>
        <v>0</v>
      </c>
    </row>
    <row r="1248" spans="1:39" ht="13.8" x14ac:dyDescent="0.25">
      <c r="A1248">
        <v>30</v>
      </c>
      <c r="B1248" t="str" cm="1">
        <f t="array" ref="B1248">_xlfn.IFS(Table1[[#This Row],[Age]]&lt;30,"Under 30",Table1[[#This Row],[Age]]&lt;=40,"30-40",Table1[[#This Row],[Age]]&lt;=50,"41-50",Table1[[#This Row],[Age]]&gt;50,"Over 50")</f>
        <v>30-40</v>
      </c>
      <c r="C1248" t="s">
        <v>35</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t="str" cm="1">
        <f t="array" ref="AH1248">_xlfn.IFS(Table1[[#This Row],[YearsAtCompany]]&lt;=2,"0-2 years",Table1[[#This Row],[YearsAtCompany]]&lt;=5,"3-5 years",Table1[[#This Row],[YearsAtCompany]]&lt;=10,"6-10 years",Table1[[#This Row],[YearsAtCompany]]&gt;10,"10+ years")</f>
        <v>3-5 years</v>
      </c>
      <c r="AI1248">
        <v>2</v>
      </c>
      <c r="AJ1248">
        <v>1</v>
      </c>
      <c r="AK1248">
        <v>2</v>
      </c>
      <c r="AL1248" t="str" cm="1">
        <f t="array" ref="AL1248">_xlfn.IFS(Table1[[#This Row],[JobSatisfaction]]=1,"Low",Table1[[#This Row],[JobSatisfaction]]=2,"Medium",Table1[[#This Row],[JobSatisfaction]]=3,"High",Table1[[#This Row],[JobSatisfaction]]=4,"Very High")</f>
        <v>Very High</v>
      </c>
      <c r="AM1248">
        <f>IF(Table1[[#This Row],[Attrition]]="Yes",1,0)</f>
        <v>1</v>
      </c>
    </row>
    <row r="1249" spans="1:39" ht="13.8" x14ac:dyDescent="0.25">
      <c r="A1249">
        <v>31</v>
      </c>
      <c r="B1249" t="str" cm="1">
        <f t="array" ref="B1249">_xlfn.IFS(Table1[[#This Row],[Age]]&lt;30,"Under 30",Table1[[#This Row],[Age]]&lt;=40,"30-40",Table1[[#This Row],[Age]]&lt;=50,"41-50",Table1[[#This Row],[Age]]&gt;50,"Over 50")</f>
        <v>30-40</v>
      </c>
      <c r="C1249" t="s">
        <v>43</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t="str" cm="1">
        <f t="array" ref="AH1249">_xlfn.IFS(Table1[[#This Row],[YearsAtCompany]]&lt;=2,"0-2 years",Table1[[#This Row],[YearsAtCompany]]&lt;=5,"3-5 years",Table1[[#This Row],[YearsAtCompany]]&lt;=10,"6-10 years",Table1[[#This Row],[YearsAtCompany]]&gt;10,"10+ years")</f>
        <v>3-5 years</v>
      </c>
      <c r="AI1249">
        <v>2</v>
      </c>
      <c r="AJ1249">
        <v>0</v>
      </c>
      <c r="AK1249">
        <v>2</v>
      </c>
      <c r="AL1249" t="str" cm="1">
        <f t="array" ref="AL1249">_xlfn.IFS(Table1[[#This Row],[JobSatisfaction]]=1,"Low",Table1[[#This Row],[JobSatisfaction]]=2,"Medium",Table1[[#This Row],[JobSatisfaction]]=3,"High",Table1[[#This Row],[JobSatisfaction]]=4,"Very High")</f>
        <v>High</v>
      </c>
      <c r="AM1249">
        <f>IF(Table1[[#This Row],[Attrition]]="Yes",1,0)</f>
        <v>0</v>
      </c>
    </row>
    <row r="1250" spans="1:39" ht="13.8" x14ac:dyDescent="0.25">
      <c r="A1250">
        <v>27</v>
      </c>
      <c r="B1250" t="str" cm="1">
        <f t="array" ref="B1250">_xlfn.IFS(Table1[[#This Row],[Age]]&lt;30,"Under 30",Table1[[#This Row],[Age]]&lt;=40,"30-40",Table1[[#This Row],[Age]]&lt;=50,"41-50",Table1[[#This Row],[Age]]&gt;50,"Over 50")</f>
        <v>Under 30</v>
      </c>
      <c r="C1250" t="s">
        <v>43</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t="str" cm="1">
        <f t="array" ref="AH1250">_xlfn.IFS(Table1[[#This Row],[YearsAtCompany]]&lt;=2,"0-2 years",Table1[[#This Row],[YearsAtCompany]]&lt;=5,"3-5 years",Table1[[#This Row],[YearsAtCompany]]&lt;=10,"6-10 years",Table1[[#This Row],[YearsAtCompany]]&gt;10,"10+ years")</f>
        <v>6-10 years</v>
      </c>
      <c r="AI1250">
        <v>2</v>
      </c>
      <c r="AJ1250">
        <v>1</v>
      </c>
      <c r="AK1250">
        <v>4</v>
      </c>
      <c r="AL1250" t="str" cm="1">
        <f t="array" ref="AL1250">_xlfn.IFS(Table1[[#This Row],[JobSatisfaction]]=1,"Low",Table1[[#This Row],[JobSatisfaction]]=2,"Medium",Table1[[#This Row],[JobSatisfaction]]=3,"High",Table1[[#This Row],[JobSatisfaction]]=4,"Very High")</f>
        <v>Very High</v>
      </c>
      <c r="AM1250">
        <f>IF(Table1[[#This Row],[Attrition]]="Yes",1,0)</f>
        <v>0</v>
      </c>
    </row>
    <row r="1251" spans="1:39" ht="13.8" x14ac:dyDescent="0.25">
      <c r="A1251">
        <v>29</v>
      </c>
      <c r="B1251" t="str" cm="1">
        <f t="array" ref="B1251">_xlfn.IFS(Table1[[#This Row],[Age]]&lt;30,"Under 30",Table1[[#This Row],[Age]]&lt;=40,"30-40",Table1[[#This Row],[Age]]&lt;=50,"41-50",Table1[[#This Row],[Age]]&gt;50,"Over 50")</f>
        <v>Under 30</v>
      </c>
      <c r="C1251" t="s">
        <v>35</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t="str" cm="1">
        <f t="array" ref="AH1251">_xlfn.IFS(Table1[[#This Row],[YearsAtCompany]]&lt;=2,"0-2 years",Table1[[#This Row],[YearsAtCompany]]&lt;=5,"3-5 years",Table1[[#This Row],[YearsAtCompany]]&lt;=10,"6-10 years",Table1[[#This Row],[YearsAtCompany]]&gt;10,"10+ years")</f>
        <v>0-2 years</v>
      </c>
      <c r="AI1251">
        <v>2</v>
      </c>
      <c r="AJ1251">
        <v>2</v>
      </c>
      <c r="AK1251">
        <v>2</v>
      </c>
      <c r="AL1251" t="str" cm="1">
        <f t="array" ref="AL1251">_xlfn.IFS(Table1[[#This Row],[JobSatisfaction]]=1,"Low",Table1[[#This Row],[JobSatisfaction]]=2,"Medium",Table1[[#This Row],[JobSatisfaction]]=3,"High",Table1[[#This Row],[JobSatisfaction]]=4,"Very High")</f>
        <v>Medium</v>
      </c>
      <c r="AM1251">
        <f>IF(Table1[[#This Row],[Attrition]]="Yes",1,0)</f>
        <v>1</v>
      </c>
    </row>
    <row r="1252" spans="1:39" ht="13.8" x14ac:dyDescent="0.25">
      <c r="A1252">
        <v>29</v>
      </c>
      <c r="B1252" t="str" cm="1">
        <f t="array" ref="B1252">_xlfn.IFS(Table1[[#This Row],[Age]]&lt;30,"Under 30",Table1[[#This Row],[Age]]&lt;=40,"30-40",Table1[[#This Row],[Age]]&lt;=50,"41-50",Table1[[#This Row],[Age]]&gt;50,"Over 50")</f>
        <v>Under 30</v>
      </c>
      <c r="C1252" t="s">
        <v>43</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t="str" cm="1">
        <f t="array" ref="AH1252">_xlfn.IFS(Table1[[#This Row],[YearsAtCompany]]&lt;=2,"0-2 years",Table1[[#This Row],[YearsAtCompany]]&lt;=5,"3-5 years",Table1[[#This Row],[YearsAtCompany]]&lt;=10,"6-10 years",Table1[[#This Row],[YearsAtCompany]]&gt;10,"10+ years")</f>
        <v>3-5 years</v>
      </c>
      <c r="AI1252">
        <v>2</v>
      </c>
      <c r="AJ1252">
        <v>0</v>
      </c>
      <c r="AK1252">
        <v>2</v>
      </c>
      <c r="AL1252" t="str" cm="1">
        <f t="array" ref="AL1252">_xlfn.IFS(Table1[[#This Row],[JobSatisfaction]]=1,"Low",Table1[[#This Row],[JobSatisfaction]]=2,"Medium",Table1[[#This Row],[JobSatisfaction]]=3,"High",Table1[[#This Row],[JobSatisfaction]]=4,"Very High")</f>
        <v>High</v>
      </c>
      <c r="AM1252">
        <f>IF(Table1[[#This Row],[Attrition]]="Yes",1,0)</f>
        <v>0</v>
      </c>
    </row>
    <row r="1253" spans="1:39" ht="13.8" x14ac:dyDescent="0.25">
      <c r="A1253">
        <v>30</v>
      </c>
      <c r="B1253" t="str" cm="1">
        <f t="array" ref="B1253">_xlfn.IFS(Table1[[#This Row],[Age]]&lt;30,"Under 30",Table1[[#This Row],[Age]]&lt;=40,"30-40",Table1[[#This Row],[Age]]&lt;=50,"41-50",Table1[[#This Row],[Age]]&gt;50,"Over 50")</f>
        <v>30-40</v>
      </c>
      <c r="C1253" t="s">
        <v>43</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t="str" cm="1">
        <f t="array" ref="AH1253">_xlfn.IFS(Table1[[#This Row],[YearsAtCompany]]&lt;=2,"0-2 years",Table1[[#This Row],[YearsAtCompany]]&lt;=5,"3-5 years",Table1[[#This Row],[YearsAtCompany]]&lt;=10,"6-10 years",Table1[[#This Row],[YearsAtCompany]]&gt;10,"10+ years")</f>
        <v>6-10 years</v>
      </c>
      <c r="AI1253">
        <v>7</v>
      </c>
      <c r="AJ1253">
        <v>1</v>
      </c>
      <c r="AK1253">
        <v>7</v>
      </c>
      <c r="AL1253" t="str" cm="1">
        <f t="array" ref="AL1253">_xlfn.IFS(Table1[[#This Row],[JobSatisfaction]]=1,"Low",Table1[[#This Row],[JobSatisfaction]]=2,"Medium",Table1[[#This Row],[JobSatisfaction]]=3,"High",Table1[[#This Row],[JobSatisfaction]]=4,"Very High")</f>
        <v>Low</v>
      </c>
      <c r="AM1253">
        <f>IF(Table1[[#This Row],[Attrition]]="Yes",1,0)</f>
        <v>0</v>
      </c>
    </row>
    <row r="1254" spans="1:39" ht="13.8" x14ac:dyDescent="0.25">
      <c r="A1254">
        <v>34</v>
      </c>
      <c r="B1254" t="str" cm="1">
        <f t="array" ref="B1254">_xlfn.IFS(Table1[[#This Row],[Age]]&lt;30,"Under 30",Table1[[#This Row],[Age]]&lt;=40,"30-40",Table1[[#This Row],[Age]]&lt;=50,"41-50",Table1[[#This Row],[Age]]&gt;50,"Over 50")</f>
        <v>30-40</v>
      </c>
      <c r="C1254" t="s">
        <v>43</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t="str" cm="1">
        <f t="array" ref="AH1254">_xlfn.IFS(Table1[[#This Row],[YearsAtCompany]]&lt;=2,"0-2 years",Table1[[#This Row],[YearsAtCompany]]&lt;=5,"3-5 years",Table1[[#This Row],[YearsAtCompany]]&lt;=10,"6-10 years",Table1[[#This Row],[YearsAtCompany]]&gt;10,"10+ years")</f>
        <v>3-5 years</v>
      </c>
      <c r="AI1254">
        <v>0</v>
      </c>
      <c r="AJ1254">
        <v>1</v>
      </c>
      <c r="AK1254">
        <v>2</v>
      </c>
      <c r="AL1254" t="str" cm="1">
        <f t="array" ref="AL1254">_xlfn.IFS(Table1[[#This Row],[JobSatisfaction]]=1,"Low",Table1[[#This Row],[JobSatisfaction]]=2,"Medium",Table1[[#This Row],[JobSatisfaction]]=3,"High",Table1[[#This Row],[JobSatisfaction]]=4,"Very High")</f>
        <v>Very High</v>
      </c>
      <c r="AM1254">
        <f>IF(Table1[[#This Row],[Attrition]]="Yes",1,0)</f>
        <v>0</v>
      </c>
    </row>
    <row r="1255" spans="1:39" ht="13.8" x14ac:dyDescent="0.25">
      <c r="A1255">
        <v>33</v>
      </c>
      <c r="B1255" t="str" cm="1">
        <f t="array" ref="B1255">_xlfn.IFS(Table1[[#This Row],[Age]]&lt;30,"Under 30",Table1[[#This Row],[Age]]&lt;=40,"30-40",Table1[[#This Row],[Age]]&lt;=50,"41-50",Table1[[#This Row],[Age]]&gt;50,"Over 50")</f>
        <v>30-40</v>
      </c>
      <c r="C1255" t="s">
        <v>43</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t="str" cm="1">
        <f t="array" ref="AH1255">_xlfn.IFS(Table1[[#This Row],[YearsAtCompany]]&lt;=2,"0-2 years",Table1[[#This Row],[YearsAtCompany]]&lt;=5,"3-5 years",Table1[[#This Row],[YearsAtCompany]]&lt;=10,"6-10 years",Table1[[#This Row],[YearsAtCompany]]&gt;10,"10+ years")</f>
        <v>10+ years</v>
      </c>
      <c r="AI1255">
        <v>7</v>
      </c>
      <c r="AJ1255">
        <v>1</v>
      </c>
      <c r="AK1255">
        <v>7</v>
      </c>
      <c r="AL1255" t="str" cm="1">
        <f t="array" ref="AL1255">_xlfn.IFS(Table1[[#This Row],[JobSatisfaction]]=1,"Low",Table1[[#This Row],[JobSatisfaction]]=2,"Medium",Table1[[#This Row],[JobSatisfaction]]=3,"High",Table1[[#This Row],[JobSatisfaction]]=4,"Very High")</f>
        <v>Medium</v>
      </c>
      <c r="AM1255">
        <f>IF(Table1[[#This Row],[Attrition]]="Yes",1,0)</f>
        <v>0</v>
      </c>
    </row>
    <row r="1256" spans="1:39" ht="13.8" x14ac:dyDescent="0.25">
      <c r="A1256">
        <v>49</v>
      </c>
      <c r="B1256" t="str" cm="1">
        <f t="array" ref="B1256">_xlfn.IFS(Table1[[#This Row],[Age]]&lt;30,"Under 30",Table1[[#This Row],[Age]]&lt;=40,"30-40",Table1[[#This Row],[Age]]&lt;=50,"41-50",Table1[[#This Row],[Age]]&gt;50,"Over 50")</f>
        <v>41-50</v>
      </c>
      <c r="C1256" t="s">
        <v>43</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t="str" cm="1">
        <f t="array" ref="AH1256">_xlfn.IFS(Table1[[#This Row],[YearsAtCompany]]&lt;=2,"0-2 years",Table1[[#This Row],[YearsAtCompany]]&lt;=5,"3-5 years",Table1[[#This Row],[YearsAtCompany]]&lt;=10,"6-10 years",Table1[[#This Row],[YearsAtCompany]]&gt;10,"10+ years")</f>
        <v>3-5 years</v>
      </c>
      <c r="AI1256">
        <v>1</v>
      </c>
      <c r="AJ1256">
        <v>0</v>
      </c>
      <c r="AK1256">
        <v>4</v>
      </c>
      <c r="AL1256" t="str" cm="1">
        <f t="array" ref="AL1256">_xlfn.IFS(Table1[[#This Row],[JobSatisfaction]]=1,"Low",Table1[[#This Row],[JobSatisfaction]]=2,"Medium",Table1[[#This Row],[JobSatisfaction]]=3,"High",Table1[[#This Row],[JobSatisfaction]]=4,"Very High")</f>
        <v>Very High</v>
      </c>
      <c r="AM1256">
        <f>IF(Table1[[#This Row],[Attrition]]="Yes",1,0)</f>
        <v>0</v>
      </c>
    </row>
    <row r="1257" spans="1:39" ht="13.8" x14ac:dyDescent="0.25">
      <c r="A1257">
        <v>33</v>
      </c>
      <c r="B1257" t="str" cm="1">
        <f t="array" ref="B1257">_xlfn.IFS(Table1[[#This Row],[Age]]&lt;30,"Under 30",Table1[[#This Row],[Age]]&lt;=40,"30-40",Table1[[#This Row],[Age]]&lt;=50,"41-50",Table1[[#This Row],[Age]]&gt;50,"Over 50")</f>
        <v>30-40</v>
      </c>
      <c r="C1257" t="s">
        <v>35</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t="str" cm="1">
        <f t="array" ref="AH1257">_xlfn.IFS(Table1[[#This Row],[YearsAtCompany]]&lt;=2,"0-2 years",Table1[[#This Row],[YearsAtCompany]]&lt;=5,"3-5 years",Table1[[#This Row],[YearsAtCompany]]&lt;=10,"6-10 years",Table1[[#This Row],[YearsAtCompany]]&gt;10,"10+ years")</f>
        <v>0-2 years</v>
      </c>
      <c r="AI1257">
        <v>0</v>
      </c>
      <c r="AJ1257">
        <v>0</v>
      </c>
      <c r="AK1257">
        <v>0</v>
      </c>
      <c r="AL1257" t="str" cm="1">
        <f t="array" ref="AL1257">_xlfn.IFS(Table1[[#This Row],[JobSatisfaction]]=1,"Low",Table1[[#This Row],[JobSatisfaction]]=2,"Medium",Table1[[#This Row],[JobSatisfaction]]=3,"High",Table1[[#This Row],[JobSatisfaction]]=4,"Very High")</f>
        <v>Low</v>
      </c>
      <c r="AM1257">
        <f>IF(Table1[[#This Row],[Attrition]]="Yes",1,0)</f>
        <v>1</v>
      </c>
    </row>
    <row r="1258" spans="1:39" ht="13.8" x14ac:dyDescent="0.25">
      <c r="A1258">
        <v>38</v>
      </c>
      <c r="B1258" t="str" cm="1">
        <f t="array" ref="B1258">_xlfn.IFS(Table1[[#This Row],[Age]]&lt;30,"Under 30",Table1[[#This Row],[Age]]&lt;=40,"30-40",Table1[[#This Row],[Age]]&lt;=50,"41-50",Table1[[#This Row],[Age]]&gt;50,"Over 50")</f>
        <v>30-40</v>
      </c>
      <c r="C1258" t="s">
        <v>43</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t="str" cm="1">
        <f t="array" ref="AH1258">_xlfn.IFS(Table1[[#This Row],[YearsAtCompany]]&lt;=2,"0-2 years",Table1[[#This Row],[YearsAtCompany]]&lt;=5,"3-5 years",Table1[[#This Row],[YearsAtCompany]]&lt;=10,"6-10 years",Table1[[#This Row],[YearsAtCompany]]&gt;10,"10+ years")</f>
        <v>6-10 years</v>
      </c>
      <c r="AI1258">
        <v>1</v>
      </c>
      <c r="AJ1258">
        <v>0</v>
      </c>
      <c r="AK1258">
        <v>5</v>
      </c>
      <c r="AL1258" t="str" cm="1">
        <f t="array" ref="AL1258">_xlfn.IFS(Table1[[#This Row],[JobSatisfaction]]=1,"Low",Table1[[#This Row],[JobSatisfaction]]=2,"Medium",Table1[[#This Row],[JobSatisfaction]]=3,"High",Table1[[#This Row],[JobSatisfaction]]=4,"Very High")</f>
        <v>Medium</v>
      </c>
      <c r="AM1258">
        <f>IF(Table1[[#This Row],[Attrition]]="Yes",1,0)</f>
        <v>0</v>
      </c>
    </row>
    <row r="1259" spans="1:39" ht="13.8" x14ac:dyDescent="0.25">
      <c r="A1259">
        <v>31</v>
      </c>
      <c r="B1259" t="str" cm="1">
        <f t="array" ref="B1259">_xlfn.IFS(Table1[[#This Row],[Age]]&lt;30,"Under 30",Table1[[#This Row],[Age]]&lt;=40,"30-40",Table1[[#This Row],[Age]]&lt;=50,"41-50",Table1[[#This Row],[Age]]&gt;50,"Over 50")</f>
        <v>30-40</v>
      </c>
      <c r="C1259" t="s">
        <v>35</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t="str" cm="1">
        <f t="array" ref="AH1259">_xlfn.IFS(Table1[[#This Row],[YearsAtCompany]]&lt;=2,"0-2 years",Table1[[#This Row],[YearsAtCompany]]&lt;=5,"3-5 years",Table1[[#This Row],[YearsAtCompany]]&lt;=10,"6-10 years",Table1[[#This Row],[YearsAtCompany]]&gt;10,"10+ years")</f>
        <v>0-2 years</v>
      </c>
      <c r="AI1259">
        <v>0</v>
      </c>
      <c r="AJ1259">
        <v>0</v>
      </c>
      <c r="AK1259">
        <v>0</v>
      </c>
      <c r="AL1259" t="str" cm="1">
        <f t="array" ref="AL1259">_xlfn.IFS(Table1[[#This Row],[JobSatisfaction]]=1,"Low",Table1[[#This Row],[JobSatisfaction]]=2,"Medium",Table1[[#This Row],[JobSatisfaction]]=3,"High",Table1[[#This Row],[JobSatisfaction]]=4,"Very High")</f>
        <v>High</v>
      </c>
      <c r="AM1259">
        <f>IF(Table1[[#This Row],[Attrition]]="Yes",1,0)</f>
        <v>1</v>
      </c>
    </row>
    <row r="1260" spans="1:39" ht="13.8" x14ac:dyDescent="0.25">
      <c r="A1260">
        <v>29</v>
      </c>
      <c r="B1260" t="str" cm="1">
        <f t="array" ref="B1260">_xlfn.IFS(Table1[[#This Row],[Age]]&lt;30,"Under 30",Table1[[#This Row],[Age]]&lt;=40,"30-40",Table1[[#This Row],[Age]]&lt;=50,"41-50",Table1[[#This Row],[Age]]&gt;50,"Over 50")</f>
        <v>Under 30</v>
      </c>
      <c r="C1260" t="s">
        <v>43</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t="str" cm="1">
        <f t="array" ref="AH1260">_xlfn.IFS(Table1[[#This Row],[YearsAtCompany]]&lt;=2,"0-2 years",Table1[[#This Row],[YearsAtCompany]]&lt;=5,"3-5 years",Table1[[#This Row],[YearsAtCompany]]&lt;=10,"6-10 years",Table1[[#This Row],[YearsAtCompany]]&gt;10,"10+ years")</f>
        <v>0-2 years</v>
      </c>
      <c r="AI1260">
        <v>0</v>
      </c>
      <c r="AJ1260">
        <v>0</v>
      </c>
      <c r="AK1260">
        <v>0</v>
      </c>
      <c r="AL1260" t="str" cm="1">
        <f t="array" ref="AL1260">_xlfn.IFS(Table1[[#This Row],[JobSatisfaction]]=1,"Low",Table1[[#This Row],[JobSatisfaction]]=2,"Medium",Table1[[#This Row],[JobSatisfaction]]=3,"High",Table1[[#This Row],[JobSatisfaction]]=4,"Very High")</f>
        <v>Low</v>
      </c>
      <c r="AM1260">
        <f>IF(Table1[[#This Row],[Attrition]]="Yes",1,0)</f>
        <v>0</v>
      </c>
    </row>
    <row r="1261" spans="1:39" ht="13.8" x14ac:dyDescent="0.25">
      <c r="A1261">
        <v>30</v>
      </c>
      <c r="B1261" t="str" cm="1">
        <f t="array" ref="B1261">_xlfn.IFS(Table1[[#This Row],[Age]]&lt;30,"Under 30",Table1[[#This Row],[Age]]&lt;=40,"30-40",Table1[[#This Row],[Age]]&lt;=50,"41-50",Table1[[#This Row],[Age]]&gt;50,"Over 50")</f>
        <v>30-40</v>
      </c>
      <c r="C1261" t="s">
        <v>43</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t="str" cm="1">
        <f t="array" ref="AH1261">_xlfn.IFS(Table1[[#This Row],[YearsAtCompany]]&lt;=2,"0-2 years",Table1[[#This Row],[YearsAtCompany]]&lt;=5,"3-5 years",Table1[[#This Row],[YearsAtCompany]]&lt;=10,"6-10 years",Table1[[#This Row],[YearsAtCompany]]&gt;10,"10+ years")</f>
        <v>6-10 years</v>
      </c>
      <c r="AI1261">
        <v>0</v>
      </c>
      <c r="AJ1261">
        <v>1</v>
      </c>
      <c r="AK1261">
        <v>7</v>
      </c>
      <c r="AL1261" t="str" cm="1">
        <f t="array" ref="AL1261">_xlfn.IFS(Table1[[#This Row],[JobSatisfaction]]=1,"Low",Table1[[#This Row],[JobSatisfaction]]=2,"Medium",Table1[[#This Row],[JobSatisfaction]]=3,"High",Table1[[#This Row],[JobSatisfaction]]=4,"Very High")</f>
        <v>High</v>
      </c>
      <c r="AM1261">
        <f>IF(Table1[[#This Row],[Attrition]]="Yes",1,0)</f>
        <v>0</v>
      </c>
    </row>
    <row r="1262" spans="1:39" ht="13.8" x14ac:dyDescent="0.25">
      <c r="A1262">
        <v>32</v>
      </c>
      <c r="B1262" t="str" cm="1">
        <f t="array" ref="B1262">_xlfn.IFS(Table1[[#This Row],[Age]]&lt;30,"Under 30",Table1[[#This Row],[Age]]&lt;=40,"30-40",Table1[[#This Row],[Age]]&lt;=50,"41-50",Table1[[#This Row],[Age]]&gt;50,"Over 50")</f>
        <v>30-40</v>
      </c>
      <c r="C1262" t="s">
        <v>43</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t="str" cm="1">
        <f t="array" ref="AH1262">_xlfn.IFS(Table1[[#This Row],[YearsAtCompany]]&lt;=2,"0-2 years",Table1[[#This Row],[YearsAtCompany]]&lt;=5,"3-5 years",Table1[[#This Row],[YearsAtCompany]]&lt;=10,"6-10 years",Table1[[#This Row],[YearsAtCompany]]&gt;10,"10+ years")</f>
        <v>6-10 years</v>
      </c>
      <c r="AI1262">
        <v>7</v>
      </c>
      <c r="AJ1262">
        <v>0</v>
      </c>
      <c r="AK1262">
        <v>7</v>
      </c>
      <c r="AL1262" t="str" cm="1">
        <f t="array" ref="AL1262">_xlfn.IFS(Table1[[#This Row],[JobSatisfaction]]=1,"Low",Table1[[#This Row],[JobSatisfaction]]=2,"Medium",Table1[[#This Row],[JobSatisfaction]]=3,"High",Table1[[#This Row],[JobSatisfaction]]=4,"Very High")</f>
        <v>Medium</v>
      </c>
      <c r="AM1262">
        <f>IF(Table1[[#This Row],[Attrition]]="Yes",1,0)</f>
        <v>0</v>
      </c>
    </row>
    <row r="1263" spans="1:39" ht="13.8" x14ac:dyDescent="0.25">
      <c r="A1263">
        <v>38</v>
      </c>
      <c r="B1263" t="str" cm="1">
        <f t="array" ref="B1263">_xlfn.IFS(Table1[[#This Row],[Age]]&lt;30,"Under 30",Table1[[#This Row],[Age]]&lt;=40,"30-40",Table1[[#This Row],[Age]]&lt;=50,"41-50",Table1[[#This Row],[Age]]&gt;50,"Over 50")</f>
        <v>30-40</v>
      </c>
      <c r="C1263" t="s">
        <v>43</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t="str" cm="1">
        <f t="array" ref="AH1263">_xlfn.IFS(Table1[[#This Row],[YearsAtCompany]]&lt;=2,"0-2 years",Table1[[#This Row],[YearsAtCompany]]&lt;=5,"3-5 years",Table1[[#This Row],[YearsAtCompany]]&lt;=10,"6-10 years",Table1[[#This Row],[YearsAtCompany]]&gt;10,"10+ years")</f>
        <v>0-2 years</v>
      </c>
      <c r="AI1263">
        <v>0</v>
      </c>
      <c r="AJ1263">
        <v>1</v>
      </c>
      <c r="AK1263">
        <v>0</v>
      </c>
      <c r="AL1263" t="str" cm="1">
        <f t="array" ref="AL1263">_xlfn.IFS(Table1[[#This Row],[JobSatisfaction]]=1,"Low",Table1[[#This Row],[JobSatisfaction]]=2,"Medium",Table1[[#This Row],[JobSatisfaction]]=3,"High",Table1[[#This Row],[JobSatisfaction]]=4,"Very High")</f>
        <v>Very High</v>
      </c>
      <c r="AM1263">
        <f>IF(Table1[[#This Row],[Attrition]]="Yes",1,0)</f>
        <v>0</v>
      </c>
    </row>
    <row r="1264" spans="1:39" ht="13.8" x14ac:dyDescent="0.25">
      <c r="A1264">
        <v>43</v>
      </c>
      <c r="B1264" t="str" cm="1">
        <f t="array" ref="B1264">_xlfn.IFS(Table1[[#This Row],[Age]]&lt;30,"Under 30",Table1[[#This Row],[Age]]&lt;=40,"30-40",Table1[[#This Row],[Age]]&lt;=50,"41-50",Table1[[#This Row],[Age]]&gt;50,"Over 50")</f>
        <v>41-50</v>
      </c>
      <c r="C1264" t="s">
        <v>35</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t="str" cm="1">
        <f t="array" ref="AH1264">_xlfn.IFS(Table1[[#This Row],[YearsAtCompany]]&lt;=2,"0-2 years",Table1[[#This Row],[YearsAtCompany]]&lt;=5,"3-5 years",Table1[[#This Row],[YearsAtCompany]]&lt;=10,"6-10 years",Table1[[#This Row],[YearsAtCompany]]&gt;10,"10+ years")</f>
        <v>0-2 years</v>
      </c>
      <c r="AI1264">
        <v>0</v>
      </c>
      <c r="AJ1264">
        <v>0</v>
      </c>
      <c r="AK1264">
        <v>0</v>
      </c>
      <c r="AL1264" t="str" cm="1">
        <f t="array" ref="AL1264">_xlfn.IFS(Table1[[#This Row],[JobSatisfaction]]=1,"Low",Table1[[#This Row],[JobSatisfaction]]=2,"Medium",Table1[[#This Row],[JobSatisfaction]]=3,"High",Table1[[#This Row],[JobSatisfaction]]=4,"Very High")</f>
        <v>High</v>
      </c>
      <c r="AM1264">
        <f>IF(Table1[[#This Row],[Attrition]]="Yes",1,0)</f>
        <v>1</v>
      </c>
    </row>
    <row r="1265" spans="1:39" ht="13.8" x14ac:dyDescent="0.25">
      <c r="A1265">
        <v>42</v>
      </c>
      <c r="B1265" t="str" cm="1">
        <f t="array" ref="B1265">_xlfn.IFS(Table1[[#This Row],[Age]]&lt;30,"Under 30",Table1[[#This Row],[Age]]&lt;=40,"30-40",Table1[[#This Row],[Age]]&lt;=50,"41-50",Table1[[#This Row],[Age]]&gt;50,"Over 50")</f>
        <v>41-50</v>
      </c>
      <c r="C1265" t="s">
        <v>43</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t="str" cm="1">
        <f t="array" ref="AH1265">_xlfn.IFS(Table1[[#This Row],[YearsAtCompany]]&lt;=2,"0-2 years",Table1[[#This Row],[YearsAtCompany]]&lt;=5,"3-5 years",Table1[[#This Row],[YearsAtCompany]]&lt;=10,"6-10 years",Table1[[#This Row],[YearsAtCompany]]&gt;10,"10+ years")</f>
        <v>3-5 years</v>
      </c>
      <c r="AI1265">
        <v>3</v>
      </c>
      <c r="AJ1265">
        <v>0</v>
      </c>
      <c r="AK1265">
        <v>4</v>
      </c>
      <c r="AL1265" t="str" cm="1">
        <f t="array" ref="AL1265">_xlfn.IFS(Table1[[#This Row],[JobSatisfaction]]=1,"Low",Table1[[#This Row],[JobSatisfaction]]=2,"Medium",Table1[[#This Row],[JobSatisfaction]]=3,"High",Table1[[#This Row],[JobSatisfaction]]=4,"Very High")</f>
        <v>Medium</v>
      </c>
      <c r="AM1265">
        <f>IF(Table1[[#This Row],[Attrition]]="Yes",1,0)</f>
        <v>0</v>
      </c>
    </row>
    <row r="1266" spans="1:39" ht="13.8" x14ac:dyDescent="0.25">
      <c r="A1266">
        <v>55</v>
      </c>
      <c r="B1266" t="str" cm="1">
        <f t="array" ref="B1266">_xlfn.IFS(Table1[[#This Row],[Age]]&lt;30,"Under 30",Table1[[#This Row],[Age]]&lt;=40,"30-40",Table1[[#This Row],[Age]]&lt;=50,"41-50",Table1[[#This Row],[Age]]&gt;50,"Over 50")</f>
        <v>Over 50</v>
      </c>
      <c r="C1266" t="s">
        <v>43</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t="str" cm="1">
        <f t="array" ref="AH1266">_xlfn.IFS(Table1[[#This Row],[YearsAtCompany]]&lt;=2,"0-2 years",Table1[[#This Row],[YearsAtCompany]]&lt;=5,"3-5 years",Table1[[#This Row],[YearsAtCompany]]&lt;=10,"6-10 years",Table1[[#This Row],[YearsAtCompany]]&gt;10,"10+ years")</f>
        <v>0-2 years</v>
      </c>
      <c r="AI1266">
        <v>0</v>
      </c>
      <c r="AJ1266">
        <v>0</v>
      </c>
      <c r="AK1266">
        <v>0</v>
      </c>
      <c r="AL1266" t="str" cm="1">
        <f t="array" ref="AL1266">_xlfn.IFS(Table1[[#This Row],[JobSatisfaction]]=1,"Low",Table1[[#This Row],[JobSatisfaction]]=2,"Medium",Table1[[#This Row],[JobSatisfaction]]=3,"High",Table1[[#This Row],[JobSatisfaction]]=4,"Very High")</f>
        <v>Low</v>
      </c>
      <c r="AM1266">
        <f>IF(Table1[[#This Row],[Attrition]]="Yes",1,0)</f>
        <v>0</v>
      </c>
    </row>
    <row r="1267" spans="1:39" ht="13.8" x14ac:dyDescent="0.25">
      <c r="A1267">
        <v>33</v>
      </c>
      <c r="B1267" t="str" cm="1">
        <f t="array" ref="B1267">_xlfn.IFS(Table1[[#This Row],[Age]]&lt;30,"Under 30",Table1[[#This Row],[Age]]&lt;=40,"30-40",Table1[[#This Row],[Age]]&lt;=50,"41-50",Table1[[#This Row],[Age]]&gt;50,"Over 50")</f>
        <v>30-40</v>
      </c>
      <c r="C1267" t="s">
        <v>43</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t="str" cm="1">
        <f t="array" ref="AH1267">_xlfn.IFS(Table1[[#This Row],[YearsAtCompany]]&lt;=2,"0-2 years",Table1[[#This Row],[YearsAtCompany]]&lt;=5,"3-5 years",Table1[[#This Row],[YearsAtCompany]]&lt;=10,"6-10 years",Table1[[#This Row],[YearsAtCompany]]&gt;10,"10+ years")</f>
        <v>6-10 years</v>
      </c>
      <c r="AI1267">
        <v>8</v>
      </c>
      <c r="AJ1267">
        <v>1</v>
      </c>
      <c r="AK1267">
        <v>7</v>
      </c>
      <c r="AL1267" t="str" cm="1">
        <f t="array" ref="AL1267">_xlfn.IFS(Table1[[#This Row],[JobSatisfaction]]=1,"Low",Table1[[#This Row],[JobSatisfaction]]=2,"Medium",Table1[[#This Row],[JobSatisfaction]]=3,"High",Table1[[#This Row],[JobSatisfaction]]=4,"Very High")</f>
        <v>Medium</v>
      </c>
      <c r="AM1267">
        <f>IF(Table1[[#This Row],[Attrition]]="Yes",1,0)</f>
        <v>0</v>
      </c>
    </row>
    <row r="1268" spans="1:39" ht="13.8" x14ac:dyDescent="0.25">
      <c r="A1268">
        <v>41</v>
      </c>
      <c r="B1268" t="str" cm="1">
        <f t="array" ref="B1268">_xlfn.IFS(Table1[[#This Row],[Age]]&lt;30,"Under 30",Table1[[#This Row],[Age]]&lt;=40,"30-40",Table1[[#This Row],[Age]]&lt;=50,"41-50",Table1[[#This Row],[Age]]&gt;50,"Over 50")</f>
        <v>41-50</v>
      </c>
      <c r="C1268" t="s">
        <v>43</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t="str" cm="1">
        <f t="array" ref="AH1268">_xlfn.IFS(Table1[[#This Row],[YearsAtCompany]]&lt;=2,"0-2 years",Table1[[#This Row],[YearsAtCompany]]&lt;=5,"3-5 years",Table1[[#This Row],[YearsAtCompany]]&lt;=10,"6-10 years",Table1[[#This Row],[YearsAtCompany]]&gt;10,"10+ years")</f>
        <v>3-5 years</v>
      </c>
      <c r="AI1268">
        <v>3</v>
      </c>
      <c r="AJ1268">
        <v>0</v>
      </c>
      <c r="AK1268">
        <v>4</v>
      </c>
      <c r="AL1268" t="str" cm="1">
        <f t="array" ref="AL1268">_xlfn.IFS(Table1[[#This Row],[JobSatisfaction]]=1,"Low",Table1[[#This Row],[JobSatisfaction]]=2,"Medium",Table1[[#This Row],[JobSatisfaction]]=3,"High",Table1[[#This Row],[JobSatisfaction]]=4,"Very High")</f>
        <v>Low</v>
      </c>
      <c r="AM1268">
        <f>IF(Table1[[#This Row],[Attrition]]="Yes",1,0)</f>
        <v>0</v>
      </c>
    </row>
    <row r="1269" spans="1:39" ht="13.8" x14ac:dyDescent="0.25">
      <c r="A1269">
        <v>34</v>
      </c>
      <c r="B1269" t="str" cm="1">
        <f t="array" ref="B1269">_xlfn.IFS(Table1[[#This Row],[Age]]&lt;30,"Under 30",Table1[[#This Row],[Age]]&lt;=40,"30-40",Table1[[#This Row],[Age]]&lt;=50,"41-50",Table1[[#This Row],[Age]]&gt;50,"Over 50")</f>
        <v>30-40</v>
      </c>
      <c r="C1269" t="s">
        <v>43</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t="str" cm="1">
        <f t="array" ref="AH1269">_xlfn.IFS(Table1[[#This Row],[YearsAtCompany]]&lt;=2,"0-2 years",Table1[[#This Row],[YearsAtCompany]]&lt;=5,"3-5 years",Table1[[#This Row],[YearsAtCompany]]&lt;=10,"6-10 years",Table1[[#This Row],[YearsAtCompany]]&gt;10,"10+ years")</f>
        <v>10+ years</v>
      </c>
      <c r="AI1269">
        <v>14</v>
      </c>
      <c r="AJ1269">
        <v>0</v>
      </c>
      <c r="AK1269">
        <v>7</v>
      </c>
      <c r="AL1269" t="str" cm="1">
        <f t="array" ref="AL1269">_xlfn.IFS(Table1[[#This Row],[JobSatisfaction]]=1,"Low",Table1[[#This Row],[JobSatisfaction]]=2,"Medium",Table1[[#This Row],[JobSatisfaction]]=3,"High",Table1[[#This Row],[JobSatisfaction]]=4,"Very High")</f>
        <v>High</v>
      </c>
      <c r="AM1269">
        <f>IF(Table1[[#This Row],[Attrition]]="Yes",1,0)</f>
        <v>0</v>
      </c>
    </row>
    <row r="1270" spans="1:39" ht="13.8" x14ac:dyDescent="0.25">
      <c r="A1270">
        <v>53</v>
      </c>
      <c r="B1270" t="str" cm="1">
        <f t="array" ref="B1270">_xlfn.IFS(Table1[[#This Row],[Age]]&lt;30,"Under 30",Table1[[#This Row],[Age]]&lt;=40,"30-40",Table1[[#This Row],[Age]]&lt;=50,"41-50",Table1[[#This Row],[Age]]&gt;50,"Over 50")</f>
        <v>Over 50</v>
      </c>
      <c r="C1270" t="s">
        <v>43</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t="str" cm="1">
        <f t="array" ref="AH1270">_xlfn.IFS(Table1[[#This Row],[YearsAtCompany]]&lt;=2,"0-2 years",Table1[[#This Row],[YearsAtCompany]]&lt;=5,"3-5 years",Table1[[#This Row],[YearsAtCompany]]&lt;=10,"6-10 years",Table1[[#This Row],[YearsAtCompany]]&gt;10,"10+ years")</f>
        <v>3-5 years</v>
      </c>
      <c r="AI1270">
        <v>2</v>
      </c>
      <c r="AJ1270">
        <v>0</v>
      </c>
      <c r="AK1270">
        <v>2</v>
      </c>
      <c r="AL1270" t="str" cm="1">
        <f t="array" ref="AL1270">_xlfn.IFS(Table1[[#This Row],[JobSatisfaction]]=1,"Low",Table1[[#This Row],[JobSatisfaction]]=2,"Medium",Table1[[#This Row],[JobSatisfaction]]=3,"High",Table1[[#This Row],[JobSatisfaction]]=4,"Very High")</f>
        <v>High</v>
      </c>
      <c r="AM1270">
        <f>IF(Table1[[#This Row],[Attrition]]="Yes",1,0)</f>
        <v>0</v>
      </c>
    </row>
    <row r="1271" spans="1:39" ht="13.8" x14ac:dyDescent="0.25">
      <c r="A1271">
        <v>43</v>
      </c>
      <c r="B1271" t="str" cm="1">
        <f t="array" ref="B1271">_xlfn.IFS(Table1[[#This Row],[Age]]&lt;30,"Under 30",Table1[[#This Row],[Age]]&lt;=40,"30-40",Table1[[#This Row],[Age]]&lt;=50,"41-50",Table1[[#This Row],[Age]]&gt;50,"Over 50")</f>
        <v>41-50</v>
      </c>
      <c r="C1271" t="s">
        <v>43</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t="str" cm="1">
        <f t="array" ref="AH1271">_xlfn.IFS(Table1[[#This Row],[YearsAtCompany]]&lt;=2,"0-2 years",Table1[[#This Row],[YearsAtCompany]]&lt;=5,"3-5 years",Table1[[#This Row],[YearsAtCompany]]&lt;=10,"6-10 years",Table1[[#This Row],[YearsAtCompany]]&gt;10,"10+ years")</f>
        <v>6-10 years</v>
      </c>
      <c r="AI1271">
        <v>7</v>
      </c>
      <c r="AJ1271">
        <v>1</v>
      </c>
      <c r="AK1271">
        <v>8</v>
      </c>
      <c r="AL1271" t="str" cm="1">
        <f t="array" ref="AL1271">_xlfn.IFS(Table1[[#This Row],[JobSatisfaction]]=1,"Low",Table1[[#This Row],[JobSatisfaction]]=2,"Medium",Table1[[#This Row],[JobSatisfaction]]=3,"High",Table1[[#This Row],[JobSatisfaction]]=4,"Very High")</f>
        <v>Very High</v>
      </c>
      <c r="AM1271">
        <f>IF(Table1[[#This Row],[Attrition]]="Yes",1,0)</f>
        <v>0</v>
      </c>
    </row>
    <row r="1272" spans="1:39" ht="13.8" x14ac:dyDescent="0.25">
      <c r="A1272">
        <v>34</v>
      </c>
      <c r="B1272" t="str" cm="1">
        <f t="array" ref="B1272">_xlfn.IFS(Table1[[#This Row],[Age]]&lt;30,"Under 30",Table1[[#This Row],[Age]]&lt;=40,"30-40",Table1[[#This Row],[Age]]&lt;=50,"41-50",Table1[[#This Row],[Age]]&gt;50,"Over 50")</f>
        <v>30-40</v>
      </c>
      <c r="C1272" t="s">
        <v>43</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t="str" cm="1">
        <f t="array" ref="AH1272">_xlfn.IFS(Table1[[#This Row],[YearsAtCompany]]&lt;=2,"0-2 years",Table1[[#This Row],[YearsAtCompany]]&lt;=5,"3-5 years",Table1[[#This Row],[YearsAtCompany]]&lt;=10,"6-10 years",Table1[[#This Row],[YearsAtCompany]]&gt;10,"10+ years")</f>
        <v>0-2 years</v>
      </c>
      <c r="AI1272">
        <v>2</v>
      </c>
      <c r="AJ1272">
        <v>2</v>
      </c>
      <c r="AK1272">
        <v>2</v>
      </c>
      <c r="AL1272" t="str" cm="1">
        <f t="array" ref="AL1272">_xlfn.IFS(Table1[[#This Row],[JobSatisfaction]]=1,"Low",Table1[[#This Row],[JobSatisfaction]]=2,"Medium",Table1[[#This Row],[JobSatisfaction]]=3,"High",Table1[[#This Row],[JobSatisfaction]]=4,"Very High")</f>
        <v>Very High</v>
      </c>
      <c r="AM1272">
        <f>IF(Table1[[#This Row],[Attrition]]="Yes",1,0)</f>
        <v>0</v>
      </c>
    </row>
    <row r="1273" spans="1:39" ht="13.8" x14ac:dyDescent="0.25">
      <c r="A1273">
        <v>21</v>
      </c>
      <c r="B1273" t="str" cm="1">
        <f t="array" ref="B1273">_xlfn.IFS(Table1[[#This Row],[Age]]&lt;30,"Under 30",Table1[[#This Row],[Age]]&lt;=40,"30-40",Table1[[#This Row],[Age]]&lt;=50,"41-50",Table1[[#This Row],[Age]]&gt;50,"Over 50")</f>
        <v>Under 30</v>
      </c>
      <c r="C1273" t="s">
        <v>35</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t="str" cm="1">
        <f t="array" ref="AH1273">_xlfn.IFS(Table1[[#This Row],[YearsAtCompany]]&lt;=2,"0-2 years",Table1[[#This Row],[YearsAtCompany]]&lt;=5,"3-5 years",Table1[[#This Row],[YearsAtCompany]]&lt;=10,"6-10 years",Table1[[#This Row],[YearsAtCompany]]&gt;10,"10+ years")</f>
        <v>0-2 years</v>
      </c>
      <c r="AI1273">
        <v>0</v>
      </c>
      <c r="AJ1273">
        <v>1</v>
      </c>
      <c r="AK1273">
        <v>0</v>
      </c>
      <c r="AL1273" t="str" cm="1">
        <f t="array" ref="AL1273">_xlfn.IFS(Table1[[#This Row],[JobSatisfaction]]=1,"Low",Table1[[#This Row],[JobSatisfaction]]=2,"Medium",Table1[[#This Row],[JobSatisfaction]]=3,"High",Table1[[#This Row],[JobSatisfaction]]=4,"Very High")</f>
        <v>Medium</v>
      </c>
      <c r="AM1273">
        <f>IF(Table1[[#This Row],[Attrition]]="Yes",1,0)</f>
        <v>1</v>
      </c>
    </row>
    <row r="1274" spans="1:39" ht="13.8" x14ac:dyDescent="0.25">
      <c r="A1274">
        <v>38</v>
      </c>
      <c r="B1274" t="str" cm="1">
        <f t="array" ref="B1274">_xlfn.IFS(Table1[[#This Row],[Age]]&lt;30,"Under 30",Table1[[#This Row],[Age]]&lt;=40,"30-40",Table1[[#This Row],[Age]]&lt;=50,"41-50",Table1[[#This Row],[Age]]&gt;50,"Over 50")</f>
        <v>30-40</v>
      </c>
      <c r="C1274" t="s">
        <v>43</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t="str" cm="1">
        <f t="array" ref="AH1274">_xlfn.IFS(Table1[[#This Row],[YearsAtCompany]]&lt;=2,"0-2 years",Table1[[#This Row],[YearsAtCompany]]&lt;=5,"3-5 years",Table1[[#This Row],[YearsAtCompany]]&lt;=10,"6-10 years",Table1[[#This Row],[YearsAtCompany]]&gt;10,"10+ years")</f>
        <v>3-5 years</v>
      </c>
      <c r="AI1274">
        <v>4</v>
      </c>
      <c r="AJ1274">
        <v>0</v>
      </c>
      <c r="AK1274">
        <v>4</v>
      </c>
      <c r="AL1274" t="str" cm="1">
        <f t="array" ref="AL1274">_xlfn.IFS(Table1[[#This Row],[JobSatisfaction]]=1,"Low",Table1[[#This Row],[JobSatisfaction]]=2,"Medium",Table1[[#This Row],[JobSatisfaction]]=3,"High",Table1[[#This Row],[JobSatisfaction]]=4,"Very High")</f>
        <v>High</v>
      </c>
      <c r="AM1274">
        <f>IF(Table1[[#This Row],[Attrition]]="Yes",1,0)</f>
        <v>0</v>
      </c>
    </row>
    <row r="1275" spans="1:39" ht="13.8" x14ac:dyDescent="0.25">
      <c r="A1275">
        <v>22</v>
      </c>
      <c r="B1275" t="str" cm="1">
        <f t="array" ref="B1275">_xlfn.IFS(Table1[[#This Row],[Age]]&lt;30,"Under 30",Table1[[#This Row],[Age]]&lt;=40,"30-40",Table1[[#This Row],[Age]]&lt;=50,"41-50",Table1[[#This Row],[Age]]&gt;50,"Over 50")</f>
        <v>Under 30</v>
      </c>
      <c r="C1275" t="s">
        <v>35</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t="str" cm="1">
        <f t="array" ref="AH1275">_xlfn.IFS(Table1[[#This Row],[YearsAtCompany]]&lt;=2,"0-2 years",Table1[[#This Row],[YearsAtCompany]]&lt;=5,"3-5 years",Table1[[#This Row],[YearsAtCompany]]&lt;=10,"6-10 years",Table1[[#This Row],[YearsAtCompany]]&gt;10,"10+ years")</f>
        <v>0-2 years</v>
      </c>
      <c r="AI1275">
        <v>0</v>
      </c>
      <c r="AJ1275">
        <v>0</v>
      </c>
      <c r="AK1275">
        <v>0</v>
      </c>
      <c r="AL1275" t="str" cm="1">
        <f t="array" ref="AL1275">_xlfn.IFS(Table1[[#This Row],[JobSatisfaction]]=1,"Low",Table1[[#This Row],[JobSatisfaction]]=2,"Medium",Table1[[#This Row],[JobSatisfaction]]=3,"High",Table1[[#This Row],[JobSatisfaction]]=4,"Very High")</f>
        <v>Low</v>
      </c>
      <c r="AM1275">
        <f>IF(Table1[[#This Row],[Attrition]]="Yes",1,0)</f>
        <v>1</v>
      </c>
    </row>
    <row r="1276" spans="1:39" ht="13.8" x14ac:dyDescent="0.25">
      <c r="A1276">
        <v>31</v>
      </c>
      <c r="B1276" t="str" cm="1">
        <f t="array" ref="B1276">_xlfn.IFS(Table1[[#This Row],[Age]]&lt;30,"Under 30",Table1[[#This Row],[Age]]&lt;=40,"30-40",Table1[[#This Row],[Age]]&lt;=50,"41-50",Table1[[#This Row],[Age]]&gt;50,"Over 50")</f>
        <v>30-40</v>
      </c>
      <c r="C1276" t="s">
        <v>43</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t="str" cm="1">
        <f t="array" ref="AH1276">_xlfn.IFS(Table1[[#This Row],[YearsAtCompany]]&lt;=2,"0-2 years",Table1[[#This Row],[YearsAtCompany]]&lt;=5,"3-5 years",Table1[[#This Row],[YearsAtCompany]]&lt;=10,"6-10 years",Table1[[#This Row],[YearsAtCompany]]&gt;10,"10+ years")</f>
        <v>10+ years</v>
      </c>
      <c r="AI1276">
        <v>7</v>
      </c>
      <c r="AJ1276">
        <v>5</v>
      </c>
      <c r="AK1276">
        <v>7</v>
      </c>
      <c r="AL1276" t="str" cm="1">
        <f t="array" ref="AL1276">_xlfn.IFS(Table1[[#This Row],[JobSatisfaction]]=1,"Low",Table1[[#This Row],[JobSatisfaction]]=2,"Medium",Table1[[#This Row],[JobSatisfaction]]=3,"High",Table1[[#This Row],[JobSatisfaction]]=4,"Very High")</f>
        <v>Very High</v>
      </c>
      <c r="AM1276">
        <f>IF(Table1[[#This Row],[Attrition]]="Yes",1,0)</f>
        <v>0</v>
      </c>
    </row>
    <row r="1277" spans="1:39" ht="13.8" x14ac:dyDescent="0.25">
      <c r="A1277">
        <v>51</v>
      </c>
      <c r="B1277" t="str" cm="1">
        <f t="array" ref="B1277">_xlfn.IFS(Table1[[#This Row],[Age]]&lt;30,"Under 30",Table1[[#This Row],[Age]]&lt;=40,"30-40",Table1[[#This Row],[Age]]&lt;=50,"41-50",Table1[[#This Row],[Age]]&gt;50,"Over 50")</f>
        <v>Over 50</v>
      </c>
      <c r="C1277" t="s">
        <v>43</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t="str" cm="1">
        <f t="array" ref="AH1277">_xlfn.IFS(Table1[[#This Row],[YearsAtCompany]]&lt;=2,"0-2 years",Table1[[#This Row],[YearsAtCompany]]&lt;=5,"3-5 years",Table1[[#This Row],[YearsAtCompany]]&lt;=10,"6-10 years",Table1[[#This Row],[YearsAtCompany]]&gt;10,"10+ years")</f>
        <v>0-2 years</v>
      </c>
      <c r="AI1277">
        <v>2</v>
      </c>
      <c r="AJ1277">
        <v>2</v>
      </c>
      <c r="AK1277">
        <v>2</v>
      </c>
      <c r="AL1277" t="str" cm="1">
        <f t="array" ref="AL1277">_xlfn.IFS(Table1[[#This Row],[JobSatisfaction]]=1,"Low",Table1[[#This Row],[JobSatisfaction]]=2,"Medium",Table1[[#This Row],[JobSatisfaction]]=3,"High",Table1[[#This Row],[JobSatisfaction]]=4,"Very High")</f>
        <v>High</v>
      </c>
      <c r="AM1277">
        <f>IF(Table1[[#This Row],[Attrition]]="Yes",1,0)</f>
        <v>0</v>
      </c>
    </row>
    <row r="1278" spans="1:39" ht="13.8" x14ac:dyDescent="0.25">
      <c r="A1278">
        <v>37</v>
      </c>
      <c r="B1278" t="str" cm="1">
        <f t="array" ref="B1278">_xlfn.IFS(Table1[[#This Row],[Age]]&lt;30,"Under 30",Table1[[#This Row],[Age]]&lt;=40,"30-40",Table1[[#This Row],[Age]]&lt;=50,"41-50",Table1[[#This Row],[Age]]&gt;50,"Over 50")</f>
        <v>30-40</v>
      </c>
      <c r="C1278" t="s">
        <v>43</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t="str" cm="1">
        <f t="array" ref="AH1278">_xlfn.IFS(Table1[[#This Row],[YearsAtCompany]]&lt;=2,"0-2 years",Table1[[#This Row],[YearsAtCompany]]&lt;=5,"3-5 years",Table1[[#This Row],[YearsAtCompany]]&lt;=10,"6-10 years",Table1[[#This Row],[YearsAtCompany]]&gt;10,"10+ years")</f>
        <v>3-5 years</v>
      </c>
      <c r="AI1278">
        <v>2</v>
      </c>
      <c r="AJ1278">
        <v>0</v>
      </c>
      <c r="AK1278">
        <v>3</v>
      </c>
      <c r="AL1278" t="str" cm="1">
        <f t="array" ref="AL1278">_xlfn.IFS(Table1[[#This Row],[JobSatisfaction]]=1,"Low",Table1[[#This Row],[JobSatisfaction]]=2,"Medium",Table1[[#This Row],[JobSatisfaction]]=3,"High",Table1[[#This Row],[JobSatisfaction]]=4,"Very High")</f>
        <v>Medium</v>
      </c>
      <c r="AM1278">
        <f>IF(Table1[[#This Row],[Attrition]]="Yes",1,0)</f>
        <v>0</v>
      </c>
    </row>
    <row r="1279" spans="1:39" ht="13.8" x14ac:dyDescent="0.25">
      <c r="A1279">
        <v>46</v>
      </c>
      <c r="B1279" t="str" cm="1">
        <f t="array" ref="B1279">_xlfn.IFS(Table1[[#This Row],[Age]]&lt;30,"Under 30",Table1[[#This Row],[Age]]&lt;=40,"30-40",Table1[[#This Row],[Age]]&lt;=50,"41-50",Table1[[#This Row],[Age]]&gt;50,"Over 50")</f>
        <v>41-50</v>
      </c>
      <c r="C1279" t="s">
        <v>43</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t="str" cm="1">
        <f t="array" ref="AH1279">_xlfn.IFS(Table1[[#This Row],[YearsAtCompany]]&lt;=2,"0-2 years",Table1[[#This Row],[YearsAtCompany]]&lt;=5,"3-5 years",Table1[[#This Row],[YearsAtCompany]]&lt;=10,"6-10 years",Table1[[#This Row],[YearsAtCompany]]&gt;10,"10+ years")</f>
        <v>0-2 years</v>
      </c>
      <c r="AI1279">
        <v>1</v>
      </c>
      <c r="AJ1279">
        <v>2</v>
      </c>
      <c r="AK1279">
        <v>2</v>
      </c>
      <c r="AL1279" t="str" cm="1">
        <f t="array" ref="AL1279">_xlfn.IFS(Table1[[#This Row],[JobSatisfaction]]=1,"Low",Table1[[#This Row],[JobSatisfaction]]=2,"Medium",Table1[[#This Row],[JobSatisfaction]]=3,"High",Table1[[#This Row],[JobSatisfaction]]=4,"Very High")</f>
        <v>Very High</v>
      </c>
      <c r="AM1279">
        <f>IF(Table1[[#This Row],[Attrition]]="Yes",1,0)</f>
        <v>0</v>
      </c>
    </row>
    <row r="1280" spans="1:39" ht="13.8" x14ac:dyDescent="0.25">
      <c r="A1280">
        <v>36</v>
      </c>
      <c r="B1280" t="str" cm="1">
        <f t="array" ref="B1280">_xlfn.IFS(Table1[[#This Row],[Age]]&lt;30,"Under 30",Table1[[#This Row],[Age]]&lt;=40,"30-40",Table1[[#This Row],[Age]]&lt;=50,"41-50",Table1[[#This Row],[Age]]&gt;50,"Over 50")</f>
        <v>30-40</v>
      </c>
      <c r="C1280" t="s">
        <v>43</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t="str" cm="1">
        <f t="array" ref="AH1280">_xlfn.IFS(Table1[[#This Row],[YearsAtCompany]]&lt;=2,"0-2 years",Table1[[#This Row],[YearsAtCompany]]&lt;=5,"3-5 years",Table1[[#This Row],[YearsAtCompany]]&lt;=10,"6-10 years",Table1[[#This Row],[YearsAtCompany]]&gt;10,"10+ years")</f>
        <v>10+ years</v>
      </c>
      <c r="AI1280">
        <v>8</v>
      </c>
      <c r="AJ1280">
        <v>5</v>
      </c>
      <c r="AK1280">
        <v>7</v>
      </c>
      <c r="AL1280" t="str" cm="1">
        <f t="array" ref="AL1280">_xlfn.IFS(Table1[[#This Row],[JobSatisfaction]]=1,"Low",Table1[[#This Row],[JobSatisfaction]]=2,"Medium",Table1[[#This Row],[JobSatisfaction]]=3,"High",Table1[[#This Row],[JobSatisfaction]]=4,"Very High")</f>
        <v>Low</v>
      </c>
      <c r="AM1280">
        <f>IF(Table1[[#This Row],[Attrition]]="Yes",1,0)</f>
        <v>0</v>
      </c>
    </row>
    <row r="1281" spans="1:39" ht="13.8" x14ac:dyDescent="0.25">
      <c r="A1281">
        <v>44</v>
      </c>
      <c r="B1281" t="str" cm="1">
        <f t="array" ref="B1281">_xlfn.IFS(Table1[[#This Row],[Age]]&lt;30,"Under 30",Table1[[#This Row],[Age]]&lt;=40,"30-40",Table1[[#This Row],[Age]]&lt;=50,"41-50",Table1[[#This Row],[Age]]&gt;50,"Over 50")</f>
        <v>41-50</v>
      </c>
      <c r="C1281" t="s">
        <v>35</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t="str" cm="1">
        <f t="array" ref="AH1281">_xlfn.IFS(Table1[[#This Row],[YearsAtCompany]]&lt;=2,"0-2 years",Table1[[#This Row],[YearsAtCompany]]&lt;=5,"3-5 years",Table1[[#This Row],[YearsAtCompany]]&lt;=10,"6-10 years",Table1[[#This Row],[YearsAtCompany]]&gt;10,"10+ years")</f>
        <v>3-5 years</v>
      </c>
      <c r="AI1281">
        <v>3</v>
      </c>
      <c r="AJ1281">
        <v>2</v>
      </c>
      <c r="AK1281">
        <v>3</v>
      </c>
      <c r="AL1281" t="str" cm="1">
        <f t="array" ref="AL1281">_xlfn.IFS(Table1[[#This Row],[JobSatisfaction]]=1,"Low",Table1[[#This Row],[JobSatisfaction]]=2,"Medium",Table1[[#This Row],[JobSatisfaction]]=3,"High",Table1[[#This Row],[JobSatisfaction]]=4,"Very High")</f>
        <v>Medium</v>
      </c>
      <c r="AM1281">
        <f>IF(Table1[[#This Row],[Attrition]]="Yes",1,0)</f>
        <v>1</v>
      </c>
    </row>
    <row r="1282" spans="1:39" ht="13.8" x14ac:dyDescent="0.25">
      <c r="A1282">
        <v>37</v>
      </c>
      <c r="B1282" t="str" cm="1">
        <f t="array" ref="B1282">_xlfn.IFS(Table1[[#This Row],[Age]]&lt;30,"Under 30",Table1[[#This Row],[Age]]&lt;=40,"30-40",Table1[[#This Row],[Age]]&lt;=50,"41-50",Table1[[#This Row],[Age]]&gt;50,"Over 50")</f>
        <v>30-40</v>
      </c>
      <c r="C1282" t="s">
        <v>43</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t="str" cm="1">
        <f t="array" ref="AH1282">_xlfn.IFS(Table1[[#This Row],[YearsAtCompany]]&lt;=2,"0-2 years",Table1[[#This Row],[YearsAtCompany]]&lt;=5,"3-5 years",Table1[[#This Row],[YearsAtCompany]]&lt;=10,"6-10 years",Table1[[#This Row],[YearsAtCompany]]&gt;10,"10+ years")</f>
        <v>6-10 years</v>
      </c>
      <c r="AI1282">
        <v>0</v>
      </c>
      <c r="AJ1282">
        <v>4</v>
      </c>
      <c r="AK1282">
        <v>7</v>
      </c>
      <c r="AL1282" t="str" cm="1">
        <f t="array" ref="AL1282">_xlfn.IFS(Table1[[#This Row],[JobSatisfaction]]=1,"Low",Table1[[#This Row],[JobSatisfaction]]=2,"Medium",Table1[[#This Row],[JobSatisfaction]]=3,"High",Table1[[#This Row],[JobSatisfaction]]=4,"Very High")</f>
        <v>Medium</v>
      </c>
      <c r="AM1282">
        <f>IF(Table1[[#This Row],[Attrition]]="Yes",1,0)</f>
        <v>0</v>
      </c>
    </row>
    <row r="1283" spans="1:39" ht="13.8" x14ac:dyDescent="0.25">
      <c r="A1283">
        <v>35</v>
      </c>
      <c r="B1283" t="str" cm="1">
        <f t="array" ref="B1283">_xlfn.IFS(Table1[[#This Row],[Age]]&lt;30,"Under 30",Table1[[#This Row],[Age]]&lt;=40,"30-40",Table1[[#This Row],[Age]]&lt;=50,"41-50",Table1[[#This Row],[Age]]&gt;50,"Over 50")</f>
        <v>30-40</v>
      </c>
      <c r="C1283" t="s">
        <v>35</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t="str" cm="1">
        <f t="array" ref="AH1283">_xlfn.IFS(Table1[[#This Row],[YearsAtCompany]]&lt;=2,"0-2 years",Table1[[#This Row],[YearsAtCompany]]&lt;=5,"3-5 years",Table1[[#This Row],[YearsAtCompany]]&lt;=10,"6-10 years",Table1[[#This Row],[YearsAtCompany]]&gt;10,"10+ years")</f>
        <v>6-10 years</v>
      </c>
      <c r="AI1283">
        <v>7</v>
      </c>
      <c r="AJ1283">
        <v>7</v>
      </c>
      <c r="AK1283">
        <v>7</v>
      </c>
      <c r="AL1283" t="str" cm="1">
        <f t="array" ref="AL1283">_xlfn.IFS(Table1[[#This Row],[JobSatisfaction]]=1,"Low",Table1[[#This Row],[JobSatisfaction]]=2,"Medium",Table1[[#This Row],[JobSatisfaction]]=3,"High",Table1[[#This Row],[JobSatisfaction]]=4,"Very High")</f>
        <v>Very High</v>
      </c>
      <c r="AM1283">
        <f>IF(Table1[[#This Row],[Attrition]]="Yes",1,0)</f>
        <v>1</v>
      </c>
    </row>
    <row r="1284" spans="1:39" ht="13.8" x14ac:dyDescent="0.25">
      <c r="A1284">
        <v>33</v>
      </c>
      <c r="B1284" t="str" cm="1">
        <f t="array" ref="B1284">_xlfn.IFS(Table1[[#This Row],[Age]]&lt;30,"Under 30",Table1[[#This Row],[Age]]&lt;=40,"30-40",Table1[[#This Row],[Age]]&lt;=50,"41-50",Table1[[#This Row],[Age]]&gt;50,"Over 50")</f>
        <v>30-40</v>
      </c>
      <c r="C1284" t="s">
        <v>43</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t="str" cm="1">
        <f t="array" ref="AH1284">_xlfn.IFS(Table1[[#This Row],[YearsAtCompany]]&lt;=2,"0-2 years",Table1[[#This Row],[YearsAtCompany]]&lt;=5,"3-5 years",Table1[[#This Row],[YearsAtCompany]]&lt;=10,"6-10 years",Table1[[#This Row],[YearsAtCompany]]&gt;10,"10+ years")</f>
        <v>6-10 years</v>
      </c>
      <c r="AI1284">
        <v>8</v>
      </c>
      <c r="AJ1284">
        <v>7</v>
      </c>
      <c r="AK1284">
        <v>6</v>
      </c>
      <c r="AL1284" t="str" cm="1">
        <f t="array" ref="AL1284">_xlfn.IFS(Table1[[#This Row],[JobSatisfaction]]=1,"Low",Table1[[#This Row],[JobSatisfaction]]=2,"Medium",Table1[[#This Row],[JobSatisfaction]]=3,"High",Table1[[#This Row],[JobSatisfaction]]=4,"Very High")</f>
        <v>Low</v>
      </c>
      <c r="AM1284">
        <f>IF(Table1[[#This Row],[Attrition]]="Yes",1,0)</f>
        <v>0</v>
      </c>
    </row>
    <row r="1285" spans="1:39" ht="13.8" x14ac:dyDescent="0.25">
      <c r="A1285">
        <v>28</v>
      </c>
      <c r="B1285" t="str" cm="1">
        <f t="array" ref="B1285">_xlfn.IFS(Table1[[#This Row],[Age]]&lt;30,"Under 30",Table1[[#This Row],[Age]]&lt;=40,"30-40",Table1[[#This Row],[Age]]&lt;=50,"41-50",Table1[[#This Row],[Age]]&gt;50,"Over 50")</f>
        <v>Under 30</v>
      </c>
      <c r="C1285" t="s">
        <v>43</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t="str" cm="1">
        <f t="array" ref="AH1285">_xlfn.IFS(Table1[[#This Row],[YearsAtCompany]]&lt;=2,"0-2 years",Table1[[#This Row],[YearsAtCompany]]&lt;=5,"3-5 years",Table1[[#This Row],[YearsAtCompany]]&lt;=10,"6-10 years",Table1[[#This Row],[YearsAtCompany]]&gt;10,"10+ years")</f>
        <v>3-5 years</v>
      </c>
      <c r="AI1285">
        <v>3</v>
      </c>
      <c r="AJ1285">
        <v>0</v>
      </c>
      <c r="AK1285">
        <v>3</v>
      </c>
      <c r="AL1285" t="str" cm="1">
        <f t="array" ref="AL1285">_xlfn.IFS(Table1[[#This Row],[JobSatisfaction]]=1,"Low",Table1[[#This Row],[JobSatisfaction]]=2,"Medium",Table1[[#This Row],[JobSatisfaction]]=3,"High",Table1[[#This Row],[JobSatisfaction]]=4,"Very High")</f>
        <v>Very High</v>
      </c>
      <c r="AM1285">
        <f>IF(Table1[[#This Row],[Attrition]]="Yes",1,0)</f>
        <v>0</v>
      </c>
    </row>
    <row r="1286" spans="1:39" ht="13.8" x14ac:dyDescent="0.25">
      <c r="A1286">
        <v>39</v>
      </c>
      <c r="B1286" t="str" cm="1">
        <f t="array" ref="B1286">_xlfn.IFS(Table1[[#This Row],[Age]]&lt;30,"Under 30",Table1[[#This Row],[Age]]&lt;=40,"30-40",Table1[[#This Row],[Age]]&lt;=50,"41-50",Table1[[#This Row],[Age]]&gt;50,"Over 50")</f>
        <v>30-40</v>
      </c>
      <c r="C1286" t="s">
        <v>43</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t="str" cm="1">
        <f t="array" ref="AH1286">_xlfn.IFS(Table1[[#This Row],[YearsAtCompany]]&lt;=2,"0-2 years",Table1[[#This Row],[YearsAtCompany]]&lt;=5,"3-5 years",Table1[[#This Row],[YearsAtCompany]]&lt;=10,"6-10 years",Table1[[#This Row],[YearsAtCompany]]&gt;10,"10+ years")</f>
        <v>3-5 years</v>
      </c>
      <c r="AI1286">
        <v>3</v>
      </c>
      <c r="AJ1286">
        <v>2</v>
      </c>
      <c r="AK1286">
        <v>2</v>
      </c>
      <c r="AL1286" t="str" cm="1">
        <f t="array" ref="AL1286">_xlfn.IFS(Table1[[#This Row],[JobSatisfaction]]=1,"Low",Table1[[#This Row],[JobSatisfaction]]=2,"Medium",Table1[[#This Row],[JobSatisfaction]]=3,"High",Table1[[#This Row],[JobSatisfaction]]=4,"Very High")</f>
        <v>High</v>
      </c>
      <c r="AM1286">
        <f>IF(Table1[[#This Row],[Attrition]]="Yes",1,0)</f>
        <v>0</v>
      </c>
    </row>
    <row r="1287" spans="1:39" ht="13.8" x14ac:dyDescent="0.25">
      <c r="A1287">
        <v>46</v>
      </c>
      <c r="B1287" t="str" cm="1">
        <f t="array" ref="B1287">_xlfn.IFS(Table1[[#This Row],[Age]]&lt;30,"Under 30",Table1[[#This Row],[Age]]&lt;=40,"30-40",Table1[[#This Row],[Age]]&lt;=50,"41-50",Table1[[#This Row],[Age]]&gt;50,"Over 50")</f>
        <v>41-50</v>
      </c>
      <c r="C1287" t="s">
        <v>43</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t="str" cm="1">
        <f t="array" ref="AH1287">_xlfn.IFS(Table1[[#This Row],[YearsAtCompany]]&lt;=2,"0-2 years",Table1[[#This Row],[YearsAtCompany]]&lt;=5,"3-5 years",Table1[[#This Row],[YearsAtCompany]]&lt;=10,"6-10 years",Table1[[#This Row],[YearsAtCompany]]&gt;10,"10+ years")</f>
        <v>0-2 years</v>
      </c>
      <c r="AI1287">
        <v>2</v>
      </c>
      <c r="AJ1287">
        <v>2</v>
      </c>
      <c r="AK1287">
        <v>2</v>
      </c>
      <c r="AL1287" t="str" cm="1">
        <f t="array" ref="AL1287">_xlfn.IFS(Table1[[#This Row],[JobSatisfaction]]=1,"Low",Table1[[#This Row],[JobSatisfaction]]=2,"Medium",Table1[[#This Row],[JobSatisfaction]]=3,"High",Table1[[#This Row],[JobSatisfaction]]=4,"Very High")</f>
        <v>Medium</v>
      </c>
      <c r="AM1287">
        <f>IF(Table1[[#This Row],[Attrition]]="Yes",1,0)</f>
        <v>0</v>
      </c>
    </row>
    <row r="1288" spans="1:39" ht="13.8" x14ac:dyDescent="0.25">
      <c r="A1288">
        <v>40</v>
      </c>
      <c r="B1288" t="str" cm="1">
        <f t="array" ref="B1288">_xlfn.IFS(Table1[[#This Row],[Age]]&lt;30,"Under 30",Table1[[#This Row],[Age]]&lt;=40,"30-40",Table1[[#This Row],[Age]]&lt;=50,"41-50",Table1[[#This Row],[Age]]&gt;50,"Over 50")</f>
        <v>30-40</v>
      </c>
      <c r="C1288" t="s">
        <v>43</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t="str" cm="1">
        <f t="array" ref="AH1288">_xlfn.IFS(Table1[[#This Row],[YearsAtCompany]]&lt;=2,"0-2 years",Table1[[#This Row],[YearsAtCompany]]&lt;=5,"3-5 years",Table1[[#This Row],[YearsAtCompany]]&lt;=10,"6-10 years",Table1[[#This Row],[YearsAtCompany]]&gt;10,"10+ years")</f>
        <v>3-5 years</v>
      </c>
      <c r="AI1288">
        <v>3</v>
      </c>
      <c r="AJ1288">
        <v>0</v>
      </c>
      <c r="AK1288">
        <v>2</v>
      </c>
      <c r="AL1288" t="str" cm="1">
        <f t="array" ref="AL1288">_xlfn.IFS(Table1[[#This Row],[JobSatisfaction]]=1,"Low",Table1[[#This Row],[JobSatisfaction]]=2,"Medium",Table1[[#This Row],[JobSatisfaction]]=3,"High",Table1[[#This Row],[JobSatisfaction]]=4,"Very High")</f>
        <v>Low</v>
      </c>
      <c r="AM1288">
        <f>IF(Table1[[#This Row],[Attrition]]="Yes",1,0)</f>
        <v>0</v>
      </c>
    </row>
    <row r="1289" spans="1:39" ht="13.8" x14ac:dyDescent="0.25">
      <c r="A1289">
        <v>42</v>
      </c>
      <c r="B1289" t="str" cm="1">
        <f t="array" ref="B1289">_xlfn.IFS(Table1[[#This Row],[Age]]&lt;30,"Under 30",Table1[[#This Row],[Age]]&lt;=40,"30-40",Table1[[#This Row],[Age]]&lt;=50,"41-50",Table1[[#This Row],[Age]]&gt;50,"Over 50")</f>
        <v>41-50</v>
      </c>
      <c r="C1289" t="s">
        <v>43</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t="str" cm="1">
        <f t="array" ref="AH1289">_xlfn.IFS(Table1[[#This Row],[YearsAtCompany]]&lt;=2,"0-2 years",Table1[[#This Row],[YearsAtCompany]]&lt;=5,"3-5 years",Table1[[#This Row],[YearsAtCompany]]&lt;=10,"6-10 years",Table1[[#This Row],[YearsAtCompany]]&gt;10,"10+ years")</f>
        <v>0-2 years</v>
      </c>
      <c r="AI1289">
        <v>0</v>
      </c>
      <c r="AJ1289">
        <v>0</v>
      </c>
      <c r="AK1289">
        <v>0</v>
      </c>
      <c r="AL1289" t="str" cm="1">
        <f t="array" ref="AL1289">_xlfn.IFS(Table1[[#This Row],[JobSatisfaction]]=1,"Low",Table1[[#This Row],[JobSatisfaction]]=2,"Medium",Table1[[#This Row],[JobSatisfaction]]=3,"High",Table1[[#This Row],[JobSatisfaction]]=4,"Very High")</f>
        <v>Low</v>
      </c>
      <c r="AM1289">
        <f>IF(Table1[[#This Row],[Attrition]]="Yes",1,0)</f>
        <v>0</v>
      </c>
    </row>
    <row r="1290" spans="1:39" ht="13.8" x14ac:dyDescent="0.25">
      <c r="A1290">
        <v>35</v>
      </c>
      <c r="B1290" t="str" cm="1">
        <f t="array" ref="B1290">_xlfn.IFS(Table1[[#This Row],[Age]]&lt;30,"Under 30",Table1[[#This Row],[Age]]&lt;=40,"30-40",Table1[[#This Row],[Age]]&lt;=50,"41-50",Table1[[#This Row],[Age]]&gt;50,"Over 50")</f>
        <v>30-40</v>
      </c>
      <c r="C1290" t="s">
        <v>43</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t="str" cm="1">
        <f t="array" ref="AH1290">_xlfn.IFS(Table1[[#This Row],[YearsAtCompany]]&lt;=2,"0-2 years",Table1[[#This Row],[YearsAtCompany]]&lt;=5,"3-5 years",Table1[[#This Row],[YearsAtCompany]]&lt;=10,"6-10 years",Table1[[#This Row],[YearsAtCompany]]&gt;10,"10+ years")</f>
        <v>6-10 years</v>
      </c>
      <c r="AI1290">
        <v>7</v>
      </c>
      <c r="AJ1290">
        <v>1</v>
      </c>
      <c r="AK1290">
        <v>7</v>
      </c>
      <c r="AL1290" t="str" cm="1">
        <f t="array" ref="AL1290">_xlfn.IFS(Table1[[#This Row],[JobSatisfaction]]=1,"Low",Table1[[#This Row],[JobSatisfaction]]=2,"Medium",Table1[[#This Row],[JobSatisfaction]]=3,"High",Table1[[#This Row],[JobSatisfaction]]=4,"Very High")</f>
        <v>Very High</v>
      </c>
      <c r="AM1290">
        <f>IF(Table1[[#This Row],[Attrition]]="Yes",1,0)</f>
        <v>0</v>
      </c>
    </row>
    <row r="1291" spans="1:39" ht="13.8" x14ac:dyDescent="0.25">
      <c r="A1291">
        <v>38</v>
      </c>
      <c r="B1291" t="str" cm="1">
        <f t="array" ref="B1291">_xlfn.IFS(Table1[[#This Row],[Age]]&lt;30,"Under 30",Table1[[#This Row],[Age]]&lt;=40,"30-40",Table1[[#This Row],[Age]]&lt;=50,"41-50",Table1[[#This Row],[Age]]&gt;50,"Over 50")</f>
        <v>30-40</v>
      </c>
      <c r="C1291" t="s">
        <v>43</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t="str" cm="1">
        <f t="array" ref="AH1291">_xlfn.IFS(Table1[[#This Row],[YearsAtCompany]]&lt;=2,"0-2 years",Table1[[#This Row],[YearsAtCompany]]&lt;=5,"3-5 years",Table1[[#This Row],[YearsAtCompany]]&lt;=10,"6-10 years",Table1[[#This Row],[YearsAtCompany]]&gt;10,"10+ years")</f>
        <v>10+ years</v>
      </c>
      <c r="AI1291">
        <v>10</v>
      </c>
      <c r="AJ1291">
        <v>3</v>
      </c>
      <c r="AK1291">
        <v>8</v>
      </c>
      <c r="AL1291" t="str" cm="1">
        <f t="array" ref="AL1291">_xlfn.IFS(Table1[[#This Row],[JobSatisfaction]]=1,"Low",Table1[[#This Row],[JobSatisfaction]]=2,"Medium",Table1[[#This Row],[JobSatisfaction]]=3,"High",Table1[[#This Row],[JobSatisfaction]]=4,"Very High")</f>
        <v>Medium</v>
      </c>
      <c r="AM1291">
        <f>IF(Table1[[#This Row],[Attrition]]="Yes",1,0)</f>
        <v>0</v>
      </c>
    </row>
    <row r="1292" spans="1:39" ht="13.8" x14ac:dyDescent="0.25">
      <c r="A1292">
        <v>34</v>
      </c>
      <c r="B1292" t="str" cm="1">
        <f t="array" ref="B1292">_xlfn.IFS(Table1[[#This Row],[Age]]&lt;30,"Under 30",Table1[[#This Row],[Age]]&lt;=40,"30-40",Table1[[#This Row],[Age]]&lt;=50,"41-50",Table1[[#This Row],[Age]]&gt;50,"Over 50")</f>
        <v>30-40</v>
      </c>
      <c r="C1292" t="s">
        <v>35</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t="str" cm="1">
        <f t="array" ref="AH1292">_xlfn.IFS(Table1[[#This Row],[YearsAtCompany]]&lt;=2,"0-2 years",Table1[[#This Row],[YearsAtCompany]]&lt;=5,"3-5 years",Table1[[#This Row],[YearsAtCompany]]&lt;=10,"6-10 years",Table1[[#This Row],[YearsAtCompany]]&gt;10,"10+ years")</f>
        <v>6-10 years</v>
      </c>
      <c r="AI1292">
        <v>1</v>
      </c>
      <c r="AJ1292">
        <v>0</v>
      </c>
      <c r="AK1292">
        <v>7</v>
      </c>
      <c r="AL1292" t="str" cm="1">
        <f t="array" ref="AL1292">_xlfn.IFS(Table1[[#This Row],[JobSatisfaction]]=1,"Low",Table1[[#This Row],[JobSatisfaction]]=2,"Medium",Table1[[#This Row],[JobSatisfaction]]=3,"High",Table1[[#This Row],[JobSatisfaction]]=4,"Very High")</f>
        <v>Low</v>
      </c>
      <c r="AM1292">
        <f>IF(Table1[[#This Row],[Attrition]]="Yes",1,0)</f>
        <v>1</v>
      </c>
    </row>
    <row r="1293" spans="1:39" ht="13.8" x14ac:dyDescent="0.25">
      <c r="A1293">
        <v>37</v>
      </c>
      <c r="B1293" t="str" cm="1">
        <f t="array" ref="B1293">_xlfn.IFS(Table1[[#This Row],[Age]]&lt;30,"Under 30",Table1[[#This Row],[Age]]&lt;=40,"30-40",Table1[[#This Row],[Age]]&lt;=50,"41-50",Table1[[#This Row],[Age]]&gt;50,"Over 50")</f>
        <v>30-40</v>
      </c>
      <c r="C1293" t="s">
        <v>35</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t="str" cm="1">
        <f t="array" ref="AH1293">_xlfn.IFS(Table1[[#This Row],[YearsAtCompany]]&lt;=2,"0-2 years",Table1[[#This Row],[YearsAtCompany]]&lt;=5,"3-5 years",Table1[[#This Row],[YearsAtCompany]]&lt;=10,"6-10 years",Table1[[#This Row],[YearsAtCompany]]&gt;10,"10+ years")</f>
        <v>6-10 years</v>
      </c>
      <c r="AI1293">
        <v>3</v>
      </c>
      <c r="AJ1293">
        <v>0</v>
      </c>
      <c r="AK1293">
        <v>8</v>
      </c>
      <c r="AL1293" t="str" cm="1">
        <f t="array" ref="AL1293">_xlfn.IFS(Table1[[#This Row],[JobSatisfaction]]=1,"Low",Table1[[#This Row],[JobSatisfaction]]=2,"Medium",Table1[[#This Row],[JobSatisfaction]]=3,"High",Table1[[#This Row],[JobSatisfaction]]=4,"Very High")</f>
        <v>Low</v>
      </c>
      <c r="AM1293">
        <f>IF(Table1[[#This Row],[Attrition]]="Yes",1,0)</f>
        <v>1</v>
      </c>
    </row>
    <row r="1294" spans="1:39" ht="13.8" x14ac:dyDescent="0.25">
      <c r="A1294">
        <v>39</v>
      </c>
      <c r="B1294" t="str" cm="1">
        <f t="array" ref="B1294">_xlfn.IFS(Table1[[#This Row],[Age]]&lt;30,"Under 30",Table1[[#This Row],[Age]]&lt;=40,"30-40",Table1[[#This Row],[Age]]&lt;=50,"41-50",Table1[[#This Row],[Age]]&gt;50,"Over 50")</f>
        <v>30-40</v>
      </c>
      <c r="C1294" t="s">
        <v>43</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t="str" cm="1">
        <f t="array" ref="AH1294">_xlfn.IFS(Table1[[#This Row],[YearsAtCompany]]&lt;=2,"0-2 years",Table1[[#This Row],[YearsAtCompany]]&lt;=5,"3-5 years",Table1[[#This Row],[YearsAtCompany]]&lt;=10,"6-10 years",Table1[[#This Row],[YearsAtCompany]]&gt;10,"10+ years")</f>
        <v>0-2 years</v>
      </c>
      <c r="AI1294">
        <v>1</v>
      </c>
      <c r="AJ1294">
        <v>2</v>
      </c>
      <c r="AK1294">
        <v>2</v>
      </c>
      <c r="AL1294" t="str" cm="1">
        <f t="array" ref="AL1294">_xlfn.IFS(Table1[[#This Row],[JobSatisfaction]]=1,"Low",Table1[[#This Row],[JobSatisfaction]]=2,"Medium",Table1[[#This Row],[JobSatisfaction]]=3,"High",Table1[[#This Row],[JobSatisfaction]]=4,"Very High")</f>
        <v>Very High</v>
      </c>
      <c r="AM1294">
        <f>IF(Table1[[#This Row],[Attrition]]="Yes",1,0)</f>
        <v>0</v>
      </c>
    </row>
    <row r="1295" spans="1:39" ht="13.8" x14ac:dyDescent="0.25">
      <c r="A1295">
        <v>43</v>
      </c>
      <c r="B1295" t="str" cm="1">
        <f t="array" ref="B1295">_xlfn.IFS(Table1[[#This Row],[Age]]&lt;30,"Under 30",Table1[[#This Row],[Age]]&lt;=40,"30-40",Table1[[#This Row],[Age]]&lt;=50,"41-50",Table1[[#This Row],[Age]]&gt;50,"Over 50")</f>
        <v>41-50</v>
      </c>
      <c r="C1295" t="s">
        <v>43</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t="str" cm="1">
        <f t="array" ref="AH1295">_xlfn.IFS(Table1[[#This Row],[YearsAtCompany]]&lt;=2,"0-2 years",Table1[[#This Row],[YearsAtCompany]]&lt;=5,"3-5 years",Table1[[#This Row],[YearsAtCompany]]&lt;=10,"6-10 years",Table1[[#This Row],[YearsAtCompany]]&gt;10,"10+ years")</f>
        <v>3-5 years</v>
      </c>
      <c r="AI1295">
        <v>2</v>
      </c>
      <c r="AJ1295">
        <v>1</v>
      </c>
      <c r="AK1295">
        <v>2</v>
      </c>
      <c r="AL1295" t="str" cm="1">
        <f t="array" ref="AL1295">_xlfn.IFS(Table1[[#This Row],[JobSatisfaction]]=1,"Low",Table1[[#This Row],[JobSatisfaction]]=2,"Medium",Table1[[#This Row],[JobSatisfaction]]=3,"High",Table1[[#This Row],[JobSatisfaction]]=4,"Very High")</f>
        <v>High</v>
      </c>
      <c r="AM1295">
        <f>IF(Table1[[#This Row],[Attrition]]="Yes",1,0)</f>
        <v>0</v>
      </c>
    </row>
    <row r="1296" spans="1:39" ht="13.8" x14ac:dyDescent="0.25">
      <c r="A1296">
        <v>41</v>
      </c>
      <c r="B1296" t="str" cm="1">
        <f t="array" ref="B1296">_xlfn.IFS(Table1[[#This Row],[Age]]&lt;30,"Under 30",Table1[[#This Row],[Age]]&lt;=40,"30-40",Table1[[#This Row],[Age]]&lt;=50,"41-50",Table1[[#This Row],[Age]]&gt;50,"Over 50")</f>
        <v>41-50</v>
      </c>
      <c r="C1296" t="s">
        <v>43</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t="str" cm="1">
        <f t="array" ref="AH1296">_xlfn.IFS(Table1[[#This Row],[YearsAtCompany]]&lt;=2,"0-2 years",Table1[[#This Row],[YearsAtCompany]]&lt;=5,"3-5 years",Table1[[#This Row],[YearsAtCompany]]&lt;=10,"6-10 years",Table1[[#This Row],[YearsAtCompany]]&gt;10,"10+ years")</f>
        <v>3-5 years</v>
      </c>
      <c r="AI1296">
        <v>2</v>
      </c>
      <c r="AJ1296">
        <v>1</v>
      </c>
      <c r="AK1296">
        <v>2</v>
      </c>
      <c r="AL1296" t="str" cm="1">
        <f t="array" ref="AL1296">_xlfn.IFS(Table1[[#This Row],[JobSatisfaction]]=1,"Low",Table1[[#This Row],[JobSatisfaction]]=2,"Medium",Table1[[#This Row],[JobSatisfaction]]=3,"High",Table1[[#This Row],[JobSatisfaction]]=4,"Very High")</f>
        <v>Medium</v>
      </c>
      <c r="AM1296">
        <f>IF(Table1[[#This Row],[Attrition]]="Yes",1,0)</f>
        <v>0</v>
      </c>
    </row>
    <row r="1297" spans="1:39" ht="13.8" x14ac:dyDescent="0.25">
      <c r="A1297">
        <v>41</v>
      </c>
      <c r="B1297" t="str" cm="1">
        <f t="array" ref="B1297">_xlfn.IFS(Table1[[#This Row],[Age]]&lt;30,"Under 30",Table1[[#This Row],[Age]]&lt;=40,"30-40",Table1[[#This Row],[Age]]&lt;=50,"41-50",Table1[[#This Row],[Age]]&gt;50,"Over 50")</f>
        <v>41-50</v>
      </c>
      <c r="C1297" t="s">
        <v>43</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t="str" cm="1">
        <f t="array" ref="AH1297">_xlfn.IFS(Table1[[#This Row],[YearsAtCompany]]&lt;=2,"0-2 years",Table1[[#This Row],[YearsAtCompany]]&lt;=5,"3-5 years",Table1[[#This Row],[YearsAtCompany]]&lt;=10,"6-10 years",Table1[[#This Row],[YearsAtCompany]]&gt;10,"10+ years")</f>
        <v>10+ years</v>
      </c>
      <c r="AI1297">
        <v>14</v>
      </c>
      <c r="AJ1297">
        <v>13</v>
      </c>
      <c r="AK1297">
        <v>5</v>
      </c>
      <c r="AL1297" t="str" cm="1">
        <f t="array" ref="AL1297">_xlfn.IFS(Table1[[#This Row],[JobSatisfaction]]=1,"Low",Table1[[#This Row],[JobSatisfaction]]=2,"Medium",Table1[[#This Row],[JobSatisfaction]]=3,"High",Table1[[#This Row],[JobSatisfaction]]=4,"Very High")</f>
        <v>High</v>
      </c>
      <c r="AM1297">
        <f>IF(Table1[[#This Row],[Attrition]]="Yes",1,0)</f>
        <v>0</v>
      </c>
    </row>
    <row r="1298" spans="1:39" ht="13.8" x14ac:dyDescent="0.25">
      <c r="A1298">
        <v>30</v>
      </c>
      <c r="B1298" t="str" cm="1">
        <f t="array" ref="B1298">_xlfn.IFS(Table1[[#This Row],[Age]]&lt;30,"Under 30",Table1[[#This Row],[Age]]&lt;=40,"30-40",Table1[[#This Row],[Age]]&lt;=50,"41-50",Table1[[#This Row],[Age]]&gt;50,"Over 50")</f>
        <v>30-40</v>
      </c>
      <c r="C1298" t="s">
        <v>43</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t="str" cm="1">
        <f t="array" ref="AH1298">_xlfn.IFS(Table1[[#This Row],[YearsAtCompany]]&lt;=2,"0-2 years",Table1[[#This Row],[YearsAtCompany]]&lt;=5,"3-5 years",Table1[[#This Row],[YearsAtCompany]]&lt;=10,"6-10 years",Table1[[#This Row],[YearsAtCompany]]&gt;10,"10+ years")</f>
        <v>6-10 years</v>
      </c>
      <c r="AI1298">
        <v>7</v>
      </c>
      <c r="AJ1298">
        <v>0</v>
      </c>
      <c r="AK1298">
        <v>2</v>
      </c>
      <c r="AL1298" t="str" cm="1">
        <f t="array" ref="AL1298">_xlfn.IFS(Table1[[#This Row],[JobSatisfaction]]=1,"Low",Table1[[#This Row],[JobSatisfaction]]=2,"Medium",Table1[[#This Row],[JobSatisfaction]]=3,"High",Table1[[#This Row],[JobSatisfaction]]=4,"Very High")</f>
        <v>High</v>
      </c>
      <c r="AM1298">
        <f>IF(Table1[[#This Row],[Attrition]]="Yes",1,0)</f>
        <v>0</v>
      </c>
    </row>
    <row r="1299" spans="1:39" ht="13.8" x14ac:dyDescent="0.25">
      <c r="A1299">
        <v>26</v>
      </c>
      <c r="B1299" t="str" cm="1">
        <f t="array" ref="B1299">_xlfn.IFS(Table1[[#This Row],[Age]]&lt;30,"Under 30",Table1[[#This Row],[Age]]&lt;=40,"30-40",Table1[[#This Row],[Age]]&lt;=50,"41-50",Table1[[#This Row],[Age]]&gt;50,"Over 50")</f>
        <v>Under 30</v>
      </c>
      <c r="C1299" t="s">
        <v>35</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t="str" cm="1">
        <f t="array" ref="AH1299">_xlfn.IFS(Table1[[#This Row],[YearsAtCompany]]&lt;=2,"0-2 years",Table1[[#This Row],[YearsAtCompany]]&lt;=5,"3-5 years",Table1[[#This Row],[YearsAtCompany]]&lt;=10,"6-10 years",Table1[[#This Row],[YearsAtCompany]]&gt;10,"10+ years")</f>
        <v>3-5 years</v>
      </c>
      <c r="AI1299">
        <v>1</v>
      </c>
      <c r="AJ1299">
        <v>1</v>
      </c>
      <c r="AK1299">
        <v>4</v>
      </c>
      <c r="AL1299" t="str" cm="1">
        <f t="array" ref="AL1299">_xlfn.IFS(Table1[[#This Row],[JobSatisfaction]]=1,"Low",Table1[[#This Row],[JobSatisfaction]]=2,"Medium",Table1[[#This Row],[JobSatisfaction]]=3,"High",Table1[[#This Row],[JobSatisfaction]]=4,"Very High")</f>
        <v>Medium</v>
      </c>
      <c r="AM1299">
        <f>IF(Table1[[#This Row],[Attrition]]="Yes",1,0)</f>
        <v>1</v>
      </c>
    </row>
    <row r="1300" spans="1:39" ht="13.8" x14ac:dyDescent="0.25">
      <c r="A1300">
        <v>46</v>
      </c>
      <c r="B1300" t="str" cm="1">
        <f t="array" ref="B1300">_xlfn.IFS(Table1[[#This Row],[Age]]&lt;30,"Under 30",Table1[[#This Row],[Age]]&lt;=40,"30-40",Table1[[#This Row],[Age]]&lt;=50,"41-50",Table1[[#This Row],[Age]]&gt;50,"Over 50")</f>
        <v>41-50</v>
      </c>
      <c r="C1300" t="s">
        <v>35</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t="str" cm="1">
        <f t="array" ref="AH1300">_xlfn.IFS(Table1[[#This Row],[YearsAtCompany]]&lt;=2,"0-2 years",Table1[[#This Row],[YearsAtCompany]]&lt;=5,"3-5 years",Table1[[#This Row],[YearsAtCompany]]&lt;=10,"6-10 years",Table1[[#This Row],[YearsAtCompany]]&gt;10,"10+ years")</f>
        <v>6-10 years</v>
      </c>
      <c r="AI1300">
        <v>7</v>
      </c>
      <c r="AJ1300">
        <v>3</v>
      </c>
      <c r="AK1300">
        <v>7</v>
      </c>
      <c r="AL1300" t="str" cm="1">
        <f t="array" ref="AL1300">_xlfn.IFS(Table1[[#This Row],[JobSatisfaction]]=1,"Low",Table1[[#This Row],[JobSatisfaction]]=2,"Medium",Table1[[#This Row],[JobSatisfaction]]=3,"High",Table1[[#This Row],[JobSatisfaction]]=4,"Very High")</f>
        <v>Medium</v>
      </c>
      <c r="AM1300">
        <f>IF(Table1[[#This Row],[Attrition]]="Yes",1,0)</f>
        <v>1</v>
      </c>
    </row>
    <row r="1301" spans="1:39" ht="13.8" x14ac:dyDescent="0.25">
      <c r="A1301">
        <v>40</v>
      </c>
      <c r="B1301" t="str" cm="1">
        <f t="array" ref="B1301">_xlfn.IFS(Table1[[#This Row],[Age]]&lt;30,"Under 30",Table1[[#This Row],[Age]]&lt;=40,"30-40",Table1[[#This Row],[Age]]&lt;=50,"41-50",Table1[[#This Row],[Age]]&gt;50,"Over 50")</f>
        <v>30-40</v>
      </c>
      <c r="C1301" t="s">
        <v>43</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t="str" cm="1">
        <f t="array" ref="AH1301">_xlfn.IFS(Table1[[#This Row],[YearsAtCompany]]&lt;=2,"0-2 years",Table1[[#This Row],[YearsAtCompany]]&lt;=5,"3-5 years",Table1[[#This Row],[YearsAtCompany]]&lt;=10,"6-10 years",Table1[[#This Row],[YearsAtCompany]]&gt;10,"10+ years")</f>
        <v>3-5 years</v>
      </c>
      <c r="AI1301">
        <v>3</v>
      </c>
      <c r="AJ1301">
        <v>0</v>
      </c>
      <c r="AK1301">
        <v>3</v>
      </c>
      <c r="AL1301" t="str" cm="1">
        <f t="array" ref="AL1301">_xlfn.IFS(Table1[[#This Row],[JobSatisfaction]]=1,"Low",Table1[[#This Row],[JobSatisfaction]]=2,"Medium",Table1[[#This Row],[JobSatisfaction]]=3,"High",Table1[[#This Row],[JobSatisfaction]]=4,"Very High")</f>
        <v>Very High</v>
      </c>
      <c r="AM1301">
        <f>IF(Table1[[#This Row],[Attrition]]="Yes",1,0)</f>
        <v>0</v>
      </c>
    </row>
    <row r="1302" spans="1:39" ht="13.8" x14ac:dyDescent="0.25">
      <c r="A1302">
        <v>34</v>
      </c>
      <c r="B1302" t="str" cm="1">
        <f t="array" ref="B1302">_xlfn.IFS(Table1[[#This Row],[Age]]&lt;30,"Under 30",Table1[[#This Row],[Age]]&lt;=40,"30-40",Table1[[#This Row],[Age]]&lt;=50,"41-50",Table1[[#This Row],[Age]]&gt;50,"Over 50")</f>
        <v>30-40</v>
      </c>
      <c r="C1302" t="s">
        <v>43</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t="str" cm="1">
        <f t="array" ref="AH1302">_xlfn.IFS(Table1[[#This Row],[YearsAtCompany]]&lt;=2,"0-2 years",Table1[[#This Row],[YearsAtCompany]]&lt;=5,"3-5 years",Table1[[#This Row],[YearsAtCompany]]&lt;=10,"6-10 years",Table1[[#This Row],[YearsAtCompany]]&gt;10,"10+ years")</f>
        <v>6-10 years</v>
      </c>
      <c r="AI1302">
        <v>8</v>
      </c>
      <c r="AJ1302">
        <v>4</v>
      </c>
      <c r="AK1302">
        <v>8</v>
      </c>
      <c r="AL1302" t="str" cm="1">
        <f t="array" ref="AL1302">_xlfn.IFS(Table1[[#This Row],[JobSatisfaction]]=1,"Low",Table1[[#This Row],[JobSatisfaction]]=2,"Medium",Table1[[#This Row],[JobSatisfaction]]=3,"High",Table1[[#This Row],[JobSatisfaction]]=4,"Very High")</f>
        <v>High</v>
      </c>
      <c r="AM1302">
        <f>IF(Table1[[#This Row],[Attrition]]="Yes",1,0)</f>
        <v>0</v>
      </c>
    </row>
    <row r="1303" spans="1:39" ht="13.8" x14ac:dyDescent="0.25">
      <c r="A1303">
        <v>58</v>
      </c>
      <c r="B1303" t="str" cm="1">
        <f t="array" ref="B1303">_xlfn.IFS(Table1[[#This Row],[Age]]&lt;30,"Under 30",Table1[[#This Row],[Age]]&lt;=40,"30-40",Table1[[#This Row],[Age]]&lt;=50,"41-50",Table1[[#This Row],[Age]]&gt;50,"Over 50")</f>
        <v>Over 50</v>
      </c>
      <c r="C1303" t="s">
        <v>43</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t="str" cm="1">
        <f t="array" ref="AH1303">_xlfn.IFS(Table1[[#This Row],[YearsAtCompany]]&lt;=2,"0-2 years",Table1[[#This Row],[YearsAtCompany]]&lt;=5,"3-5 years",Table1[[#This Row],[YearsAtCompany]]&lt;=10,"6-10 years",Table1[[#This Row],[YearsAtCompany]]&gt;10,"10+ years")</f>
        <v>10+ years</v>
      </c>
      <c r="AI1303">
        <v>9</v>
      </c>
      <c r="AJ1303">
        <v>14</v>
      </c>
      <c r="AK1303">
        <v>14</v>
      </c>
      <c r="AL1303" t="str" cm="1">
        <f t="array" ref="AL1303">_xlfn.IFS(Table1[[#This Row],[JobSatisfaction]]=1,"Low",Table1[[#This Row],[JobSatisfaction]]=2,"Medium",Table1[[#This Row],[JobSatisfaction]]=3,"High",Table1[[#This Row],[JobSatisfaction]]=4,"Very High")</f>
        <v>Medium</v>
      </c>
      <c r="AM1303">
        <f>IF(Table1[[#This Row],[Attrition]]="Yes",1,0)</f>
        <v>0</v>
      </c>
    </row>
    <row r="1304" spans="1:39" ht="13.8" x14ac:dyDescent="0.25">
      <c r="A1304">
        <v>35</v>
      </c>
      <c r="B1304" t="str" cm="1">
        <f t="array" ref="B1304">_xlfn.IFS(Table1[[#This Row],[Age]]&lt;30,"Under 30",Table1[[#This Row],[Age]]&lt;=40,"30-40",Table1[[#This Row],[Age]]&lt;=50,"41-50",Table1[[#This Row],[Age]]&gt;50,"Over 50")</f>
        <v>30-40</v>
      </c>
      <c r="C1304" t="s">
        <v>43</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t="str" cm="1">
        <f t="array" ref="AH1304">_xlfn.IFS(Table1[[#This Row],[YearsAtCompany]]&lt;=2,"0-2 years",Table1[[#This Row],[YearsAtCompany]]&lt;=5,"3-5 years",Table1[[#This Row],[YearsAtCompany]]&lt;=10,"6-10 years",Table1[[#This Row],[YearsAtCompany]]&gt;10,"10+ years")</f>
        <v>3-5 years</v>
      </c>
      <c r="AI1304">
        <v>4</v>
      </c>
      <c r="AJ1304">
        <v>0</v>
      </c>
      <c r="AK1304">
        <v>3</v>
      </c>
      <c r="AL1304" t="str" cm="1">
        <f t="array" ref="AL1304">_xlfn.IFS(Table1[[#This Row],[JobSatisfaction]]=1,"Low",Table1[[#This Row],[JobSatisfaction]]=2,"Medium",Table1[[#This Row],[JobSatisfaction]]=3,"High",Table1[[#This Row],[JobSatisfaction]]=4,"Very High")</f>
        <v>High</v>
      </c>
      <c r="AM1304">
        <f>IF(Table1[[#This Row],[Attrition]]="Yes",1,0)</f>
        <v>0</v>
      </c>
    </row>
    <row r="1305" spans="1:39" ht="13.8" x14ac:dyDescent="0.25">
      <c r="A1305">
        <v>47</v>
      </c>
      <c r="B1305" t="str" cm="1">
        <f t="array" ref="B1305">_xlfn.IFS(Table1[[#This Row],[Age]]&lt;30,"Under 30",Table1[[#This Row],[Age]]&lt;=40,"30-40",Table1[[#This Row],[Age]]&lt;=50,"41-50",Table1[[#This Row],[Age]]&gt;50,"Over 50")</f>
        <v>41-50</v>
      </c>
      <c r="C1305" t="s">
        <v>43</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t="str" cm="1">
        <f t="array" ref="AH1305">_xlfn.IFS(Table1[[#This Row],[YearsAtCompany]]&lt;=2,"0-2 years",Table1[[#This Row],[YearsAtCompany]]&lt;=5,"3-5 years",Table1[[#This Row],[YearsAtCompany]]&lt;=10,"6-10 years",Table1[[#This Row],[YearsAtCompany]]&gt;10,"10+ years")</f>
        <v>10+ years</v>
      </c>
      <c r="AI1305">
        <v>11</v>
      </c>
      <c r="AJ1305">
        <v>14</v>
      </c>
      <c r="AK1305">
        <v>10</v>
      </c>
      <c r="AL1305" t="str" cm="1">
        <f t="array" ref="AL1305">_xlfn.IFS(Table1[[#This Row],[JobSatisfaction]]=1,"Low",Table1[[#This Row],[JobSatisfaction]]=2,"Medium",Table1[[#This Row],[JobSatisfaction]]=3,"High",Table1[[#This Row],[JobSatisfaction]]=4,"Very High")</f>
        <v>Medium</v>
      </c>
      <c r="AM1305">
        <f>IF(Table1[[#This Row],[Attrition]]="Yes",1,0)</f>
        <v>0</v>
      </c>
    </row>
    <row r="1306" spans="1:39" ht="13.8" x14ac:dyDescent="0.25">
      <c r="A1306">
        <v>40</v>
      </c>
      <c r="B1306" t="str" cm="1">
        <f t="array" ref="B1306">_xlfn.IFS(Table1[[#This Row],[Age]]&lt;30,"Under 30",Table1[[#This Row],[Age]]&lt;=40,"30-40",Table1[[#This Row],[Age]]&lt;=50,"41-50",Table1[[#This Row],[Age]]&gt;50,"Over 50")</f>
        <v>30-40</v>
      </c>
      <c r="C1306" t="s">
        <v>43</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t="str" cm="1">
        <f t="array" ref="AH1306">_xlfn.IFS(Table1[[#This Row],[YearsAtCompany]]&lt;=2,"0-2 years",Table1[[#This Row],[YearsAtCompany]]&lt;=5,"3-5 years",Table1[[#This Row],[YearsAtCompany]]&lt;=10,"6-10 years",Table1[[#This Row],[YearsAtCompany]]&gt;10,"10+ years")</f>
        <v>6-10 years</v>
      </c>
      <c r="AI1306">
        <v>4</v>
      </c>
      <c r="AJ1306">
        <v>7</v>
      </c>
      <c r="AK1306">
        <v>7</v>
      </c>
      <c r="AL1306" t="str" cm="1">
        <f t="array" ref="AL1306">_xlfn.IFS(Table1[[#This Row],[JobSatisfaction]]=1,"Low",Table1[[#This Row],[JobSatisfaction]]=2,"Medium",Table1[[#This Row],[JobSatisfaction]]=3,"High",Table1[[#This Row],[JobSatisfaction]]=4,"Very High")</f>
        <v>Low</v>
      </c>
      <c r="AM1306">
        <f>IF(Table1[[#This Row],[Attrition]]="Yes",1,0)</f>
        <v>0</v>
      </c>
    </row>
    <row r="1307" spans="1:39" ht="13.8" x14ac:dyDescent="0.25">
      <c r="A1307">
        <v>54</v>
      </c>
      <c r="B1307" t="str" cm="1">
        <f t="array" ref="B1307">_xlfn.IFS(Table1[[#This Row],[Age]]&lt;30,"Under 30",Table1[[#This Row],[Age]]&lt;=40,"30-40",Table1[[#This Row],[Age]]&lt;=50,"41-50",Table1[[#This Row],[Age]]&gt;50,"Over 50")</f>
        <v>Over 50</v>
      </c>
      <c r="C1307" t="s">
        <v>43</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t="str" cm="1">
        <f t="array" ref="AH1307">_xlfn.IFS(Table1[[#This Row],[YearsAtCompany]]&lt;=2,"0-2 years",Table1[[#This Row],[YearsAtCompany]]&lt;=5,"3-5 years",Table1[[#This Row],[YearsAtCompany]]&lt;=10,"6-10 years",Table1[[#This Row],[YearsAtCompany]]&gt;10,"10+ years")</f>
        <v>6-10 years</v>
      </c>
      <c r="AI1307">
        <v>1</v>
      </c>
      <c r="AJ1307">
        <v>1</v>
      </c>
      <c r="AK1307">
        <v>7</v>
      </c>
      <c r="AL1307" t="str" cm="1">
        <f t="array" ref="AL1307">_xlfn.IFS(Table1[[#This Row],[JobSatisfaction]]=1,"Low",Table1[[#This Row],[JobSatisfaction]]=2,"Medium",Table1[[#This Row],[JobSatisfaction]]=3,"High",Table1[[#This Row],[JobSatisfaction]]=4,"Very High")</f>
        <v>Very High</v>
      </c>
      <c r="AM1307">
        <f>IF(Table1[[#This Row],[Attrition]]="Yes",1,0)</f>
        <v>0</v>
      </c>
    </row>
    <row r="1308" spans="1:39" ht="13.8" x14ac:dyDescent="0.25">
      <c r="A1308">
        <v>31</v>
      </c>
      <c r="B1308" t="str" cm="1">
        <f t="array" ref="B1308">_xlfn.IFS(Table1[[#This Row],[Age]]&lt;30,"Under 30",Table1[[#This Row],[Age]]&lt;=40,"30-40",Table1[[#This Row],[Age]]&lt;=50,"41-50",Table1[[#This Row],[Age]]&gt;50,"Over 50")</f>
        <v>30-40</v>
      </c>
      <c r="C1308" t="s">
        <v>43</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t="str" cm="1">
        <f t="array" ref="AH1308">_xlfn.IFS(Table1[[#This Row],[YearsAtCompany]]&lt;=2,"0-2 years",Table1[[#This Row],[YearsAtCompany]]&lt;=5,"3-5 years",Table1[[#This Row],[YearsAtCompany]]&lt;=10,"6-10 years",Table1[[#This Row],[YearsAtCompany]]&gt;10,"10+ years")</f>
        <v>3-5 years</v>
      </c>
      <c r="AI1308">
        <v>2</v>
      </c>
      <c r="AJ1308">
        <v>2</v>
      </c>
      <c r="AK1308">
        <v>2</v>
      </c>
      <c r="AL1308" t="str" cm="1">
        <f t="array" ref="AL1308">_xlfn.IFS(Table1[[#This Row],[JobSatisfaction]]=1,"Low",Table1[[#This Row],[JobSatisfaction]]=2,"Medium",Table1[[#This Row],[JobSatisfaction]]=3,"High",Table1[[#This Row],[JobSatisfaction]]=4,"Very High")</f>
        <v>Low</v>
      </c>
      <c r="AM1308">
        <f>IF(Table1[[#This Row],[Attrition]]="Yes",1,0)</f>
        <v>0</v>
      </c>
    </row>
    <row r="1309" spans="1:39" ht="13.8" x14ac:dyDescent="0.25">
      <c r="A1309">
        <v>28</v>
      </c>
      <c r="B1309" t="str" cm="1">
        <f t="array" ref="B1309">_xlfn.IFS(Table1[[#This Row],[Age]]&lt;30,"Under 30",Table1[[#This Row],[Age]]&lt;=40,"30-40",Table1[[#This Row],[Age]]&lt;=50,"41-50",Table1[[#This Row],[Age]]&gt;50,"Over 50")</f>
        <v>Under 30</v>
      </c>
      <c r="C1309" t="s">
        <v>43</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t="str" cm="1">
        <f t="array" ref="AH1309">_xlfn.IFS(Table1[[#This Row],[YearsAtCompany]]&lt;=2,"0-2 years",Table1[[#This Row],[YearsAtCompany]]&lt;=5,"3-5 years",Table1[[#This Row],[YearsAtCompany]]&lt;=10,"6-10 years",Table1[[#This Row],[YearsAtCompany]]&gt;10,"10+ years")</f>
        <v>3-5 years</v>
      </c>
      <c r="AI1309">
        <v>2</v>
      </c>
      <c r="AJ1309">
        <v>1</v>
      </c>
      <c r="AK1309">
        <v>2</v>
      </c>
      <c r="AL1309" t="str" cm="1">
        <f t="array" ref="AL1309">_xlfn.IFS(Table1[[#This Row],[JobSatisfaction]]=1,"Low",Table1[[#This Row],[JobSatisfaction]]=2,"Medium",Table1[[#This Row],[JobSatisfaction]]=3,"High",Table1[[#This Row],[JobSatisfaction]]=4,"Very High")</f>
        <v>Low</v>
      </c>
      <c r="AM1309">
        <f>IF(Table1[[#This Row],[Attrition]]="Yes",1,0)</f>
        <v>0</v>
      </c>
    </row>
    <row r="1310" spans="1:39" ht="13.8" x14ac:dyDescent="0.25">
      <c r="A1310">
        <v>38</v>
      </c>
      <c r="B1310" t="str" cm="1">
        <f t="array" ref="B1310">_xlfn.IFS(Table1[[#This Row],[Age]]&lt;30,"Under 30",Table1[[#This Row],[Age]]&lt;=40,"30-40",Table1[[#This Row],[Age]]&lt;=50,"41-50",Table1[[#This Row],[Age]]&gt;50,"Over 50")</f>
        <v>30-40</v>
      </c>
      <c r="C1310" t="s">
        <v>43</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t="str" cm="1">
        <f t="array" ref="AH1310">_xlfn.IFS(Table1[[#This Row],[YearsAtCompany]]&lt;=2,"0-2 years",Table1[[#This Row],[YearsAtCompany]]&lt;=5,"3-5 years",Table1[[#This Row],[YearsAtCompany]]&lt;=10,"6-10 years",Table1[[#This Row],[YearsAtCompany]]&gt;10,"10+ years")</f>
        <v>3-5 years</v>
      </c>
      <c r="AI1310">
        <v>2</v>
      </c>
      <c r="AJ1310">
        <v>0</v>
      </c>
      <c r="AK1310">
        <v>3</v>
      </c>
      <c r="AL1310" t="str" cm="1">
        <f t="array" ref="AL1310">_xlfn.IFS(Table1[[#This Row],[JobSatisfaction]]=1,"Low",Table1[[#This Row],[JobSatisfaction]]=2,"Medium",Table1[[#This Row],[JobSatisfaction]]=3,"High",Table1[[#This Row],[JobSatisfaction]]=4,"Very High")</f>
        <v>Very High</v>
      </c>
      <c r="AM1310">
        <f>IF(Table1[[#This Row],[Attrition]]="Yes",1,0)</f>
        <v>0</v>
      </c>
    </row>
    <row r="1311" spans="1:39" ht="13.8" x14ac:dyDescent="0.25">
      <c r="A1311">
        <v>26</v>
      </c>
      <c r="B1311" t="str" cm="1">
        <f t="array" ref="B1311">_xlfn.IFS(Table1[[#This Row],[Age]]&lt;30,"Under 30",Table1[[#This Row],[Age]]&lt;=40,"30-40",Table1[[#This Row],[Age]]&lt;=50,"41-50",Table1[[#This Row],[Age]]&gt;50,"Over 50")</f>
        <v>Under 30</v>
      </c>
      <c r="C1311" t="s">
        <v>43</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t="str" cm="1">
        <f t="array" ref="AH1311">_xlfn.IFS(Table1[[#This Row],[YearsAtCompany]]&lt;=2,"0-2 years",Table1[[#This Row],[YearsAtCompany]]&lt;=5,"3-5 years",Table1[[#This Row],[YearsAtCompany]]&lt;=10,"6-10 years",Table1[[#This Row],[YearsAtCompany]]&gt;10,"10+ years")</f>
        <v>3-5 years</v>
      </c>
      <c r="AI1311">
        <v>3</v>
      </c>
      <c r="AJ1311">
        <v>1</v>
      </c>
      <c r="AK1311">
        <v>2</v>
      </c>
      <c r="AL1311" t="str" cm="1">
        <f t="array" ref="AL1311">_xlfn.IFS(Table1[[#This Row],[JobSatisfaction]]=1,"Low",Table1[[#This Row],[JobSatisfaction]]=2,"Medium",Table1[[#This Row],[JobSatisfaction]]=3,"High",Table1[[#This Row],[JobSatisfaction]]=4,"Very High")</f>
        <v>Very High</v>
      </c>
      <c r="AM1311">
        <f>IF(Table1[[#This Row],[Attrition]]="Yes",1,0)</f>
        <v>0</v>
      </c>
    </row>
    <row r="1312" spans="1:39" ht="13.8" x14ac:dyDescent="0.25">
      <c r="A1312">
        <v>58</v>
      </c>
      <c r="B1312" t="str" cm="1">
        <f t="array" ref="B1312">_xlfn.IFS(Table1[[#This Row],[Age]]&lt;30,"Under 30",Table1[[#This Row],[Age]]&lt;=40,"30-40",Table1[[#This Row],[Age]]&lt;=50,"41-50",Table1[[#This Row],[Age]]&gt;50,"Over 50")</f>
        <v>Over 50</v>
      </c>
      <c r="C1312" t="s">
        <v>43</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t="str" cm="1">
        <f t="array" ref="AH1312">_xlfn.IFS(Table1[[#This Row],[YearsAtCompany]]&lt;=2,"0-2 years",Table1[[#This Row],[YearsAtCompany]]&lt;=5,"3-5 years",Table1[[#This Row],[YearsAtCompany]]&lt;=10,"6-10 years",Table1[[#This Row],[YearsAtCompany]]&gt;10,"10+ years")</f>
        <v>0-2 years</v>
      </c>
      <c r="AI1312">
        <v>2</v>
      </c>
      <c r="AJ1312">
        <v>2</v>
      </c>
      <c r="AK1312">
        <v>2</v>
      </c>
      <c r="AL1312" t="str" cm="1">
        <f t="array" ref="AL1312">_xlfn.IFS(Table1[[#This Row],[JobSatisfaction]]=1,"Low",Table1[[#This Row],[JobSatisfaction]]=2,"Medium",Table1[[#This Row],[JobSatisfaction]]=3,"High",Table1[[#This Row],[JobSatisfaction]]=4,"Very High")</f>
        <v>High</v>
      </c>
      <c r="AM1312">
        <f>IF(Table1[[#This Row],[Attrition]]="Yes",1,0)</f>
        <v>0</v>
      </c>
    </row>
    <row r="1313" spans="1:39" ht="13.8" x14ac:dyDescent="0.25">
      <c r="A1313">
        <v>18</v>
      </c>
      <c r="B1313" t="str" cm="1">
        <f t="array" ref="B1313">_xlfn.IFS(Table1[[#This Row],[Age]]&lt;30,"Under 30",Table1[[#This Row],[Age]]&lt;=40,"30-40",Table1[[#This Row],[Age]]&lt;=50,"41-50",Table1[[#This Row],[Age]]&gt;50,"Over 50")</f>
        <v>Under 30</v>
      </c>
      <c r="C1313" t="s">
        <v>43</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t="str" cm="1">
        <f t="array" ref="AH1313">_xlfn.IFS(Table1[[#This Row],[YearsAtCompany]]&lt;=2,"0-2 years",Table1[[#This Row],[YearsAtCompany]]&lt;=5,"3-5 years",Table1[[#This Row],[YearsAtCompany]]&lt;=10,"6-10 years",Table1[[#This Row],[YearsAtCompany]]&gt;10,"10+ years")</f>
        <v>0-2 years</v>
      </c>
      <c r="AI1313">
        <v>0</v>
      </c>
      <c r="AJ1313">
        <v>0</v>
      </c>
      <c r="AK1313">
        <v>0</v>
      </c>
      <c r="AL1313" t="str" cm="1">
        <f t="array" ref="AL1313">_xlfn.IFS(Table1[[#This Row],[JobSatisfaction]]=1,"Low",Table1[[#This Row],[JobSatisfaction]]=2,"Medium",Table1[[#This Row],[JobSatisfaction]]=3,"High",Table1[[#This Row],[JobSatisfaction]]=4,"Very High")</f>
        <v>High</v>
      </c>
      <c r="AM1313">
        <f>IF(Table1[[#This Row],[Attrition]]="Yes",1,0)</f>
        <v>0</v>
      </c>
    </row>
    <row r="1314" spans="1:39" ht="13.8" x14ac:dyDescent="0.25">
      <c r="A1314">
        <v>31</v>
      </c>
      <c r="B1314" t="str" cm="1">
        <f t="array" ref="B1314">_xlfn.IFS(Table1[[#This Row],[Age]]&lt;30,"Under 30",Table1[[#This Row],[Age]]&lt;=40,"30-40",Table1[[#This Row],[Age]]&lt;=50,"41-50",Table1[[#This Row],[Age]]&gt;50,"Over 50")</f>
        <v>30-40</v>
      </c>
      <c r="C1314" t="s">
        <v>35</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t="str" cm="1">
        <f t="array" ref="AH1314">_xlfn.IFS(Table1[[#This Row],[YearsAtCompany]]&lt;=2,"0-2 years",Table1[[#This Row],[YearsAtCompany]]&lt;=5,"3-5 years",Table1[[#This Row],[YearsAtCompany]]&lt;=10,"6-10 years",Table1[[#This Row],[YearsAtCompany]]&gt;10,"10+ years")</f>
        <v>0-2 years</v>
      </c>
      <c r="AI1314">
        <v>0</v>
      </c>
      <c r="AJ1314">
        <v>0</v>
      </c>
      <c r="AK1314">
        <v>0</v>
      </c>
      <c r="AL1314" t="str" cm="1">
        <f t="array" ref="AL1314">_xlfn.IFS(Table1[[#This Row],[JobSatisfaction]]=1,"Low",Table1[[#This Row],[JobSatisfaction]]=2,"Medium",Table1[[#This Row],[JobSatisfaction]]=3,"High",Table1[[#This Row],[JobSatisfaction]]=4,"Very High")</f>
        <v>Low</v>
      </c>
      <c r="AM1314">
        <f>IF(Table1[[#This Row],[Attrition]]="Yes",1,0)</f>
        <v>1</v>
      </c>
    </row>
    <row r="1315" spans="1:39" ht="13.8" x14ac:dyDescent="0.25">
      <c r="A1315">
        <v>29</v>
      </c>
      <c r="B1315" t="str" cm="1">
        <f t="array" ref="B1315">_xlfn.IFS(Table1[[#This Row],[Age]]&lt;30,"Under 30",Table1[[#This Row],[Age]]&lt;=40,"30-40",Table1[[#This Row],[Age]]&lt;=50,"41-50",Table1[[#This Row],[Age]]&gt;50,"Over 50")</f>
        <v>Under 30</v>
      </c>
      <c r="C1315" t="s">
        <v>35</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t="str" cm="1">
        <f t="array" ref="AH1315">_xlfn.IFS(Table1[[#This Row],[YearsAtCompany]]&lt;=2,"0-2 years",Table1[[#This Row],[YearsAtCompany]]&lt;=5,"3-5 years",Table1[[#This Row],[YearsAtCompany]]&lt;=10,"6-10 years",Table1[[#This Row],[YearsAtCompany]]&gt;10,"10+ years")</f>
        <v>0-2 years</v>
      </c>
      <c r="AI1315">
        <v>2</v>
      </c>
      <c r="AJ1315">
        <v>2</v>
      </c>
      <c r="AK1315">
        <v>0</v>
      </c>
      <c r="AL1315" t="str" cm="1">
        <f t="array" ref="AL1315">_xlfn.IFS(Table1[[#This Row],[JobSatisfaction]]=1,"Low",Table1[[#This Row],[JobSatisfaction]]=2,"Medium",Table1[[#This Row],[JobSatisfaction]]=3,"High",Table1[[#This Row],[JobSatisfaction]]=4,"Very High")</f>
        <v>Low</v>
      </c>
      <c r="AM1315">
        <f>IF(Table1[[#This Row],[Attrition]]="Yes",1,0)</f>
        <v>1</v>
      </c>
    </row>
    <row r="1316" spans="1:39" ht="13.8" x14ac:dyDescent="0.25">
      <c r="A1316">
        <v>45</v>
      </c>
      <c r="B1316" t="str" cm="1">
        <f t="array" ref="B1316">_xlfn.IFS(Table1[[#This Row],[Age]]&lt;30,"Under 30",Table1[[#This Row],[Age]]&lt;=40,"30-40",Table1[[#This Row],[Age]]&lt;=50,"41-50",Table1[[#This Row],[Age]]&gt;50,"Over 50")</f>
        <v>41-50</v>
      </c>
      <c r="C1316" t="s">
        <v>43</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t="str" cm="1">
        <f t="array" ref="AH1316">_xlfn.IFS(Table1[[#This Row],[YearsAtCompany]]&lt;=2,"0-2 years",Table1[[#This Row],[YearsAtCompany]]&lt;=5,"3-5 years",Table1[[#This Row],[YearsAtCompany]]&lt;=10,"6-10 years",Table1[[#This Row],[YearsAtCompany]]&gt;10,"10+ years")</f>
        <v>6-10 years</v>
      </c>
      <c r="AI1316">
        <v>7</v>
      </c>
      <c r="AJ1316">
        <v>5</v>
      </c>
      <c r="AK1316">
        <v>7</v>
      </c>
      <c r="AL1316" t="str" cm="1">
        <f t="array" ref="AL1316">_xlfn.IFS(Table1[[#This Row],[JobSatisfaction]]=1,"Low",Table1[[#This Row],[JobSatisfaction]]=2,"Medium",Table1[[#This Row],[JobSatisfaction]]=3,"High",Table1[[#This Row],[JobSatisfaction]]=4,"Very High")</f>
        <v>High</v>
      </c>
      <c r="AM1316">
        <f>IF(Table1[[#This Row],[Attrition]]="Yes",1,0)</f>
        <v>0</v>
      </c>
    </row>
    <row r="1317" spans="1:39" ht="13.8" x14ac:dyDescent="0.25">
      <c r="A1317">
        <v>36</v>
      </c>
      <c r="B1317" t="str" cm="1">
        <f t="array" ref="B1317">_xlfn.IFS(Table1[[#This Row],[Age]]&lt;30,"Under 30",Table1[[#This Row],[Age]]&lt;=40,"30-40",Table1[[#This Row],[Age]]&lt;=50,"41-50",Table1[[#This Row],[Age]]&gt;50,"Over 50")</f>
        <v>30-40</v>
      </c>
      <c r="C1317" t="s">
        <v>43</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t="str" cm="1">
        <f t="array" ref="AH1317">_xlfn.IFS(Table1[[#This Row],[YearsAtCompany]]&lt;=2,"0-2 years",Table1[[#This Row],[YearsAtCompany]]&lt;=5,"3-5 years",Table1[[#This Row],[YearsAtCompany]]&lt;=10,"6-10 years",Table1[[#This Row],[YearsAtCompany]]&gt;10,"10+ years")</f>
        <v>0-2 years</v>
      </c>
      <c r="AI1317">
        <v>0</v>
      </c>
      <c r="AJ1317">
        <v>0</v>
      </c>
      <c r="AK1317">
        <v>0</v>
      </c>
      <c r="AL1317" t="str" cm="1">
        <f t="array" ref="AL1317">_xlfn.IFS(Table1[[#This Row],[JobSatisfaction]]=1,"Low",Table1[[#This Row],[JobSatisfaction]]=2,"Medium",Table1[[#This Row],[JobSatisfaction]]=3,"High",Table1[[#This Row],[JobSatisfaction]]=4,"Very High")</f>
        <v>Medium</v>
      </c>
      <c r="AM1317">
        <f>IF(Table1[[#This Row],[Attrition]]="Yes",1,0)</f>
        <v>0</v>
      </c>
    </row>
    <row r="1318" spans="1:39" ht="13.8" x14ac:dyDescent="0.25">
      <c r="A1318">
        <v>43</v>
      </c>
      <c r="B1318" t="str" cm="1">
        <f t="array" ref="B1318">_xlfn.IFS(Table1[[#This Row],[Age]]&lt;30,"Under 30",Table1[[#This Row],[Age]]&lt;=40,"30-40",Table1[[#This Row],[Age]]&lt;=50,"41-50",Table1[[#This Row],[Age]]&gt;50,"Over 50")</f>
        <v>41-50</v>
      </c>
      <c r="C1318" t="s">
        <v>43</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t="str" cm="1">
        <f t="array" ref="AH1318">_xlfn.IFS(Table1[[#This Row],[YearsAtCompany]]&lt;=2,"0-2 years",Table1[[#This Row],[YearsAtCompany]]&lt;=5,"3-5 years",Table1[[#This Row],[YearsAtCompany]]&lt;=10,"6-10 years",Table1[[#This Row],[YearsAtCompany]]&gt;10,"10+ years")</f>
        <v>6-10 years</v>
      </c>
      <c r="AI1318">
        <v>7</v>
      </c>
      <c r="AJ1318">
        <v>7</v>
      </c>
      <c r="AK1318">
        <v>7</v>
      </c>
      <c r="AL1318" t="str" cm="1">
        <f t="array" ref="AL1318">_xlfn.IFS(Table1[[#This Row],[JobSatisfaction]]=1,"Low",Table1[[#This Row],[JobSatisfaction]]=2,"Medium",Table1[[#This Row],[JobSatisfaction]]=3,"High",Table1[[#This Row],[JobSatisfaction]]=4,"Very High")</f>
        <v>Very High</v>
      </c>
      <c r="AM1318">
        <f>IF(Table1[[#This Row],[Attrition]]="Yes",1,0)</f>
        <v>0</v>
      </c>
    </row>
    <row r="1319" spans="1:39" ht="13.8" x14ac:dyDescent="0.25">
      <c r="A1319">
        <v>27</v>
      </c>
      <c r="B1319" t="str" cm="1">
        <f t="array" ref="B1319">_xlfn.IFS(Table1[[#This Row],[Age]]&lt;30,"Under 30",Table1[[#This Row],[Age]]&lt;=40,"30-40",Table1[[#This Row],[Age]]&lt;=50,"41-50",Table1[[#This Row],[Age]]&gt;50,"Over 50")</f>
        <v>Under 30</v>
      </c>
      <c r="C1319" t="s">
        <v>43</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t="str" cm="1">
        <f t="array" ref="AH1319">_xlfn.IFS(Table1[[#This Row],[YearsAtCompany]]&lt;=2,"0-2 years",Table1[[#This Row],[YearsAtCompany]]&lt;=5,"3-5 years",Table1[[#This Row],[YearsAtCompany]]&lt;=10,"6-10 years",Table1[[#This Row],[YearsAtCompany]]&gt;10,"10+ years")</f>
        <v>3-5 years</v>
      </c>
      <c r="AI1319">
        <v>4</v>
      </c>
      <c r="AJ1319">
        <v>0</v>
      </c>
      <c r="AK1319">
        <v>2</v>
      </c>
      <c r="AL1319" t="str" cm="1">
        <f t="array" ref="AL1319">_xlfn.IFS(Table1[[#This Row],[JobSatisfaction]]=1,"Low",Table1[[#This Row],[JobSatisfaction]]=2,"Medium",Table1[[#This Row],[JobSatisfaction]]=3,"High",Table1[[#This Row],[JobSatisfaction]]=4,"Very High")</f>
        <v>Very High</v>
      </c>
      <c r="AM1319">
        <f>IF(Table1[[#This Row],[Attrition]]="Yes",1,0)</f>
        <v>0</v>
      </c>
    </row>
    <row r="1320" spans="1:39" ht="13.8" x14ac:dyDescent="0.25">
      <c r="A1320">
        <v>29</v>
      </c>
      <c r="B1320" t="str" cm="1">
        <f t="array" ref="B1320">_xlfn.IFS(Table1[[#This Row],[Age]]&lt;30,"Under 30",Table1[[#This Row],[Age]]&lt;=40,"30-40",Table1[[#This Row],[Age]]&lt;=50,"41-50",Table1[[#This Row],[Age]]&gt;50,"Over 50")</f>
        <v>Under 30</v>
      </c>
      <c r="C1320" t="s">
        <v>43</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t="str" cm="1">
        <f t="array" ref="AH1320">_xlfn.IFS(Table1[[#This Row],[YearsAtCompany]]&lt;=2,"0-2 years",Table1[[#This Row],[YearsAtCompany]]&lt;=5,"3-5 years",Table1[[#This Row],[YearsAtCompany]]&lt;=10,"6-10 years",Table1[[#This Row],[YearsAtCompany]]&gt;10,"10+ years")</f>
        <v>10+ years</v>
      </c>
      <c r="AI1320">
        <v>8</v>
      </c>
      <c r="AJ1320">
        <v>3</v>
      </c>
      <c r="AK1320">
        <v>10</v>
      </c>
      <c r="AL1320" t="str" cm="1">
        <f t="array" ref="AL1320">_xlfn.IFS(Table1[[#This Row],[JobSatisfaction]]=1,"Low",Table1[[#This Row],[JobSatisfaction]]=2,"Medium",Table1[[#This Row],[JobSatisfaction]]=3,"High",Table1[[#This Row],[JobSatisfaction]]=4,"Very High")</f>
        <v>Very High</v>
      </c>
      <c r="AM1320">
        <f>IF(Table1[[#This Row],[Attrition]]="Yes",1,0)</f>
        <v>0</v>
      </c>
    </row>
    <row r="1321" spans="1:39" ht="13.8" x14ac:dyDescent="0.25">
      <c r="A1321">
        <v>32</v>
      </c>
      <c r="B1321" t="str" cm="1">
        <f t="array" ref="B1321">_xlfn.IFS(Table1[[#This Row],[Age]]&lt;30,"Under 30",Table1[[#This Row],[Age]]&lt;=40,"30-40",Table1[[#This Row],[Age]]&lt;=50,"41-50",Table1[[#This Row],[Age]]&gt;50,"Over 50")</f>
        <v>30-40</v>
      </c>
      <c r="C1321" t="s">
        <v>43</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t="str" cm="1">
        <f t="array" ref="AH1321">_xlfn.IFS(Table1[[#This Row],[YearsAtCompany]]&lt;=2,"0-2 years",Table1[[#This Row],[YearsAtCompany]]&lt;=5,"3-5 years",Table1[[#This Row],[YearsAtCompany]]&lt;=10,"6-10 years",Table1[[#This Row],[YearsAtCompany]]&gt;10,"10+ years")</f>
        <v>0-2 years</v>
      </c>
      <c r="AI1321">
        <v>0</v>
      </c>
      <c r="AJ1321">
        <v>0</v>
      </c>
      <c r="AK1321">
        <v>0</v>
      </c>
      <c r="AL1321" t="str" cm="1">
        <f t="array" ref="AL1321">_xlfn.IFS(Table1[[#This Row],[JobSatisfaction]]=1,"Low",Table1[[#This Row],[JobSatisfaction]]=2,"Medium",Table1[[#This Row],[JobSatisfaction]]=3,"High",Table1[[#This Row],[JobSatisfaction]]=4,"Very High")</f>
        <v>Very High</v>
      </c>
      <c r="AM1321">
        <f>IF(Table1[[#This Row],[Attrition]]="Yes",1,0)</f>
        <v>0</v>
      </c>
    </row>
    <row r="1322" spans="1:39" ht="13.8" x14ac:dyDescent="0.25">
      <c r="A1322">
        <v>42</v>
      </c>
      <c r="B1322" t="str" cm="1">
        <f t="array" ref="B1322">_xlfn.IFS(Table1[[#This Row],[Age]]&lt;30,"Under 30",Table1[[#This Row],[Age]]&lt;=40,"30-40",Table1[[#This Row],[Age]]&lt;=50,"41-50",Table1[[#This Row],[Age]]&gt;50,"Over 50")</f>
        <v>41-50</v>
      </c>
      <c r="C1322" t="s">
        <v>43</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t="str" cm="1">
        <f t="array" ref="AH1322">_xlfn.IFS(Table1[[#This Row],[YearsAtCompany]]&lt;=2,"0-2 years",Table1[[#This Row],[YearsAtCompany]]&lt;=5,"3-5 years",Table1[[#This Row],[YearsAtCompany]]&lt;=10,"6-10 years",Table1[[#This Row],[YearsAtCompany]]&gt;10,"10+ years")</f>
        <v>6-10 years</v>
      </c>
      <c r="AI1322">
        <v>3</v>
      </c>
      <c r="AJ1322">
        <v>3</v>
      </c>
      <c r="AK1322">
        <v>3</v>
      </c>
      <c r="AL1322" t="str" cm="1">
        <f t="array" ref="AL1322">_xlfn.IFS(Table1[[#This Row],[JobSatisfaction]]=1,"Low",Table1[[#This Row],[JobSatisfaction]]=2,"Medium",Table1[[#This Row],[JobSatisfaction]]=3,"High",Table1[[#This Row],[JobSatisfaction]]=4,"Very High")</f>
        <v>High</v>
      </c>
      <c r="AM1322">
        <f>IF(Table1[[#This Row],[Attrition]]="Yes",1,0)</f>
        <v>0</v>
      </c>
    </row>
    <row r="1323" spans="1:39" ht="13.8" x14ac:dyDescent="0.25">
      <c r="A1323">
        <v>47</v>
      </c>
      <c r="B1323" t="str" cm="1">
        <f t="array" ref="B1323">_xlfn.IFS(Table1[[#This Row],[Age]]&lt;30,"Under 30",Table1[[#This Row],[Age]]&lt;=40,"30-40",Table1[[#This Row],[Age]]&lt;=50,"41-50",Table1[[#This Row],[Age]]&gt;50,"Over 50")</f>
        <v>41-50</v>
      </c>
      <c r="C1323" t="s">
        <v>43</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t="str" cm="1">
        <f t="array" ref="AH1323">_xlfn.IFS(Table1[[#This Row],[YearsAtCompany]]&lt;=2,"0-2 years",Table1[[#This Row],[YearsAtCompany]]&lt;=5,"3-5 years",Table1[[#This Row],[YearsAtCompany]]&lt;=10,"6-10 years",Table1[[#This Row],[YearsAtCompany]]&gt;10,"10+ years")</f>
        <v>0-2 years</v>
      </c>
      <c r="AI1323">
        <v>2</v>
      </c>
      <c r="AJ1323">
        <v>2</v>
      </c>
      <c r="AK1323">
        <v>0</v>
      </c>
      <c r="AL1323" t="str" cm="1">
        <f t="array" ref="AL1323">_xlfn.IFS(Table1[[#This Row],[JobSatisfaction]]=1,"Low",Table1[[#This Row],[JobSatisfaction]]=2,"Medium",Table1[[#This Row],[JobSatisfaction]]=3,"High",Table1[[#This Row],[JobSatisfaction]]=4,"Very High")</f>
        <v>High</v>
      </c>
      <c r="AM1323">
        <f>IF(Table1[[#This Row],[Attrition]]="Yes",1,0)</f>
        <v>0</v>
      </c>
    </row>
    <row r="1324" spans="1:39" ht="13.8" x14ac:dyDescent="0.25">
      <c r="A1324">
        <v>46</v>
      </c>
      <c r="B1324" t="str" cm="1">
        <f t="array" ref="B1324">_xlfn.IFS(Table1[[#This Row],[Age]]&lt;30,"Under 30",Table1[[#This Row],[Age]]&lt;=40,"30-40",Table1[[#This Row],[Age]]&lt;=50,"41-50",Table1[[#This Row],[Age]]&gt;50,"Over 50")</f>
        <v>41-50</v>
      </c>
      <c r="C1324" t="s">
        <v>43</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t="str" cm="1">
        <f t="array" ref="AH1324">_xlfn.IFS(Table1[[#This Row],[YearsAtCompany]]&lt;=2,"0-2 years",Table1[[#This Row],[YearsAtCompany]]&lt;=5,"3-5 years",Table1[[#This Row],[YearsAtCompany]]&lt;=10,"6-10 years",Table1[[#This Row],[YearsAtCompany]]&gt;10,"10+ years")</f>
        <v>6-10 years</v>
      </c>
      <c r="AI1324">
        <v>8</v>
      </c>
      <c r="AJ1324">
        <v>4</v>
      </c>
      <c r="AK1324">
        <v>7</v>
      </c>
      <c r="AL1324" t="str" cm="1">
        <f t="array" ref="AL1324">_xlfn.IFS(Table1[[#This Row],[JobSatisfaction]]=1,"Low",Table1[[#This Row],[JobSatisfaction]]=2,"Medium",Table1[[#This Row],[JobSatisfaction]]=3,"High",Table1[[#This Row],[JobSatisfaction]]=4,"Very High")</f>
        <v>Very High</v>
      </c>
      <c r="AM1324">
        <f>IF(Table1[[#This Row],[Attrition]]="Yes",1,0)</f>
        <v>0</v>
      </c>
    </row>
    <row r="1325" spans="1:39" ht="13.8" x14ac:dyDescent="0.25">
      <c r="A1325">
        <v>28</v>
      </c>
      <c r="B1325" t="str" cm="1">
        <f t="array" ref="B1325">_xlfn.IFS(Table1[[#This Row],[Age]]&lt;30,"Under 30",Table1[[#This Row],[Age]]&lt;=40,"30-40",Table1[[#This Row],[Age]]&lt;=50,"41-50",Table1[[#This Row],[Age]]&gt;50,"Over 50")</f>
        <v>Under 30</v>
      </c>
      <c r="C1325" t="s">
        <v>43</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t="str" cm="1">
        <f t="array" ref="AH1325">_xlfn.IFS(Table1[[#This Row],[YearsAtCompany]]&lt;=2,"0-2 years",Table1[[#This Row],[YearsAtCompany]]&lt;=5,"3-5 years",Table1[[#This Row],[YearsAtCompany]]&lt;=10,"6-10 years",Table1[[#This Row],[YearsAtCompany]]&gt;10,"10+ years")</f>
        <v>3-5 years</v>
      </c>
      <c r="AI1325">
        <v>2</v>
      </c>
      <c r="AJ1325">
        <v>2</v>
      </c>
      <c r="AK1325">
        <v>2</v>
      </c>
      <c r="AL1325" t="str" cm="1">
        <f t="array" ref="AL1325">_xlfn.IFS(Table1[[#This Row],[JobSatisfaction]]=1,"Low",Table1[[#This Row],[JobSatisfaction]]=2,"Medium",Table1[[#This Row],[JobSatisfaction]]=3,"High",Table1[[#This Row],[JobSatisfaction]]=4,"Very High")</f>
        <v>Very High</v>
      </c>
      <c r="AM1325">
        <f>IF(Table1[[#This Row],[Attrition]]="Yes",1,0)</f>
        <v>0</v>
      </c>
    </row>
    <row r="1326" spans="1:39" ht="13.8" x14ac:dyDescent="0.25">
      <c r="A1326">
        <v>29</v>
      </c>
      <c r="B1326" t="str" cm="1">
        <f t="array" ref="B1326">_xlfn.IFS(Table1[[#This Row],[Age]]&lt;30,"Under 30",Table1[[#This Row],[Age]]&lt;=40,"30-40",Table1[[#This Row],[Age]]&lt;=50,"41-50",Table1[[#This Row],[Age]]&gt;50,"Over 50")</f>
        <v>Under 30</v>
      </c>
      <c r="C1326" t="s">
        <v>43</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t="str" cm="1">
        <f t="array" ref="AH1326">_xlfn.IFS(Table1[[#This Row],[YearsAtCompany]]&lt;=2,"0-2 years",Table1[[#This Row],[YearsAtCompany]]&lt;=5,"3-5 years",Table1[[#This Row],[YearsAtCompany]]&lt;=10,"6-10 years",Table1[[#This Row],[YearsAtCompany]]&gt;10,"10+ years")</f>
        <v>6-10 years</v>
      </c>
      <c r="AI1326">
        <v>0</v>
      </c>
      <c r="AJ1326">
        <v>1</v>
      </c>
      <c r="AK1326">
        <v>6</v>
      </c>
      <c r="AL1326" t="str" cm="1">
        <f t="array" ref="AL1326">_xlfn.IFS(Table1[[#This Row],[JobSatisfaction]]=1,"Low",Table1[[#This Row],[JobSatisfaction]]=2,"Medium",Table1[[#This Row],[JobSatisfaction]]=3,"High",Table1[[#This Row],[JobSatisfaction]]=4,"Very High")</f>
        <v>High</v>
      </c>
      <c r="AM1326">
        <f>IF(Table1[[#This Row],[Attrition]]="Yes",1,0)</f>
        <v>0</v>
      </c>
    </row>
    <row r="1327" spans="1:39" ht="13.8" x14ac:dyDescent="0.25">
      <c r="A1327">
        <v>42</v>
      </c>
      <c r="B1327" t="str" cm="1">
        <f t="array" ref="B1327">_xlfn.IFS(Table1[[#This Row],[Age]]&lt;30,"Under 30",Table1[[#This Row],[Age]]&lt;=40,"30-40",Table1[[#This Row],[Age]]&lt;=50,"41-50",Table1[[#This Row],[Age]]&gt;50,"Over 50")</f>
        <v>41-50</v>
      </c>
      <c r="C1327" t="s">
        <v>43</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t="str" cm="1">
        <f t="array" ref="AH1327">_xlfn.IFS(Table1[[#This Row],[YearsAtCompany]]&lt;=2,"0-2 years",Table1[[#This Row],[YearsAtCompany]]&lt;=5,"3-5 years",Table1[[#This Row],[YearsAtCompany]]&lt;=10,"6-10 years",Table1[[#This Row],[YearsAtCompany]]&gt;10,"10+ years")</f>
        <v>0-2 years</v>
      </c>
      <c r="AI1327">
        <v>0</v>
      </c>
      <c r="AJ1327">
        <v>0</v>
      </c>
      <c r="AK1327">
        <v>0</v>
      </c>
      <c r="AL1327" t="str" cm="1">
        <f t="array" ref="AL1327">_xlfn.IFS(Table1[[#This Row],[JobSatisfaction]]=1,"Low",Table1[[#This Row],[JobSatisfaction]]=2,"Medium",Table1[[#This Row],[JobSatisfaction]]=3,"High",Table1[[#This Row],[JobSatisfaction]]=4,"Very High")</f>
        <v>High</v>
      </c>
      <c r="AM1327">
        <f>IF(Table1[[#This Row],[Attrition]]="Yes",1,0)</f>
        <v>0</v>
      </c>
    </row>
    <row r="1328" spans="1:39" ht="13.8" x14ac:dyDescent="0.25">
      <c r="A1328">
        <v>32</v>
      </c>
      <c r="B1328" t="str" cm="1">
        <f t="array" ref="B1328">_xlfn.IFS(Table1[[#This Row],[Age]]&lt;30,"Under 30",Table1[[#This Row],[Age]]&lt;=40,"30-40",Table1[[#This Row],[Age]]&lt;=50,"41-50",Table1[[#This Row],[Age]]&gt;50,"Over 50")</f>
        <v>30-40</v>
      </c>
      <c r="C1328" t="s">
        <v>35</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t="str" cm="1">
        <f t="array" ref="AH1328">_xlfn.IFS(Table1[[#This Row],[YearsAtCompany]]&lt;=2,"0-2 years",Table1[[#This Row],[YearsAtCompany]]&lt;=5,"3-5 years",Table1[[#This Row],[YearsAtCompany]]&lt;=10,"6-10 years",Table1[[#This Row],[YearsAtCompany]]&gt;10,"10+ years")</f>
        <v>0-2 years</v>
      </c>
      <c r="AI1328">
        <v>2</v>
      </c>
      <c r="AJ1328">
        <v>2</v>
      </c>
      <c r="AK1328">
        <v>2</v>
      </c>
      <c r="AL1328" t="str" cm="1">
        <f t="array" ref="AL1328">_xlfn.IFS(Table1[[#This Row],[JobSatisfaction]]=1,"Low",Table1[[#This Row],[JobSatisfaction]]=2,"Medium",Table1[[#This Row],[JobSatisfaction]]=3,"High",Table1[[#This Row],[JobSatisfaction]]=4,"Very High")</f>
        <v>Medium</v>
      </c>
      <c r="AM1328">
        <f>IF(Table1[[#This Row],[Attrition]]="Yes",1,0)</f>
        <v>1</v>
      </c>
    </row>
    <row r="1329" spans="1:39" ht="13.8" x14ac:dyDescent="0.25">
      <c r="A1329">
        <v>46</v>
      </c>
      <c r="B1329" t="str" cm="1">
        <f t="array" ref="B1329">_xlfn.IFS(Table1[[#This Row],[Age]]&lt;30,"Under 30",Table1[[#This Row],[Age]]&lt;=40,"30-40",Table1[[#This Row],[Age]]&lt;=50,"41-50",Table1[[#This Row],[Age]]&gt;50,"Over 50")</f>
        <v>41-50</v>
      </c>
      <c r="C1329" t="s">
        <v>43</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t="str" cm="1">
        <f t="array" ref="AH1329">_xlfn.IFS(Table1[[#This Row],[YearsAtCompany]]&lt;=2,"0-2 years",Table1[[#This Row],[YearsAtCompany]]&lt;=5,"3-5 years",Table1[[#This Row],[YearsAtCompany]]&lt;=10,"6-10 years",Table1[[#This Row],[YearsAtCompany]]&gt;10,"10+ years")</f>
        <v>10+ years</v>
      </c>
      <c r="AI1329">
        <v>17</v>
      </c>
      <c r="AJ1329">
        <v>2</v>
      </c>
      <c r="AK1329">
        <v>8</v>
      </c>
      <c r="AL1329" t="str" cm="1">
        <f t="array" ref="AL1329">_xlfn.IFS(Table1[[#This Row],[JobSatisfaction]]=1,"Low",Table1[[#This Row],[JobSatisfaction]]=2,"Medium",Table1[[#This Row],[JobSatisfaction]]=3,"High",Table1[[#This Row],[JobSatisfaction]]=4,"Very High")</f>
        <v>Low</v>
      </c>
      <c r="AM1329">
        <f>IF(Table1[[#This Row],[Attrition]]="Yes",1,0)</f>
        <v>0</v>
      </c>
    </row>
    <row r="1330" spans="1:39" ht="13.8" x14ac:dyDescent="0.25">
      <c r="A1330">
        <v>27</v>
      </c>
      <c r="B1330" t="str" cm="1">
        <f t="array" ref="B1330">_xlfn.IFS(Table1[[#This Row],[Age]]&lt;30,"Under 30",Table1[[#This Row],[Age]]&lt;=40,"30-40",Table1[[#This Row],[Age]]&lt;=50,"41-50",Table1[[#This Row],[Age]]&gt;50,"Over 50")</f>
        <v>Under 30</v>
      </c>
      <c r="C1330" t="s">
        <v>43</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t="str" cm="1">
        <f t="array" ref="AH1330">_xlfn.IFS(Table1[[#This Row],[YearsAtCompany]]&lt;=2,"0-2 years",Table1[[#This Row],[YearsAtCompany]]&lt;=5,"3-5 years",Table1[[#This Row],[YearsAtCompany]]&lt;=10,"6-10 years",Table1[[#This Row],[YearsAtCompany]]&gt;10,"10+ years")</f>
        <v>6-10 years</v>
      </c>
      <c r="AI1330">
        <v>8</v>
      </c>
      <c r="AJ1330">
        <v>5</v>
      </c>
      <c r="AK1330">
        <v>8</v>
      </c>
      <c r="AL1330" t="str" cm="1">
        <f t="array" ref="AL1330">_xlfn.IFS(Table1[[#This Row],[JobSatisfaction]]=1,"Low",Table1[[#This Row],[JobSatisfaction]]=2,"Medium",Table1[[#This Row],[JobSatisfaction]]=3,"High",Table1[[#This Row],[JobSatisfaction]]=4,"Very High")</f>
        <v>High</v>
      </c>
      <c r="AM1330">
        <f>IF(Table1[[#This Row],[Attrition]]="Yes",1,0)</f>
        <v>0</v>
      </c>
    </row>
    <row r="1331" spans="1:39" ht="13.8" x14ac:dyDescent="0.25">
      <c r="A1331">
        <v>29</v>
      </c>
      <c r="B1331" t="str" cm="1">
        <f t="array" ref="B1331">_xlfn.IFS(Table1[[#This Row],[Age]]&lt;30,"Under 30",Table1[[#This Row],[Age]]&lt;=40,"30-40",Table1[[#This Row],[Age]]&lt;=50,"41-50",Table1[[#This Row],[Age]]&gt;50,"Over 50")</f>
        <v>Under 30</v>
      </c>
      <c r="C1331" t="s">
        <v>43</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t="str" cm="1">
        <f t="array" ref="AH1331">_xlfn.IFS(Table1[[#This Row],[YearsAtCompany]]&lt;=2,"0-2 years",Table1[[#This Row],[YearsAtCompany]]&lt;=5,"3-5 years",Table1[[#This Row],[YearsAtCompany]]&lt;=10,"6-10 years",Table1[[#This Row],[YearsAtCompany]]&gt;10,"10+ years")</f>
        <v>0-2 years</v>
      </c>
      <c r="AI1331">
        <v>0</v>
      </c>
      <c r="AJ1331">
        <v>0</v>
      </c>
      <c r="AK1331">
        <v>0</v>
      </c>
      <c r="AL1331" t="str" cm="1">
        <f t="array" ref="AL1331">_xlfn.IFS(Table1[[#This Row],[JobSatisfaction]]=1,"Low",Table1[[#This Row],[JobSatisfaction]]=2,"Medium",Table1[[#This Row],[JobSatisfaction]]=3,"High",Table1[[#This Row],[JobSatisfaction]]=4,"Very High")</f>
        <v>Medium</v>
      </c>
      <c r="AM1331">
        <f>IF(Table1[[#This Row],[Attrition]]="Yes",1,0)</f>
        <v>0</v>
      </c>
    </row>
    <row r="1332" spans="1:39" ht="13.8" x14ac:dyDescent="0.25">
      <c r="A1332">
        <v>43</v>
      </c>
      <c r="B1332" t="str" cm="1">
        <f t="array" ref="B1332">_xlfn.IFS(Table1[[#This Row],[Age]]&lt;30,"Under 30",Table1[[#This Row],[Age]]&lt;=40,"30-40",Table1[[#This Row],[Age]]&lt;=50,"41-50",Table1[[#This Row],[Age]]&gt;50,"Over 50")</f>
        <v>41-50</v>
      </c>
      <c r="C1332" t="s">
        <v>43</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t="str" cm="1">
        <f t="array" ref="AH1332">_xlfn.IFS(Table1[[#This Row],[YearsAtCompany]]&lt;=2,"0-2 years",Table1[[#This Row],[YearsAtCompany]]&lt;=5,"3-5 years",Table1[[#This Row],[YearsAtCompany]]&lt;=10,"6-10 years",Table1[[#This Row],[YearsAtCompany]]&gt;10,"10+ years")</f>
        <v>10+ years</v>
      </c>
      <c r="AI1332">
        <v>12</v>
      </c>
      <c r="AJ1332">
        <v>6</v>
      </c>
      <c r="AK1332">
        <v>14</v>
      </c>
      <c r="AL1332" t="str" cm="1">
        <f t="array" ref="AL1332">_xlfn.IFS(Table1[[#This Row],[JobSatisfaction]]=1,"Low",Table1[[#This Row],[JobSatisfaction]]=2,"Medium",Table1[[#This Row],[JobSatisfaction]]=3,"High",Table1[[#This Row],[JobSatisfaction]]=4,"Very High")</f>
        <v>High</v>
      </c>
      <c r="AM1332">
        <f>IF(Table1[[#This Row],[Attrition]]="Yes",1,0)</f>
        <v>0</v>
      </c>
    </row>
    <row r="1333" spans="1:39" ht="13.8" x14ac:dyDescent="0.25">
      <c r="A1333">
        <v>48</v>
      </c>
      <c r="B1333" t="str" cm="1">
        <f t="array" ref="B1333">_xlfn.IFS(Table1[[#This Row],[Age]]&lt;30,"Under 30",Table1[[#This Row],[Age]]&lt;=40,"30-40",Table1[[#This Row],[Age]]&lt;=50,"41-50",Table1[[#This Row],[Age]]&gt;50,"Over 50")</f>
        <v>41-50</v>
      </c>
      <c r="C1333" t="s">
        <v>43</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t="str" cm="1">
        <f t="array" ref="AH1333">_xlfn.IFS(Table1[[#This Row],[YearsAtCompany]]&lt;=2,"0-2 years",Table1[[#This Row],[YearsAtCompany]]&lt;=5,"3-5 years",Table1[[#This Row],[YearsAtCompany]]&lt;=10,"6-10 years",Table1[[#This Row],[YearsAtCompany]]&gt;10,"10+ years")</f>
        <v>10+ years</v>
      </c>
      <c r="AI1333">
        <v>10</v>
      </c>
      <c r="AJ1333">
        <v>12</v>
      </c>
      <c r="AK1333">
        <v>9</v>
      </c>
      <c r="AL1333" t="str" cm="1">
        <f t="array" ref="AL1333">_xlfn.IFS(Table1[[#This Row],[JobSatisfaction]]=1,"Low",Table1[[#This Row],[JobSatisfaction]]=2,"Medium",Table1[[#This Row],[JobSatisfaction]]=3,"High",Table1[[#This Row],[JobSatisfaction]]=4,"Very High")</f>
        <v>Medium</v>
      </c>
      <c r="AM1333">
        <f>IF(Table1[[#This Row],[Attrition]]="Yes",1,0)</f>
        <v>0</v>
      </c>
    </row>
    <row r="1334" spans="1:39" ht="13.8" x14ac:dyDescent="0.25">
      <c r="A1334">
        <v>29</v>
      </c>
      <c r="B1334" t="str" cm="1">
        <f t="array" ref="B1334">_xlfn.IFS(Table1[[#This Row],[Age]]&lt;30,"Under 30",Table1[[#This Row],[Age]]&lt;=40,"30-40",Table1[[#This Row],[Age]]&lt;=50,"41-50",Table1[[#This Row],[Age]]&gt;50,"Over 50")</f>
        <v>Under 30</v>
      </c>
      <c r="C1334" t="s">
        <v>35</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t="str" cm="1">
        <f t="array" ref="AH1334">_xlfn.IFS(Table1[[#This Row],[YearsAtCompany]]&lt;=2,"0-2 years",Table1[[#This Row],[YearsAtCompany]]&lt;=5,"3-5 years",Table1[[#This Row],[YearsAtCompany]]&lt;=10,"6-10 years",Table1[[#This Row],[YearsAtCompany]]&gt;10,"10+ years")</f>
        <v>0-2 years</v>
      </c>
      <c r="AI1334">
        <v>0</v>
      </c>
      <c r="AJ1334">
        <v>1</v>
      </c>
      <c r="AK1334">
        <v>0</v>
      </c>
      <c r="AL1334" t="str" cm="1">
        <f t="array" ref="AL1334">_xlfn.IFS(Table1[[#This Row],[JobSatisfaction]]=1,"Low",Table1[[#This Row],[JobSatisfaction]]=2,"Medium",Table1[[#This Row],[JobSatisfaction]]=3,"High",Table1[[#This Row],[JobSatisfaction]]=4,"Very High")</f>
        <v>Very High</v>
      </c>
      <c r="AM1334">
        <f>IF(Table1[[#This Row],[Attrition]]="Yes",1,0)</f>
        <v>1</v>
      </c>
    </row>
    <row r="1335" spans="1:39" ht="13.8" x14ac:dyDescent="0.25">
      <c r="A1335">
        <v>46</v>
      </c>
      <c r="B1335" t="str" cm="1">
        <f t="array" ref="B1335">_xlfn.IFS(Table1[[#This Row],[Age]]&lt;30,"Under 30",Table1[[#This Row],[Age]]&lt;=40,"30-40",Table1[[#This Row],[Age]]&lt;=50,"41-50",Table1[[#This Row],[Age]]&gt;50,"Over 50")</f>
        <v>41-50</v>
      </c>
      <c r="C1335" t="s">
        <v>35</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t="str" cm="1">
        <f t="array" ref="AH1335">_xlfn.IFS(Table1[[#This Row],[YearsAtCompany]]&lt;=2,"0-2 years",Table1[[#This Row],[YearsAtCompany]]&lt;=5,"3-5 years",Table1[[#This Row],[YearsAtCompany]]&lt;=10,"6-10 years",Table1[[#This Row],[YearsAtCompany]]&gt;10,"10+ years")</f>
        <v>6-10 years</v>
      </c>
      <c r="AI1335">
        <v>7</v>
      </c>
      <c r="AJ1335">
        <v>0</v>
      </c>
      <c r="AK1335">
        <v>7</v>
      </c>
      <c r="AL1335" t="str" cm="1">
        <f t="array" ref="AL1335">_xlfn.IFS(Table1[[#This Row],[JobSatisfaction]]=1,"Low",Table1[[#This Row],[JobSatisfaction]]=2,"Medium",Table1[[#This Row],[JobSatisfaction]]=3,"High",Table1[[#This Row],[JobSatisfaction]]=4,"Very High")</f>
        <v>Medium</v>
      </c>
      <c r="AM1335">
        <f>IF(Table1[[#This Row],[Attrition]]="Yes",1,0)</f>
        <v>1</v>
      </c>
    </row>
    <row r="1336" spans="1:39" ht="13.8" x14ac:dyDescent="0.25">
      <c r="A1336">
        <v>27</v>
      </c>
      <c r="B1336" t="str" cm="1">
        <f t="array" ref="B1336">_xlfn.IFS(Table1[[#This Row],[Age]]&lt;30,"Under 30",Table1[[#This Row],[Age]]&lt;=40,"30-40",Table1[[#This Row],[Age]]&lt;=50,"41-50",Table1[[#This Row],[Age]]&gt;50,"Over 50")</f>
        <v>Under 30</v>
      </c>
      <c r="C1336" t="s">
        <v>43</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t="str" cm="1">
        <f t="array" ref="AH1336">_xlfn.IFS(Table1[[#This Row],[YearsAtCompany]]&lt;=2,"0-2 years",Table1[[#This Row],[YearsAtCompany]]&lt;=5,"3-5 years",Table1[[#This Row],[YearsAtCompany]]&lt;=10,"6-10 years",Table1[[#This Row],[YearsAtCompany]]&gt;10,"10+ years")</f>
        <v>6-10 years</v>
      </c>
      <c r="AI1336">
        <v>6</v>
      </c>
      <c r="AJ1336">
        <v>7</v>
      </c>
      <c r="AK1336">
        <v>3</v>
      </c>
      <c r="AL1336" t="str" cm="1">
        <f t="array" ref="AL1336">_xlfn.IFS(Table1[[#This Row],[JobSatisfaction]]=1,"Low",Table1[[#This Row],[JobSatisfaction]]=2,"Medium",Table1[[#This Row],[JobSatisfaction]]=3,"High",Table1[[#This Row],[JobSatisfaction]]=4,"Very High")</f>
        <v>Low</v>
      </c>
      <c r="AM1336">
        <f>IF(Table1[[#This Row],[Attrition]]="Yes",1,0)</f>
        <v>0</v>
      </c>
    </row>
    <row r="1337" spans="1:39" ht="13.8" x14ac:dyDescent="0.25">
      <c r="A1337">
        <v>39</v>
      </c>
      <c r="B1337" t="str" cm="1">
        <f t="array" ref="B1337">_xlfn.IFS(Table1[[#This Row],[Age]]&lt;30,"Under 30",Table1[[#This Row],[Age]]&lt;=40,"30-40",Table1[[#This Row],[Age]]&lt;=50,"41-50",Table1[[#This Row],[Age]]&gt;50,"Over 50")</f>
        <v>30-40</v>
      </c>
      <c r="C1337" t="s">
        <v>43</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t="str" cm="1">
        <f t="array" ref="AH1337">_xlfn.IFS(Table1[[#This Row],[YearsAtCompany]]&lt;=2,"0-2 years",Table1[[#This Row],[YearsAtCompany]]&lt;=5,"3-5 years",Table1[[#This Row],[YearsAtCompany]]&lt;=10,"6-10 years",Table1[[#This Row],[YearsAtCompany]]&gt;10,"10+ years")</f>
        <v>0-2 years</v>
      </c>
      <c r="AI1337">
        <v>2</v>
      </c>
      <c r="AJ1337">
        <v>2</v>
      </c>
      <c r="AK1337">
        <v>2</v>
      </c>
      <c r="AL1337" t="str" cm="1">
        <f t="array" ref="AL1337">_xlfn.IFS(Table1[[#This Row],[JobSatisfaction]]=1,"Low",Table1[[#This Row],[JobSatisfaction]]=2,"Medium",Table1[[#This Row],[JobSatisfaction]]=3,"High",Table1[[#This Row],[JobSatisfaction]]=4,"Very High")</f>
        <v>Very High</v>
      </c>
      <c r="AM1337">
        <f>IF(Table1[[#This Row],[Attrition]]="Yes",1,0)</f>
        <v>0</v>
      </c>
    </row>
    <row r="1338" spans="1:39" ht="13.8" x14ac:dyDescent="0.25">
      <c r="A1338">
        <v>55</v>
      </c>
      <c r="B1338" t="str" cm="1">
        <f t="array" ref="B1338">_xlfn.IFS(Table1[[#This Row],[Age]]&lt;30,"Under 30",Table1[[#This Row],[Age]]&lt;=40,"30-40",Table1[[#This Row],[Age]]&lt;=50,"41-50",Table1[[#This Row],[Age]]&gt;50,"Over 50")</f>
        <v>Over 50</v>
      </c>
      <c r="C1338" t="s">
        <v>43</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t="str" cm="1">
        <f t="array" ref="AH1338">_xlfn.IFS(Table1[[#This Row],[YearsAtCompany]]&lt;=2,"0-2 years",Table1[[#This Row],[YearsAtCompany]]&lt;=5,"3-5 years",Table1[[#This Row],[YearsAtCompany]]&lt;=10,"6-10 years",Table1[[#This Row],[YearsAtCompany]]&gt;10,"10+ years")</f>
        <v>3-5 years</v>
      </c>
      <c r="AI1338">
        <v>2</v>
      </c>
      <c r="AJ1338">
        <v>0</v>
      </c>
      <c r="AK1338">
        <v>4</v>
      </c>
      <c r="AL1338" t="str" cm="1">
        <f t="array" ref="AL1338">_xlfn.IFS(Table1[[#This Row],[JobSatisfaction]]=1,"Low",Table1[[#This Row],[JobSatisfaction]]=2,"Medium",Table1[[#This Row],[JobSatisfaction]]=3,"High",Table1[[#This Row],[JobSatisfaction]]=4,"Very High")</f>
        <v>Very High</v>
      </c>
      <c r="AM1338">
        <f>IF(Table1[[#This Row],[Attrition]]="Yes",1,0)</f>
        <v>0</v>
      </c>
    </row>
    <row r="1339" spans="1:39" ht="13.8" x14ac:dyDescent="0.25">
      <c r="A1339">
        <v>28</v>
      </c>
      <c r="B1339" t="str" cm="1">
        <f t="array" ref="B1339">_xlfn.IFS(Table1[[#This Row],[Age]]&lt;30,"Under 30",Table1[[#This Row],[Age]]&lt;=40,"30-40",Table1[[#This Row],[Age]]&lt;=50,"41-50",Table1[[#This Row],[Age]]&gt;50,"Over 50")</f>
        <v>Under 30</v>
      </c>
      <c r="C1339" t="s">
        <v>43</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t="str" cm="1">
        <f t="array" ref="AH1339">_xlfn.IFS(Table1[[#This Row],[YearsAtCompany]]&lt;=2,"0-2 years",Table1[[#This Row],[YearsAtCompany]]&lt;=5,"3-5 years",Table1[[#This Row],[YearsAtCompany]]&lt;=10,"6-10 years",Table1[[#This Row],[YearsAtCompany]]&gt;10,"10+ years")</f>
        <v>0-2 years</v>
      </c>
      <c r="AI1339">
        <v>0</v>
      </c>
      <c r="AJ1339">
        <v>0</v>
      </c>
      <c r="AK1339">
        <v>0</v>
      </c>
      <c r="AL1339" t="str" cm="1">
        <f t="array" ref="AL1339">_xlfn.IFS(Table1[[#This Row],[JobSatisfaction]]=1,"Low",Table1[[#This Row],[JobSatisfaction]]=2,"Medium",Table1[[#This Row],[JobSatisfaction]]=3,"High",Table1[[#This Row],[JobSatisfaction]]=4,"Very High")</f>
        <v>Medium</v>
      </c>
      <c r="AM1339">
        <f>IF(Table1[[#This Row],[Attrition]]="Yes",1,0)</f>
        <v>0</v>
      </c>
    </row>
    <row r="1340" spans="1:39" ht="13.8" x14ac:dyDescent="0.25">
      <c r="A1340">
        <v>30</v>
      </c>
      <c r="B1340" t="str" cm="1">
        <f t="array" ref="B1340">_xlfn.IFS(Table1[[#This Row],[Age]]&lt;30,"Under 30",Table1[[#This Row],[Age]]&lt;=40,"30-40",Table1[[#This Row],[Age]]&lt;=50,"41-50",Table1[[#This Row],[Age]]&gt;50,"Over 50")</f>
        <v>30-40</v>
      </c>
      <c r="C1340" t="s">
        <v>35</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t="str" cm="1">
        <f t="array" ref="AH1340">_xlfn.IFS(Table1[[#This Row],[YearsAtCompany]]&lt;=2,"0-2 years",Table1[[#This Row],[YearsAtCompany]]&lt;=5,"3-5 years",Table1[[#This Row],[YearsAtCompany]]&lt;=10,"6-10 years",Table1[[#This Row],[YearsAtCompany]]&gt;10,"10+ years")</f>
        <v>0-2 years</v>
      </c>
      <c r="AI1340">
        <v>0</v>
      </c>
      <c r="AJ1340">
        <v>0</v>
      </c>
      <c r="AK1340">
        <v>0</v>
      </c>
      <c r="AL1340" t="str" cm="1">
        <f t="array" ref="AL1340">_xlfn.IFS(Table1[[#This Row],[JobSatisfaction]]=1,"Low",Table1[[#This Row],[JobSatisfaction]]=2,"Medium",Table1[[#This Row],[JobSatisfaction]]=3,"High",Table1[[#This Row],[JobSatisfaction]]=4,"Very High")</f>
        <v>Very High</v>
      </c>
      <c r="AM1340">
        <f>IF(Table1[[#This Row],[Attrition]]="Yes",1,0)</f>
        <v>1</v>
      </c>
    </row>
    <row r="1341" spans="1:39" ht="13.8" x14ac:dyDescent="0.25">
      <c r="A1341">
        <v>22</v>
      </c>
      <c r="B1341" t="str" cm="1">
        <f t="array" ref="B1341">_xlfn.IFS(Table1[[#This Row],[Age]]&lt;30,"Under 30",Table1[[#This Row],[Age]]&lt;=40,"30-40",Table1[[#This Row],[Age]]&lt;=50,"41-50",Table1[[#This Row],[Age]]&gt;50,"Over 50")</f>
        <v>Under 30</v>
      </c>
      <c r="C1341" t="s">
        <v>35</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t="str" cm="1">
        <f t="array" ref="AH1341">_xlfn.IFS(Table1[[#This Row],[YearsAtCompany]]&lt;=2,"0-2 years",Table1[[#This Row],[YearsAtCompany]]&lt;=5,"3-5 years",Table1[[#This Row],[YearsAtCompany]]&lt;=10,"6-10 years",Table1[[#This Row],[YearsAtCompany]]&gt;10,"10+ years")</f>
        <v>0-2 years</v>
      </c>
      <c r="AI1341">
        <v>0</v>
      </c>
      <c r="AJ1341">
        <v>0</v>
      </c>
      <c r="AK1341">
        <v>0</v>
      </c>
      <c r="AL1341" t="str" cm="1">
        <f t="array" ref="AL1341">_xlfn.IFS(Table1[[#This Row],[JobSatisfaction]]=1,"Low",Table1[[#This Row],[JobSatisfaction]]=2,"Medium",Table1[[#This Row],[JobSatisfaction]]=3,"High",Table1[[#This Row],[JobSatisfaction]]=4,"Very High")</f>
        <v>Medium</v>
      </c>
      <c r="AM1341">
        <f>IF(Table1[[#This Row],[Attrition]]="Yes",1,0)</f>
        <v>1</v>
      </c>
    </row>
    <row r="1342" spans="1:39" ht="13.8" x14ac:dyDescent="0.25">
      <c r="A1342">
        <v>36</v>
      </c>
      <c r="B1342" t="str" cm="1">
        <f t="array" ref="B1342">_xlfn.IFS(Table1[[#This Row],[Age]]&lt;30,"Under 30",Table1[[#This Row],[Age]]&lt;=40,"30-40",Table1[[#This Row],[Age]]&lt;=50,"41-50",Table1[[#This Row],[Age]]&gt;50,"Over 50")</f>
        <v>30-40</v>
      </c>
      <c r="C1342" t="s">
        <v>43</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t="str" cm="1">
        <f t="array" ref="AH1342">_xlfn.IFS(Table1[[#This Row],[YearsAtCompany]]&lt;=2,"0-2 years",Table1[[#This Row],[YearsAtCompany]]&lt;=5,"3-5 years",Table1[[#This Row],[YearsAtCompany]]&lt;=10,"6-10 years",Table1[[#This Row],[YearsAtCompany]]&gt;10,"10+ years")</f>
        <v>6-10 years</v>
      </c>
      <c r="AI1342">
        <v>9</v>
      </c>
      <c r="AJ1342">
        <v>1</v>
      </c>
      <c r="AK1342">
        <v>7</v>
      </c>
      <c r="AL1342" t="str" cm="1">
        <f t="array" ref="AL1342">_xlfn.IFS(Table1[[#This Row],[JobSatisfaction]]=1,"Low",Table1[[#This Row],[JobSatisfaction]]=2,"Medium",Table1[[#This Row],[JobSatisfaction]]=3,"High",Table1[[#This Row],[JobSatisfaction]]=4,"Very High")</f>
        <v>High</v>
      </c>
      <c r="AM1342">
        <f>IF(Table1[[#This Row],[Attrition]]="Yes",1,0)</f>
        <v>0</v>
      </c>
    </row>
    <row r="1343" spans="1:39" ht="13.8" x14ac:dyDescent="0.25">
      <c r="A1343">
        <v>31</v>
      </c>
      <c r="B1343" t="str" cm="1">
        <f t="array" ref="B1343">_xlfn.IFS(Table1[[#This Row],[Age]]&lt;30,"Under 30",Table1[[#This Row],[Age]]&lt;=40,"30-40",Table1[[#This Row],[Age]]&lt;=50,"41-50",Table1[[#This Row],[Age]]&gt;50,"Over 50")</f>
        <v>30-40</v>
      </c>
      <c r="C1343" t="s">
        <v>43</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t="str" cm="1">
        <f t="array" ref="AH1343">_xlfn.IFS(Table1[[#This Row],[YearsAtCompany]]&lt;=2,"0-2 years",Table1[[#This Row],[YearsAtCompany]]&lt;=5,"3-5 years",Table1[[#This Row],[YearsAtCompany]]&lt;=10,"6-10 years",Table1[[#This Row],[YearsAtCompany]]&gt;10,"10+ years")</f>
        <v>6-10 years</v>
      </c>
      <c r="AI1343">
        <v>8</v>
      </c>
      <c r="AJ1343">
        <v>0</v>
      </c>
      <c r="AK1343">
        <v>2</v>
      </c>
      <c r="AL1343" t="str" cm="1">
        <f t="array" ref="AL1343">_xlfn.IFS(Table1[[#This Row],[JobSatisfaction]]=1,"Low",Table1[[#This Row],[JobSatisfaction]]=2,"Medium",Table1[[#This Row],[JobSatisfaction]]=3,"High",Table1[[#This Row],[JobSatisfaction]]=4,"Very High")</f>
        <v>High</v>
      </c>
      <c r="AM1343">
        <f>IF(Table1[[#This Row],[Attrition]]="Yes",1,0)</f>
        <v>0</v>
      </c>
    </row>
    <row r="1344" spans="1:39" ht="13.8" x14ac:dyDescent="0.25">
      <c r="A1344">
        <v>34</v>
      </c>
      <c r="B1344" t="str" cm="1">
        <f t="array" ref="B1344">_xlfn.IFS(Table1[[#This Row],[Age]]&lt;30,"Under 30",Table1[[#This Row],[Age]]&lt;=40,"30-40",Table1[[#This Row],[Age]]&lt;=50,"41-50",Table1[[#This Row],[Age]]&gt;50,"Over 50")</f>
        <v>30-40</v>
      </c>
      <c r="C1344" t="s">
        <v>43</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t="str" cm="1">
        <f t="array" ref="AH1344">_xlfn.IFS(Table1[[#This Row],[YearsAtCompany]]&lt;=2,"0-2 years",Table1[[#This Row],[YearsAtCompany]]&lt;=5,"3-5 years",Table1[[#This Row],[YearsAtCompany]]&lt;=10,"6-10 years",Table1[[#This Row],[YearsAtCompany]]&gt;10,"10+ years")</f>
        <v>3-5 years</v>
      </c>
      <c r="AI1344">
        <v>3</v>
      </c>
      <c r="AJ1344">
        <v>1</v>
      </c>
      <c r="AK1344">
        <v>0</v>
      </c>
      <c r="AL1344" t="str" cm="1">
        <f t="array" ref="AL1344">_xlfn.IFS(Table1[[#This Row],[JobSatisfaction]]=1,"Low",Table1[[#This Row],[JobSatisfaction]]=2,"Medium",Table1[[#This Row],[JobSatisfaction]]=3,"High",Table1[[#This Row],[JobSatisfaction]]=4,"Very High")</f>
        <v>Very High</v>
      </c>
      <c r="AM1344">
        <f>IF(Table1[[#This Row],[Attrition]]="Yes",1,0)</f>
        <v>0</v>
      </c>
    </row>
    <row r="1345" spans="1:39" ht="13.8" x14ac:dyDescent="0.25">
      <c r="A1345">
        <v>29</v>
      </c>
      <c r="B1345" t="str" cm="1">
        <f t="array" ref="B1345">_xlfn.IFS(Table1[[#This Row],[Age]]&lt;30,"Under 30",Table1[[#This Row],[Age]]&lt;=40,"30-40",Table1[[#This Row],[Age]]&lt;=50,"41-50",Table1[[#This Row],[Age]]&gt;50,"Over 50")</f>
        <v>Under 30</v>
      </c>
      <c r="C1345" t="s">
        <v>43</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t="str" cm="1">
        <f t="array" ref="AH1345">_xlfn.IFS(Table1[[#This Row],[YearsAtCompany]]&lt;=2,"0-2 years",Table1[[#This Row],[YearsAtCompany]]&lt;=5,"3-5 years",Table1[[#This Row],[YearsAtCompany]]&lt;=10,"6-10 years",Table1[[#This Row],[YearsAtCompany]]&gt;10,"10+ years")</f>
        <v>3-5 years</v>
      </c>
      <c r="AI1345">
        <v>2</v>
      </c>
      <c r="AJ1345">
        <v>1</v>
      </c>
      <c r="AK1345">
        <v>2</v>
      </c>
      <c r="AL1345" t="str" cm="1">
        <f t="array" ref="AL1345">_xlfn.IFS(Table1[[#This Row],[JobSatisfaction]]=1,"Low",Table1[[#This Row],[JobSatisfaction]]=2,"Medium",Table1[[#This Row],[JobSatisfaction]]=3,"High",Table1[[#This Row],[JobSatisfaction]]=4,"Very High")</f>
        <v>Low</v>
      </c>
      <c r="AM1345">
        <f>IF(Table1[[#This Row],[Attrition]]="Yes",1,0)</f>
        <v>0</v>
      </c>
    </row>
    <row r="1346" spans="1:39" ht="13.8" x14ac:dyDescent="0.25">
      <c r="A1346">
        <v>37</v>
      </c>
      <c r="B1346" t="str" cm="1">
        <f t="array" ref="B1346">_xlfn.IFS(Table1[[#This Row],[Age]]&lt;30,"Under 30",Table1[[#This Row],[Age]]&lt;=40,"30-40",Table1[[#This Row],[Age]]&lt;=50,"41-50",Table1[[#This Row],[Age]]&gt;50,"Over 50")</f>
        <v>30-40</v>
      </c>
      <c r="C1346" t="s">
        <v>43</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t="str" cm="1">
        <f t="array" ref="AH1346">_xlfn.IFS(Table1[[#This Row],[YearsAtCompany]]&lt;=2,"0-2 years",Table1[[#This Row],[YearsAtCompany]]&lt;=5,"3-5 years",Table1[[#This Row],[YearsAtCompany]]&lt;=10,"6-10 years",Table1[[#This Row],[YearsAtCompany]]&gt;10,"10+ years")</f>
        <v>3-5 years</v>
      </c>
      <c r="AI1346">
        <v>3</v>
      </c>
      <c r="AJ1346">
        <v>0</v>
      </c>
      <c r="AK1346">
        <v>4</v>
      </c>
      <c r="AL1346" t="str" cm="1">
        <f t="array" ref="AL1346">_xlfn.IFS(Table1[[#This Row],[JobSatisfaction]]=1,"Low",Table1[[#This Row],[JobSatisfaction]]=2,"Medium",Table1[[#This Row],[JobSatisfaction]]=3,"High",Table1[[#This Row],[JobSatisfaction]]=4,"Very High")</f>
        <v>Low</v>
      </c>
      <c r="AM1346">
        <f>IF(Table1[[#This Row],[Attrition]]="Yes",1,0)</f>
        <v>0</v>
      </c>
    </row>
    <row r="1347" spans="1:39" ht="13.8" x14ac:dyDescent="0.25">
      <c r="A1347">
        <v>35</v>
      </c>
      <c r="B1347" t="str" cm="1">
        <f t="array" ref="B1347">_xlfn.IFS(Table1[[#This Row],[Age]]&lt;30,"Under 30",Table1[[#This Row],[Age]]&lt;=40,"30-40",Table1[[#This Row],[Age]]&lt;=50,"41-50",Table1[[#This Row],[Age]]&gt;50,"Over 50")</f>
        <v>30-40</v>
      </c>
      <c r="C1347" t="s">
        <v>43</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t="str" cm="1">
        <f t="array" ref="AH1347">_xlfn.IFS(Table1[[#This Row],[YearsAtCompany]]&lt;=2,"0-2 years",Table1[[#This Row],[YearsAtCompany]]&lt;=5,"3-5 years",Table1[[#This Row],[YearsAtCompany]]&lt;=10,"6-10 years",Table1[[#This Row],[YearsAtCompany]]&gt;10,"10+ years")</f>
        <v>3-5 years</v>
      </c>
      <c r="AI1347">
        <v>2</v>
      </c>
      <c r="AJ1347">
        <v>0</v>
      </c>
      <c r="AK1347">
        <v>2</v>
      </c>
      <c r="AL1347" t="str" cm="1">
        <f t="array" ref="AL1347">_xlfn.IFS(Table1[[#This Row],[JobSatisfaction]]=1,"Low",Table1[[#This Row],[JobSatisfaction]]=2,"Medium",Table1[[#This Row],[JobSatisfaction]]=3,"High",Table1[[#This Row],[JobSatisfaction]]=4,"Very High")</f>
        <v>Medium</v>
      </c>
      <c r="AM1347">
        <f>IF(Table1[[#This Row],[Attrition]]="Yes",1,0)</f>
        <v>0</v>
      </c>
    </row>
    <row r="1348" spans="1:39" ht="13.8" x14ac:dyDescent="0.25">
      <c r="A1348">
        <v>45</v>
      </c>
      <c r="B1348" t="str" cm="1">
        <f t="array" ref="B1348">_xlfn.IFS(Table1[[#This Row],[Age]]&lt;30,"Under 30",Table1[[#This Row],[Age]]&lt;=40,"30-40",Table1[[#This Row],[Age]]&lt;=50,"41-50",Table1[[#This Row],[Age]]&gt;50,"Over 50")</f>
        <v>41-50</v>
      </c>
      <c r="C1348" t="s">
        <v>43</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t="str" cm="1">
        <f t="array" ref="AH1348">_xlfn.IFS(Table1[[#This Row],[YearsAtCompany]]&lt;=2,"0-2 years",Table1[[#This Row],[YearsAtCompany]]&lt;=5,"3-5 years",Table1[[#This Row],[YearsAtCompany]]&lt;=10,"6-10 years",Table1[[#This Row],[YearsAtCompany]]&gt;10,"10+ years")</f>
        <v>6-10 years</v>
      </c>
      <c r="AI1348">
        <v>8</v>
      </c>
      <c r="AJ1348">
        <v>3</v>
      </c>
      <c r="AK1348">
        <v>8</v>
      </c>
      <c r="AL1348" t="str" cm="1">
        <f t="array" ref="AL1348">_xlfn.IFS(Table1[[#This Row],[JobSatisfaction]]=1,"Low",Table1[[#This Row],[JobSatisfaction]]=2,"Medium",Table1[[#This Row],[JobSatisfaction]]=3,"High",Table1[[#This Row],[JobSatisfaction]]=4,"Very High")</f>
        <v>Very High</v>
      </c>
      <c r="AM1348">
        <f>IF(Table1[[#This Row],[Attrition]]="Yes",1,0)</f>
        <v>0</v>
      </c>
    </row>
    <row r="1349" spans="1:39" ht="13.8" x14ac:dyDescent="0.25">
      <c r="A1349">
        <v>36</v>
      </c>
      <c r="B1349" t="str" cm="1">
        <f t="array" ref="B1349">_xlfn.IFS(Table1[[#This Row],[Age]]&lt;30,"Under 30",Table1[[#This Row],[Age]]&lt;=40,"30-40",Table1[[#This Row],[Age]]&lt;=50,"41-50",Table1[[#This Row],[Age]]&gt;50,"Over 50")</f>
        <v>30-40</v>
      </c>
      <c r="C1349" t="s">
        <v>43</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t="str" cm="1">
        <f t="array" ref="AH1349">_xlfn.IFS(Table1[[#This Row],[YearsAtCompany]]&lt;=2,"0-2 years",Table1[[#This Row],[YearsAtCompany]]&lt;=5,"3-5 years",Table1[[#This Row],[YearsAtCompany]]&lt;=10,"6-10 years",Table1[[#This Row],[YearsAtCompany]]&gt;10,"10+ years")</f>
        <v>6-10 years</v>
      </c>
      <c r="AI1349">
        <v>1</v>
      </c>
      <c r="AJ1349">
        <v>0</v>
      </c>
      <c r="AK1349">
        <v>8</v>
      </c>
      <c r="AL1349" t="str" cm="1">
        <f t="array" ref="AL1349">_xlfn.IFS(Table1[[#This Row],[JobSatisfaction]]=1,"Low",Table1[[#This Row],[JobSatisfaction]]=2,"Medium",Table1[[#This Row],[JobSatisfaction]]=3,"High",Table1[[#This Row],[JobSatisfaction]]=4,"Very High")</f>
        <v>Very High</v>
      </c>
      <c r="AM1349">
        <f>IF(Table1[[#This Row],[Attrition]]="Yes",1,0)</f>
        <v>0</v>
      </c>
    </row>
    <row r="1350" spans="1:39" ht="13.8" x14ac:dyDescent="0.25">
      <c r="A1350">
        <v>40</v>
      </c>
      <c r="B1350" t="str" cm="1">
        <f t="array" ref="B1350">_xlfn.IFS(Table1[[#This Row],[Age]]&lt;30,"Under 30",Table1[[#This Row],[Age]]&lt;=40,"30-40",Table1[[#This Row],[Age]]&lt;=50,"41-50",Table1[[#This Row],[Age]]&gt;50,"Over 50")</f>
        <v>30-40</v>
      </c>
      <c r="C1350" t="s">
        <v>43</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t="str" cm="1">
        <f t="array" ref="AH1350">_xlfn.IFS(Table1[[#This Row],[YearsAtCompany]]&lt;=2,"0-2 years",Table1[[#This Row],[YearsAtCompany]]&lt;=5,"3-5 years",Table1[[#This Row],[YearsAtCompany]]&lt;=10,"6-10 years",Table1[[#This Row],[YearsAtCompany]]&gt;10,"10+ years")</f>
        <v>10+ years</v>
      </c>
      <c r="AI1350">
        <v>7</v>
      </c>
      <c r="AJ1350">
        <v>11</v>
      </c>
      <c r="AK1350">
        <v>16</v>
      </c>
      <c r="AL1350" t="str" cm="1">
        <f t="array" ref="AL1350">_xlfn.IFS(Table1[[#This Row],[JobSatisfaction]]=1,"Low",Table1[[#This Row],[JobSatisfaction]]=2,"Medium",Table1[[#This Row],[JobSatisfaction]]=3,"High",Table1[[#This Row],[JobSatisfaction]]=4,"Very High")</f>
        <v>Low</v>
      </c>
      <c r="AM1350">
        <f>IF(Table1[[#This Row],[Attrition]]="Yes",1,0)</f>
        <v>0</v>
      </c>
    </row>
    <row r="1351" spans="1:39" ht="13.8" x14ac:dyDescent="0.25">
      <c r="A1351">
        <v>26</v>
      </c>
      <c r="B1351" t="str" cm="1">
        <f t="array" ref="B1351">_xlfn.IFS(Table1[[#This Row],[Age]]&lt;30,"Under 30",Table1[[#This Row],[Age]]&lt;=40,"30-40",Table1[[#This Row],[Age]]&lt;=50,"41-50",Table1[[#This Row],[Age]]&gt;50,"Over 50")</f>
        <v>Under 30</v>
      </c>
      <c r="C1351" t="s">
        <v>43</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t="str" cm="1">
        <f t="array" ref="AH1351">_xlfn.IFS(Table1[[#This Row],[YearsAtCompany]]&lt;=2,"0-2 years",Table1[[#This Row],[YearsAtCompany]]&lt;=5,"3-5 years",Table1[[#This Row],[YearsAtCompany]]&lt;=10,"6-10 years",Table1[[#This Row],[YearsAtCompany]]&gt;10,"10+ years")</f>
        <v>0-2 years</v>
      </c>
      <c r="AI1351">
        <v>0</v>
      </c>
      <c r="AJ1351">
        <v>1</v>
      </c>
      <c r="AK1351">
        <v>0</v>
      </c>
      <c r="AL1351" t="str" cm="1">
        <f t="array" ref="AL1351">_xlfn.IFS(Table1[[#This Row],[JobSatisfaction]]=1,"Low",Table1[[#This Row],[JobSatisfaction]]=2,"Medium",Table1[[#This Row],[JobSatisfaction]]=3,"High",Table1[[#This Row],[JobSatisfaction]]=4,"Very High")</f>
        <v>High</v>
      </c>
      <c r="AM1351">
        <f>IF(Table1[[#This Row],[Attrition]]="Yes",1,0)</f>
        <v>0</v>
      </c>
    </row>
    <row r="1352" spans="1:39" ht="13.8" x14ac:dyDescent="0.25">
      <c r="A1352">
        <v>27</v>
      </c>
      <c r="B1352" t="str" cm="1">
        <f t="array" ref="B1352">_xlfn.IFS(Table1[[#This Row],[Age]]&lt;30,"Under 30",Table1[[#This Row],[Age]]&lt;=40,"30-40",Table1[[#This Row],[Age]]&lt;=50,"41-50",Table1[[#This Row],[Age]]&gt;50,"Over 50")</f>
        <v>Under 30</v>
      </c>
      <c r="C1352" t="s">
        <v>43</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t="str" cm="1">
        <f t="array" ref="AH1352">_xlfn.IFS(Table1[[#This Row],[YearsAtCompany]]&lt;=2,"0-2 years",Table1[[#This Row],[YearsAtCompany]]&lt;=5,"3-5 years",Table1[[#This Row],[YearsAtCompany]]&lt;=10,"6-10 years",Table1[[#This Row],[YearsAtCompany]]&gt;10,"10+ years")</f>
        <v>6-10 years</v>
      </c>
      <c r="AI1352">
        <v>7</v>
      </c>
      <c r="AJ1352">
        <v>0</v>
      </c>
      <c r="AK1352">
        <v>7</v>
      </c>
      <c r="AL1352" t="str" cm="1">
        <f t="array" ref="AL1352">_xlfn.IFS(Table1[[#This Row],[JobSatisfaction]]=1,"Low",Table1[[#This Row],[JobSatisfaction]]=2,"Medium",Table1[[#This Row],[JobSatisfaction]]=3,"High",Table1[[#This Row],[JobSatisfaction]]=4,"Very High")</f>
        <v>High</v>
      </c>
      <c r="AM1352">
        <f>IF(Table1[[#This Row],[Attrition]]="Yes",1,0)</f>
        <v>0</v>
      </c>
    </row>
    <row r="1353" spans="1:39" ht="13.8" x14ac:dyDescent="0.25">
      <c r="A1353">
        <v>48</v>
      </c>
      <c r="B1353" t="str" cm="1">
        <f t="array" ref="B1353">_xlfn.IFS(Table1[[#This Row],[Age]]&lt;30,"Under 30",Table1[[#This Row],[Age]]&lt;=40,"30-40",Table1[[#This Row],[Age]]&lt;=50,"41-50",Table1[[#This Row],[Age]]&gt;50,"Over 50")</f>
        <v>41-50</v>
      </c>
      <c r="C1353" t="s">
        <v>43</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t="str" cm="1">
        <f t="array" ref="AH1353">_xlfn.IFS(Table1[[#This Row],[YearsAtCompany]]&lt;=2,"0-2 years",Table1[[#This Row],[YearsAtCompany]]&lt;=5,"3-5 years",Table1[[#This Row],[YearsAtCompany]]&lt;=10,"6-10 years",Table1[[#This Row],[YearsAtCompany]]&gt;10,"10+ years")</f>
        <v>10+ years</v>
      </c>
      <c r="AI1353">
        <v>17</v>
      </c>
      <c r="AJ1353">
        <v>4</v>
      </c>
      <c r="AK1353">
        <v>7</v>
      </c>
      <c r="AL1353" t="str" cm="1">
        <f t="array" ref="AL1353">_xlfn.IFS(Table1[[#This Row],[JobSatisfaction]]=1,"Low",Table1[[#This Row],[JobSatisfaction]]=2,"Medium",Table1[[#This Row],[JobSatisfaction]]=3,"High",Table1[[#This Row],[JobSatisfaction]]=4,"Very High")</f>
        <v>Very High</v>
      </c>
      <c r="AM1353">
        <f>IF(Table1[[#This Row],[Attrition]]="Yes",1,0)</f>
        <v>0</v>
      </c>
    </row>
    <row r="1354" spans="1:39" ht="13.8" x14ac:dyDescent="0.25">
      <c r="A1354">
        <v>44</v>
      </c>
      <c r="B1354" t="str" cm="1">
        <f t="array" ref="B1354">_xlfn.IFS(Table1[[#This Row],[Age]]&lt;30,"Under 30",Table1[[#This Row],[Age]]&lt;=40,"30-40",Table1[[#This Row],[Age]]&lt;=50,"41-50",Table1[[#This Row],[Age]]&gt;50,"Over 50")</f>
        <v>41-50</v>
      </c>
      <c r="C1354" t="s">
        <v>43</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t="str" cm="1">
        <f t="array" ref="AH1354">_xlfn.IFS(Table1[[#This Row],[YearsAtCompany]]&lt;=2,"0-2 years",Table1[[#This Row],[YearsAtCompany]]&lt;=5,"3-5 years",Table1[[#This Row],[YearsAtCompany]]&lt;=10,"6-10 years",Table1[[#This Row],[YearsAtCompany]]&gt;10,"10+ years")</f>
        <v>0-2 years</v>
      </c>
      <c r="AI1354">
        <v>0</v>
      </c>
      <c r="AJ1354">
        <v>2</v>
      </c>
      <c r="AK1354">
        <v>2</v>
      </c>
      <c r="AL1354" t="str" cm="1">
        <f t="array" ref="AL1354">_xlfn.IFS(Table1[[#This Row],[JobSatisfaction]]=1,"Low",Table1[[#This Row],[JobSatisfaction]]=2,"Medium",Table1[[#This Row],[JobSatisfaction]]=3,"High",Table1[[#This Row],[JobSatisfaction]]=4,"Very High")</f>
        <v>Low</v>
      </c>
      <c r="AM1354">
        <f>IF(Table1[[#This Row],[Attrition]]="Yes",1,0)</f>
        <v>0</v>
      </c>
    </row>
    <row r="1355" spans="1:39" ht="13.8" x14ac:dyDescent="0.25">
      <c r="A1355">
        <v>34</v>
      </c>
      <c r="B1355" t="str" cm="1">
        <f t="array" ref="B1355">_xlfn.IFS(Table1[[#This Row],[Age]]&lt;30,"Under 30",Table1[[#This Row],[Age]]&lt;=40,"30-40",Table1[[#This Row],[Age]]&lt;=50,"41-50",Table1[[#This Row],[Age]]&gt;50,"Over 50")</f>
        <v>30-40</v>
      </c>
      <c r="C1355" t="s">
        <v>35</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t="str" cm="1">
        <f t="array" ref="AH1355">_xlfn.IFS(Table1[[#This Row],[YearsAtCompany]]&lt;=2,"0-2 years",Table1[[#This Row],[YearsAtCompany]]&lt;=5,"3-5 years",Table1[[#This Row],[YearsAtCompany]]&lt;=10,"6-10 years",Table1[[#This Row],[YearsAtCompany]]&gt;10,"10+ years")</f>
        <v>3-5 years</v>
      </c>
      <c r="AI1355">
        <v>2</v>
      </c>
      <c r="AJ1355">
        <v>3</v>
      </c>
      <c r="AK1355">
        <v>0</v>
      </c>
      <c r="AL1355" t="str" cm="1">
        <f t="array" ref="AL1355">_xlfn.IFS(Table1[[#This Row],[JobSatisfaction]]=1,"Low",Table1[[#This Row],[JobSatisfaction]]=2,"Medium",Table1[[#This Row],[JobSatisfaction]]=3,"High",Table1[[#This Row],[JobSatisfaction]]=4,"Very High")</f>
        <v>Low</v>
      </c>
      <c r="AM1355">
        <f>IF(Table1[[#This Row],[Attrition]]="Yes",1,0)</f>
        <v>1</v>
      </c>
    </row>
    <row r="1356" spans="1:39" ht="13.8" x14ac:dyDescent="0.25">
      <c r="A1356">
        <v>56</v>
      </c>
      <c r="B1356" t="str" cm="1">
        <f t="array" ref="B1356">_xlfn.IFS(Table1[[#This Row],[Age]]&lt;30,"Under 30",Table1[[#This Row],[Age]]&lt;=40,"30-40",Table1[[#This Row],[Age]]&lt;=50,"41-50",Table1[[#This Row],[Age]]&gt;50,"Over 50")</f>
        <v>Over 50</v>
      </c>
      <c r="C1356" t="s">
        <v>35</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t="str" cm="1">
        <f t="array" ref="AH1356">_xlfn.IFS(Table1[[#This Row],[YearsAtCompany]]&lt;=2,"0-2 years",Table1[[#This Row],[YearsAtCompany]]&lt;=5,"3-5 years",Table1[[#This Row],[YearsAtCompany]]&lt;=10,"6-10 years",Table1[[#This Row],[YearsAtCompany]]&gt;10,"10+ years")</f>
        <v>3-5 years</v>
      </c>
      <c r="AI1356">
        <v>2</v>
      </c>
      <c r="AJ1356">
        <v>1</v>
      </c>
      <c r="AK1356">
        <v>0</v>
      </c>
      <c r="AL1356" t="str" cm="1">
        <f t="array" ref="AL1356">_xlfn.IFS(Table1[[#This Row],[JobSatisfaction]]=1,"Low",Table1[[#This Row],[JobSatisfaction]]=2,"Medium",Table1[[#This Row],[JobSatisfaction]]=3,"High",Table1[[#This Row],[JobSatisfaction]]=4,"Very High")</f>
        <v>Very High</v>
      </c>
      <c r="AM1356">
        <f>IF(Table1[[#This Row],[Attrition]]="Yes",1,0)</f>
        <v>1</v>
      </c>
    </row>
    <row r="1357" spans="1:39" ht="13.8" x14ac:dyDescent="0.25">
      <c r="A1357">
        <v>36</v>
      </c>
      <c r="B1357" t="str" cm="1">
        <f t="array" ref="B1357">_xlfn.IFS(Table1[[#This Row],[Age]]&lt;30,"Under 30",Table1[[#This Row],[Age]]&lt;=40,"30-40",Table1[[#This Row],[Age]]&lt;=50,"41-50",Table1[[#This Row],[Age]]&gt;50,"Over 50")</f>
        <v>30-40</v>
      </c>
      <c r="C1357" t="s">
        <v>43</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t="str" cm="1">
        <f t="array" ref="AH1357">_xlfn.IFS(Table1[[#This Row],[YearsAtCompany]]&lt;=2,"0-2 years",Table1[[#This Row],[YearsAtCompany]]&lt;=5,"3-5 years",Table1[[#This Row],[YearsAtCompany]]&lt;=10,"6-10 years",Table1[[#This Row],[YearsAtCompany]]&gt;10,"10+ years")</f>
        <v>3-5 years</v>
      </c>
      <c r="AI1357">
        <v>2</v>
      </c>
      <c r="AJ1357">
        <v>1</v>
      </c>
      <c r="AK1357">
        <v>3</v>
      </c>
      <c r="AL1357" t="str" cm="1">
        <f t="array" ref="AL1357">_xlfn.IFS(Table1[[#This Row],[JobSatisfaction]]=1,"Low",Table1[[#This Row],[JobSatisfaction]]=2,"Medium",Table1[[#This Row],[JobSatisfaction]]=3,"High",Table1[[#This Row],[JobSatisfaction]]=4,"Very High")</f>
        <v>Medium</v>
      </c>
      <c r="AM1357">
        <f>IF(Table1[[#This Row],[Attrition]]="Yes",1,0)</f>
        <v>0</v>
      </c>
    </row>
    <row r="1358" spans="1:39" ht="13.8" x14ac:dyDescent="0.25">
      <c r="A1358">
        <v>41</v>
      </c>
      <c r="B1358" t="str" cm="1">
        <f t="array" ref="B1358">_xlfn.IFS(Table1[[#This Row],[Age]]&lt;30,"Under 30",Table1[[#This Row],[Age]]&lt;=40,"30-40",Table1[[#This Row],[Age]]&lt;=50,"41-50",Table1[[#This Row],[Age]]&gt;50,"Over 50")</f>
        <v>41-50</v>
      </c>
      <c r="C1358" t="s">
        <v>43</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t="str" cm="1">
        <f t="array" ref="AH1358">_xlfn.IFS(Table1[[#This Row],[YearsAtCompany]]&lt;=2,"0-2 years",Table1[[#This Row],[YearsAtCompany]]&lt;=5,"3-5 years",Table1[[#This Row],[YearsAtCompany]]&lt;=10,"6-10 years",Table1[[#This Row],[YearsAtCompany]]&gt;10,"10+ years")</f>
        <v>3-5 years</v>
      </c>
      <c r="AI1358">
        <v>4</v>
      </c>
      <c r="AJ1358">
        <v>1</v>
      </c>
      <c r="AK1358">
        <v>4</v>
      </c>
      <c r="AL1358" t="str" cm="1">
        <f t="array" ref="AL1358">_xlfn.IFS(Table1[[#This Row],[JobSatisfaction]]=1,"Low",Table1[[#This Row],[JobSatisfaction]]=2,"Medium",Table1[[#This Row],[JobSatisfaction]]=3,"High",Table1[[#This Row],[JobSatisfaction]]=4,"Very High")</f>
        <v>Medium</v>
      </c>
      <c r="AM1358">
        <f>IF(Table1[[#This Row],[Attrition]]="Yes",1,0)</f>
        <v>0</v>
      </c>
    </row>
    <row r="1359" spans="1:39" ht="13.8" x14ac:dyDescent="0.25">
      <c r="A1359">
        <v>42</v>
      </c>
      <c r="B1359" t="str" cm="1">
        <f t="array" ref="B1359">_xlfn.IFS(Table1[[#This Row],[Age]]&lt;30,"Under 30",Table1[[#This Row],[Age]]&lt;=40,"30-40",Table1[[#This Row],[Age]]&lt;=50,"41-50",Table1[[#This Row],[Age]]&gt;50,"Over 50")</f>
        <v>41-50</v>
      </c>
      <c r="C1359" t="s">
        <v>43</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t="str" cm="1">
        <f t="array" ref="AH1359">_xlfn.IFS(Table1[[#This Row],[YearsAtCompany]]&lt;=2,"0-2 years",Table1[[#This Row],[YearsAtCompany]]&lt;=5,"3-5 years",Table1[[#This Row],[YearsAtCompany]]&lt;=10,"6-10 years",Table1[[#This Row],[YearsAtCompany]]&gt;10,"10+ years")</f>
        <v>10+ years</v>
      </c>
      <c r="AI1359">
        <v>7</v>
      </c>
      <c r="AJ1359">
        <v>5</v>
      </c>
      <c r="AK1359">
        <v>7</v>
      </c>
      <c r="AL1359" t="str" cm="1">
        <f t="array" ref="AL1359">_xlfn.IFS(Table1[[#This Row],[JobSatisfaction]]=1,"Low",Table1[[#This Row],[JobSatisfaction]]=2,"Medium",Table1[[#This Row],[JobSatisfaction]]=3,"High",Table1[[#This Row],[JobSatisfaction]]=4,"Very High")</f>
        <v>Low</v>
      </c>
      <c r="AM1359">
        <f>IF(Table1[[#This Row],[Attrition]]="Yes",1,0)</f>
        <v>0</v>
      </c>
    </row>
    <row r="1360" spans="1:39" ht="13.8" x14ac:dyDescent="0.25">
      <c r="A1360">
        <v>31</v>
      </c>
      <c r="B1360" t="str" cm="1">
        <f t="array" ref="B1360">_xlfn.IFS(Table1[[#This Row],[Age]]&lt;30,"Under 30",Table1[[#This Row],[Age]]&lt;=40,"30-40",Table1[[#This Row],[Age]]&lt;=50,"41-50",Table1[[#This Row],[Age]]&gt;50,"Over 50")</f>
        <v>30-40</v>
      </c>
      <c r="C1360" t="s">
        <v>43</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t="str" cm="1">
        <f t="array" ref="AH1360">_xlfn.IFS(Table1[[#This Row],[YearsAtCompany]]&lt;=2,"0-2 years",Table1[[#This Row],[YearsAtCompany]]&lt;=5,"3-5 years",Table1[[#This Row],[YearsAtCompany]]&lt;=10,"6-10 years",Table1[[#This Row],[YearsAtCompany]]&gt;10,"10+ years")</f>
        <v>3-5 years</v>
      </c>
      <c r="AI1360">
        <v>2</v>
      </c>
      <c r="AJ1360">
        <v>1</v>
      </c>
      <c r="AK1360">
        <v>4</v>
      </c>
      <c r="AL1360" t="str" cm="1">
        <f t="array" ref="AL1360">_xlfn.IFS(Table1[[#This Row],[JobSatisfaction]]=1,"Low",Table1[[#This Row],[JobSatisfaction]]=2,"Medium",Table1[[#This Row],[JobSatisfaction]]=3,"High",Table1[[#This Row],[JobSatisfaction]]=4,"Very High")</f>
        <v>Very High</v>
      </c>
      <c r="AM1360">
        <f>IF(Table1[[#This Row],[Attrition]]="Yes",1,0)</f>
        <v>0</v>
      </c>
    </row>
    <row r="1361" spans="1:39" ht="13.8" x14ac:dyDescent="0.25">
      <c r="A1361">
        <v>34</v>
      </c>
      <c r="B1361" t="str" cm="1">
        <f t="array" ref="B1361">_xlfn.IFS(Table1[[#This Row],[Age]]&lt;30,"Under 30",Table1[[#This Row],[Age]]&lt;=40,"30-40",Table1[[#This Row],[Age]]&lt;=50,"41-50",Table1[[#This Row],[Age]]&gt;50,"Over 50")</f>
        <v>30-40</v>
      </c>
      <c r="C1361" t="s">
        <v>43</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t="str" cm="1">
        <f t="array" ref="AH1361">_xlfn.IFS(Table1[[#This Row],[YearsAtCompany]]&lt;=2,"0-2 years",Table1[[#This Row],[YearsAtCompany]]&lt;=5,"3-5 years",Table1[[#This Row],[YearsAtCompany]]&lt;=10,"6-10 years",Table1[[#This Row],[YearsAtCompany]]&gt;10,"10+ years")</f>
        <v>3-5 years</v>
      </c>
      <c r="AI1361">
        <v>2</v>
      </c>
      <c r="AJ1361">
        <v>0</v>
      </c>
      <c r="AK1361">
        <v>1</v>
      </c>
      <c r="AL1361" t="str" cm="1">
        <f t="array" ref="AL1361">_xlfn.IFS(Table1[[#This Row],[JobSatisfaction]]=1,"Low",Table1[[#This Row],[JobSatisfaction]]=2,"Medium",Table1[[#This Row],[JobSatisfaction]]=3,"High",Table1[[#This Row],[JobSatisfaction]]=4,"Very High")</f>
        <v>Very High</v>
      </c>
      <c r="AM1361">
        <f>IF(Table1[[#This Row],[Attrition]]="Yes",1,0)</f>
        <v>0</v>
      </c>
    </row>
    <row r="1362" spans="1:39" ht="13.8" x14ac:dyDescent="0.25">
      <c r="A1362">
        <v>31</v>
      </c>
      <c r="B1362" t="str" cm="1">
        <f t="array" ref="B1362">_xlfn.IFS(Table1[[#This Row],[Age]]&lt;30,"Under 30",Table1[[#This Row],[Age]]&lt;=40,"30-40",Table1[[#This Row],[Age]]&lt;=50,"41-50",Table1[[#This Row],[Age]]&gt;50,"Over 50")</f>
        <v>30-40</v>
      </c>
      <c r="C1362" t="s">
        <v>43</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t="str" cm="1">
        <f t="array" ref="AH1362">_xlfn.IFS(Table1[[#This Row],[YearsAtCompany]]&lt;=2,"0-2 years",Table1[[#This Row],[YearsAtCompany]]&lt;=5,"3-5 years",Table1[[#This Row],[YearsAtCompany]]&lt;=10,"6-10 years",Table1[[#This Row],[YearsAtCompany]]&gt;10,"10+ years")</f>
        <v>0-2 years</v>
      </c>
      <c r="AI1362">
        <v>2</v>
      </c>
      <c r="AJ1362">
        <v>2</v>
      </c>
      <c r="AK1362">
        <v>2</v>
      </c>
      <c r="AL1362" t="str" cm="1">
        <f t="array" ref="AL1362">_xlfn.IFS(Table1[[#This Row],[JobSatisfaction]]=1,"Low",Table1[[#This Row],[JobSatisfaction]]=2,"Medium",Table1[[#This Row],[JobSatisfaction]]=3,"High",Table1[[#This Row],[JobSatisfaction]]=4,"Very High")</f>
        <v>High</v>
      </c>
      <c r="AM1362">
        <f>IF(Table1[[#This Row],[Attrition]]="Yes",1,0)</f>
        <v>0</v>
      </c>
    </row>
    <row r="1363" spans="1:39" ht="13.8" x14ac:dyDescent="0.25">
      <c r="A1363">
        <v>26</v>
      </c>
      <c r="B1363" t="str" cm="1">
        <f t="array" ref="B1363">_xlfn.IFS(Table1[[#This Row],[Age]]&lt;30,"Under 30",Table1[[#This Row],[Age]]&lt;=40,"30-40",Table1[[#This Row],[Age]]&lt;=50,"41-50",Table1[[#This Row],[Age]]&gt;50,"Over 50")</f>
        <v>Under 30</v>
      </c>
      <c r="C1363" t="s">
        <v>43</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t="str" cm="1">
        <f t="array" ref="AH1363">_xlfn.IFS(Table1[[#This Row],[YearsAtCompany]]&lt;=2,"0-2 years",Table1[[#This Row],[YearsAtCompany]]&lt;=5,"3-5 years",Table1[[#This Row],[YearsAtCompany]]&lt;=10,"6-10 years",Table1[[#This Row],[YearsAtCompany]]&gt;10,"10+ years")</f>
        <v>6-10 years</v>
      </c>
      <c r="AI1363">
        <v>7</v>
      </c>
      <c r="AJ1363">
        <v>7</v>
      </c>
      <c r="AK1363">
        <v>7</v>
      </c>
      <c r="AL1363" t="str" cm="1">
        <f t="array" ref="AL1363">_xlfn.IFS(Table1[[#This Row],[JobSatisfaction]]=1,"Low",Table1[[#This Row],[JobSatisfaction]]=2,"Medium",Table1[[#This Row],[JobSatisfaction]]=3,"High",Table1[[#This Row],[JobSatisfaction]]=4,"Very High")</f>
        <v>Very High</v>
      </c>
      <c r="AM1363">
        <f>IF(Table1[[#This Row],[Attrition]]="Yes",1,0)</f>
        <v>0</v>
      </c>
    </row>
    <row r="1364" spans="1:39" ht="13.8" x14ac:dyDescent="0.25">
      <c r="A1364">
        <v>45</v>
      </c>
      <c r="B1364" t="str" cm="1">
        <f t="array" ref="B1364">_xlfn.IFS(Table1[[#This Row],[Age]]&lt;30,"Under 30",Table1[[#This Row],[Age]]&lt;=40,"30-40",Table1[[#This Row],[Age]]&lt;=50,"41-50",Table1[[#This Row],[Age]]&gt;50,"Over 50")</f>
        <v>41-50</v>
      </c>
      <c r="C1364" t="s">
        <v>43</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t="str" cm="1">
        <f t="array" ref="AH1364">_xlfn.IFS(Table1[[#This Row],[YearsAtCompany]]&lt;=2,"0-2 years",Table1[[#This Row],[YearsAtCompany]]&lt;=5,"3-5 years",Table1[[#This Row],[YearsAtCompany]]&lt;=10,"6-10 years",Table1[[#This Row],[YearsAtCompany]]&gt;10,"10+ years")</f>
        <v>3-5 years</v>
      </c>
      <c r="AI1364">
        <v>2</v>
      </c>
      <c r="AJ1364">
        <v>0</v>
      </c>
      <c r="AK1364">
        <v>3</v>
      </c>
      <c r="AL1364" t="str" cm="1">
        <f t="array" ref="AL1364">_xlfn.IFS(Table1[[#This Row],[JobSatisfaction]]=1,"Low",Table1[[#This Row],[JobSatisfaction]]=2,"Medium",Table1[[#This Row],[JobSatisfaction]]=3,"High",Table1[[#This Row],[JobSatisfaction]]=4,"Very High")</f>
        <v>High</v>
      </c>
      <c r="AM1364">
        <f>IF(Table1[[#This Row],[Attrition]]="Yes",1,0)</f>
        <v>0</v>
      </c>
    </row>
    <row r="1365" spans="1:39" ht="13.8" x14ac:dyDescent="0.25">
      <c r="A1365">
        <v>33</v>
      </c>
      <c r="B1365" t="str" cm="1">
        <f t="array" ref="B1365">_xlfn.IFS(Table1[[#This Row],[Age]]&lt;30,"Under 30",Table1[[#This Row],[Age]]&lt;=40,"30-40",Table1[[#This Row],[Age]]&lt;=50,"41-50",Table1[[#This Row],[Age]]&gt;50,"Over 50")</f>
        <v>30-40</v>
      </c>
      <c r="C1365" t="s">
        <v>43</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t="str" cm="1">
        <f t="array" ref="AH1365">_xlfn.IFS(Table1[[#This Row],[YearsAtCompany]]&lt;=2,"0-2 years",Table1[[#This Row],[YearsAtCompany]]&lt;=5,"3-5 years",Table1[[#This Row],[YearsAtCompany]]&lt;=10,"6-10 years",Table1[[#This Row],[YearsAtCompany]]&gt;10,"10+ years")</f>
        <v>6-10 years</v>
      </c>
      <c r="AI1365">
        <v>4</v>
      </c>
      <c r="AJ1365">
        <v>0</v>
      </c>
      <c r="AK1365">
        <v>9</v>
      </c>
      <c r="AL1365" t="str" cm="1">
        <f t="array" ref="AL1365">_xlfn.IFS(Table1[[#This Row],[JobSatisfaction]]=1,"Low",Table1[[#This Row],[JobSatisfaction]]=2,"Medium",Table1[[#This Row],[JobSatisfaction]]=3,"High",Table1[[#This Row],[JobSatisfaction]]=4,"Very High")</f>
        <v>High</v>
      </c>
      <c r="AM1365">
        <f>IF(Table1[[#This Row],[Attrition]]="Yes",1,0)</f>
        <v>0</v>
      </c>
    </row>
    <row r="1366" spans="1:39" ht="13.8" x14ac:dyDescent="0.25">
      <c r="A1366">
        <v>28</v>
      </c>
      <c r="B1366" t="str" cm="1">
        <f t="array" ref="B1366">_xlfn.IFS(Table1[[#This Row],[Age]]&lt;30,"Under 30",Table1[[#This Row],[Age]]&lt;=40,"30-40",Table1[[#This Row],[Age]]&lt;=50,"41-50",Table1[[#This Row],[Age]]&gt;50,"Over 50")</f>
        <v>Under 30</v>
      </c>
      <c r="C1366" t="s">
        <v>43</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t="str" cm="1">
        <f t="array" ref="AH1366">_xlfn.IFS(Table1[[#This Row],[YearsAtCompany]]&lt;=2,"0-2 years",Table1[[#This Row],[YearsAtCompany]]&lt;=5,"3-5 years",Table1[[#This Row],[YearsAtCompany]]&lt;=10,"6-10 years",Table1[[#This Row],[YearsAtCompany]]&gt;10,"10+ years")</f>
        <v>6-10 years</v>
      </c>
      <c r="AI1366">
        <v>7</v>
      </c>
      <c r="AJ1366">
        <v>0</v>
      </c>
      <c r="AK1366">
        <v>7</v>
      </c>
      <c r="AL1366" t="str" cm="1">
        <f t="array" ref="AL1366">_xlfn.IFS(Table1[[#This Row],[JobSatisfaction]]=1,"Low",Table1[[#This Row],[JobSatisfaction]]=2,"Medium",Table1[[#This Row],[JobSatisfaction]]=3,"High",Table1[[#This Row],[JobSatisfaction]]=4,"Very High")</f>
        <v>Very High</v>
      </c>
      <c r="AM1366">
        <f>IF(Table1[[#This Row],[Attrition]]="Yes",1,0)</f>
        <v>0</v>
      </c>
    </row>
    <row r="1367" spans="1:39" ht="13.8" x14ac:dyDescent="0.25">
      <c r="A1367">
        <v>29</v>
      </c>
      <c r="B1367" t="str" cm="1">
        <f t="array" ref="B1367">_xlfn.IFS(Table1[[#This Row],[Age]]&lt;30,"Under 30",Table1[[#This Row],[Age]]&lt;=40,"30-40",Table1[[#This Row],[Age]]&lt;=50,"41-50",Table1[[#This Row],[Age]]&gt;50,"Over 50")</f>
        <v>Under 30</v>
      </c>
      <c r="C1367" t="s">
        <v>35</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t="str" cm="1">
        <f t="array" ref="AH1367">_xlfn.IFS(Table1[[#This Row],[YearsAtCompany]]&lt;=2,"0-2 years",Table1[[#This Row],[YearsAtCompany]]&lt;=5,"3-5 years",Table1[[#This Row],[YearsAtCompany]]&lt;=10,"6-10 years",Table1[[#This Row],[YearsAtCompany]]&gt;10,"10+ years")</f>
        <v>0-2 years</v>
      </c>
      <c r="AI1367">
        <v>0</v>
      </c>
      <c r="AJ1367">
        <v>0</v>
      </c>
      <c r="AK1367">
        <v>0</v>
      </c>
      <c r="AL1367" t="str" cm="1">
        <f t="array" ref="AL1367">_xlfn.IFS(Table1[[#This Row],[JobSatisfaction]]=1,"Low",Table1[[#This Row],[JobSatisfaction]]=2,"Medium",Table1[[#This Row],[JobSatisfaction]]=3,"High",Table1[[#This Row],[JobSatisfaction]]=4,"Very High")</f>
        <v>Low</v>
      </c>
      <c r="AM1367">
        <f>IF(Table1[[#This Row],[Attrition]]="Yes",1,0)</f>
        <v>1</v>
      </c>
    </row>
    <row r="1368" spans="1:39" ht="13.8" x14ac:dyDescent="0.25">
      <c r="A1368">
        <v>39</v>
      </c>
      <c r="B1368" t="str" cm="1">
        <f t="array" ref="B1368">_xlfn.IFS(Table1[[#This Row],[Age]]&lt;30,"Under 30",Table1[[#This Row],[Age]]&lt;=40,"30-40",Table1[[#This Row],[Age]]&lt;=50,"41-50",Table1[[#This Row],[Age]]&gt;50,"Over 50")</f>
        <v>30-40</v>
      </c>
      <c r="C1368" t="s">
        <v>43</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t="str" cm="1">
        <f t="array" ref="AH1368">_xlfn.IFS(Table1[[#This Row],[YearsAtCompany]]&lt;=2,"0-2 years",Table1[[#This Row],[YearsAtCompany]]&lt;=5,"3-5 years",Table1[[#This Row],[YearsAtCompany]]&lt;=10,"6-10 years",Table1[[#This Row],[YearsAtCompany]]&gt;10,"10+ years")</f>
        <v>3-5 years</v>
      </c>
      <c r="AI1368">
        <v>2</v>
      </c>
      <c r="AJ1368">
        <v>1</v>
      </c>
      <c r="AK1368">
        <v>2</v>
      </c>
      <c r="AL1368" t="str" cm="1">
        <f t="array" ref="AL1368">_xlfn.IFS(Table1[[#This Row],[JobSatisfaction]]=1,"Low",Table1[[#This Row],[JobSatisfaction]]=2,"Medium",Table1[[#This Row],[JobSatisfaction]]=3,"High",Table1[[#This Row],[JobSatisfaction]]=4,"Very High")</f>
        <v>High</v>
      </c>
      <c r="AM1368">
        <f>IF(Table1[[#This Row],[Attrition]]="Yes",1,0)</f>
        <v>0</v>
      </c>
    </row>
    <row r="1369" spans="1:39" ht="13.8" x14ac:dyDescent="0.25">
      <c r="A1369">
        <v>27</v>
      </c>
      <c r="B1369" t="str" cm="1">
        <f t="array" ref="B1369">_xlfn.IFS(Table1[[#This Row],[Age]]&lt;30,"Under 30",Table1[[#This Row],[Age]]&lt;=40,"30-40",Table1[[#This Row],[Age]]&lt;=50,"41-50",Table1[[#This Row],[Age]]&gt;50,"Over 50")</f>
        <v>Under 30</v>
      </c>
      <c r="C1369" t="s">
        <v>43</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t="str" cm="1">
        <f t="array" ref="AH1369">_xlfn.IFS(Table1[[#This Row],[YearsAtCompany]]&lt;=2,"0-2 years",Table1[[#This Row],[YearsAtCompany]]&lt;=5,"3-5 years",Table1[[#This Row],[YearsAtCompany]]&lt;=10,"6-10 years",Table1[[#This Row],[YearsAtCompany]]&gt;10,"10+ years")</f>
        <v>3-5 years</v>
      </c>
      <c r="AI1369">
        <v>3</v>
      </c>
      <c r="AJ1369">
        <v>1</v>
      </c>
      <c r="AK1369">
        <v>2</v>
      </c>
      <c r="AL1369" t="str" cm="1">
        <f t="array" ref="AL1369">_xlfn.IFS(Table1[[#This Row],[JobSatisfaction]]=1,"Low",Table1[[#This Row],[JobSatisfaction]]=2,"Medium",Table1[[#This Row],[JobSatisfaction]]=3,"High",Table1[[#This Row],[JobSatisfaction]]=4,"Very High")</f>
        <v>Medium</v>
      </c>
      <c r="AM1369">
        <f>IF(Table1[[#This Row],[Attrition]]="Yes",1,0)</f>
        <v>0</v>
      </c>
    </row>
    <row r="1370" spans="1:39" ht="13.8" x14ac:dyDescent="0.25">
      <c r="A1370">
        <v>34</v>
      </c>
      <c r="B1370" t="str" cm="1">
        <f t="array" ref="B1370">_xlfn.IFS(Table1[[#This Row],[Age]]&lt;30,"Under 30",Table1[[#This Row],[Age]]&lt;=40,"30-40",Table1[[#This Row],[Age]]&lt;=50,"41-50",Table1[[#This Row],[Age]]&gt;50,"Over 50")</f>
        <v>30-40</v>
      </c>
      <c r="C1370" t="s">
        <v>43</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t="str" cm="1">
        <f t="array" ref="AH1370">_xlfn.IFS(Table1[[#This Row],[YearsAtCompany]]&lt;=2,"0-2 years",Table1[[#This Row],[YearsAtCompany]]&lt;=5,"3-5 years",Table1[[#This Row],[YearsAtCompany]]&lt;=10,"6-10 years",Table1[[#This Row],[YearsAtCompany]]&gt;10,"10+ years")</f>
        <v>10+ years</v>
      </c>
      <c r="AI1370">
        <v>10</v>
      </c>
      <c r="AJ1370">
        <v>6</v>
      </c>
      <c r="AK1370">
        <v>11</v>
      </c>
      <c r="AL1370" t="str" cm="1">
        <f t="array" ref="AL1370">_xlfn.IFS(Table1[[#This Row],[JobSatisfaction]]=1,"Low",Table1[[#This Row],[JobSatisfaction]]=2,"Medium",Table1[[#This Row],[JobSatisfaction]]=3,"High",Table1[[#This Row],[JobSatisfaction]]=4,"Very High")</f>
        <v>Very High</v>
      </c>
      <c r="AM1370">
        <f>IF(Table1[[#This Row],[Attrition]]="Yes",1,0)</f>
        <v>0</v>
      </c>
    </row>
    <row r="1371" spans="1:39" ht="13.8" x14ac:dyDescent="0.25">
      <c r="A1371">
        <v>28</v>
      </c>
      <c r="B1371" t="str" cm="1">
        <f t="array" ref="B1371">_xlfn.IFS(Table1[[#This Row],[Age]]&lt;30,"Under 30",Table1[[#This Row],[Age]]&lt;=40,"30-40",Table1[[#This Row],[Age]]&lt;=50,"41-50",Table1[[#This Row],[Age]]&gt;50,"Over 50")</f>
        <v>Under 30</v>
      </c>
      <c r="C1371" t="s">
        <v>35</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t="str" cm="1">
        <f t="array" ref="AH1371">_xlfn.IFS(Table1[[#This Row],[YearsAtCompany]]&lt;=2,"0-2 years",Table1[[#This Row],[YearsAtCompany]]&lt;=5,"3-5 years",Table1[[#This Row],[YearsAtCompany]]&lt;=10,"6-10 years",Table1[[#This Row],[YearsAtCompany]]&gt;10,"10+ years")</f>
        <v>0-2 years</v>
      </c>
      <c r="AI1371">
        <v>0</v>
      </c>
      <c r="AJ1371">
        <v>2</v>
      </c>
      <c r="AK1371">
        <v>2</v>
      </c>
      <c r="AL1371" t="str" cm="1">
        <f t="array" ref="AL1371">_xlfn.IFS(Table1[[#This Row],[JobSatisfaction]]=1,"Low",Table1[[#This Row],[JobSatisfaction]]=2,"Medium",Table1[[#This Row],[JobSatisfaction]]=3,"High",Table1[[#This Row],[JobSatisfaction]]=4,"Very High")</f>
        <v>High</v>
      </c>
      <c r="AM1371">
        <f>IF(Table1[[#This Row],[Attrition]]="Yes",1,0)</f>
        <v>1</v>
      </c>
    </row>
    <row r="1372" spans="1:39" ht="13.8" x14ac:dyDescent="0.25">
      <c r="A1372">
        <v>47</v>
      </c>
      <c r="B1372" t="str" cm="1">
        <f t="array" ref="B1372">_xlfn.IFS(Table1[[#This Row],[Age]]&lt;30,"Under 30",Table1[[#This Row],[Age]]&lt;=40,"30-40",Table1[[#This Row],[Age]]&lt;=50,"41-50",Table1[[#This Row],[Age]]&gt;50,"Over 50")</f>
        <v>41-50</v>
      </c>
      <c r="C1372" t="s">
        <v>43</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t="str" cm="1">
        <f t="array" ref="AH1372">_xlfn.IFS(Table1[[#This Row],[YearsAtCompany]]&lt;=2,"0-2 years",Table1[[#This Row],[YearsAtCompany]]&lt;=5,"3-5 years",Table1[[#This Row],[YearsAtCompany]]&lt;=10,"6-10 years",Table1[[#This Row],[YearsAtCompany]]&gt;10,"10+ years")</f>
        <v>6-10 years</v>
      </c>
      <c r="AI1372">
        <v>7</v>
      </c>
      <c r="AJ1372">
        <v>1</v>
      </c>
      <c r="AK1372">
        <v>7</v>
      </c>
      <c r="AL1372" t="str" cm="1">
        <f t="array" ref="AL1372">_xlfn.IFS(Table1[[#This Row],[JobSatisfaction]]=1,"Low",Table1[[#This Row],[JobSatisfaction]]=2,"Medium",Table1[[#This Row],[JobSatisfaction]]=3,"High",Table1[[#This Row],[JobSatisfaction]]=4,"Very High")</f>
        <v>Medium</v>
      </c>
      <c r="AM1372">
        <f>IF(Table1[[#This Row],[Attrition]]="Yes",1,0)</f>
        <v>0</v>
      </c>
    </row>
    <row r="1373" spans="1:39" ht="13.8" x14ac:dyDescent="0.25">
      <c r="A1373">
        <v>56</v>
      </c>
      <c r="B1373" t="str" cm="1">
        <f t="array" ref="B1373">_xlfn.IFS(Table1[[#This Row],[Age]]&lt;30,"Under 30",Table1[[#This Row],[Age]]&lt;=40,"30-40",Table1[[#This Row],[Age]]&lt;=50,"41-50",Table1[[#This Row],[Age]]&gt;50,"Over 50")</f>
        <v>Over 50</v>
      </c>
      <c r="C1373" t="s">
        <v>43</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t="str" cm="1">
        <f t="array" ref="AH1373">_xlfn.IFS(Table1[[#This Row],[YearsAtCompany]]&lt;=2,"0-2 years",Table1[[#This Row],[YearsAtCompany]]&lt;=5,"3-5 years",Table1[[#This Row],[YearsAtCompany]]&lt;=10,"6-10 years",Table1[[#This Row],[YearsAtCompany]]&gt;10,"10+ years")</f>
        <v>0-2 years</v>
      </c>
      <c r="AI1373">
        <v>0</v>
      </c>
      <c r="AJ1373">
        <v>0</v>
      </c>
      <c r="AK1373">
        <v>0</v>
      </c>
      <c r="AL1373" t="str" cm="1">
        <f t="array" ref="AL1373">_xlfn.IFS(Table1[[#This Row],[JobSatisfaction]]=1,"Low",Table1[[#This Row],[JobSatisfaction]]=2,"Medium",Table1[[#This Row],[JobSatisfaction]]=3,"High",Table1[[#This Row],[JobSatisfaction]]=4,"Very High")</f>
        <v>Low</v>
      </c>
      <c r="AM1373">
        <f>IF(Table1[[#This Row],[Attrition]]="Yes",1,0)</f>
        <v>0</v>
      </c>
    </row>
    <row r="1374" spans="1:39" ht="13.8" x14ac:dyDescent="0.25">
      <c r="A1374">
        <v>39</v>
      </c>
      <c r="B1374" t="str" cm="1">
        <f t="array" ref="B1374">_xlfn.IFS(Table1[[#This Row],[Age]]&lt;30,"Under 30",Table1[[#This Row],[Age]]&lt;=40,"30-40",Table1[[#This Row],[Age]]&lt;=50,"41-50",Table1[[#This Row],[Age]]&gt;50,"Over 50")</f>
        <v>30-40</v>
      </c>
      <c r="C1374" t="s">
        <v>43</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t="str" cm="1">
        <f t="array" ref="AH1374">_xlfn.IFS(Table1[[#This Row],[YearsAtCompany]]&lt;=2,"0-2 years",Table1[[#This Row],[YearsAtCompany]]&lt;=5,"3-5 years",Table1[[#This Row],[YearsAtCompany]]&lt;=10,"6-10 years",Table1[[#This Row],[YearsAtCompany]]&gt;10,"10+ years")</f>
        <v>6-10 years</v>
      </c>
      <c r="AI1374">
        <v>0</v>
      </c>
      <c r="AJ1374">
        <v>7</v>
      </c>
      <c r="AK1374">
        <v>9</v>
      </c>
      <c r="AL1374" t="str" cm="1">
        <f t="array" ref="AL1374">_xlfn.IFS(Table1[[#This Row],[JobSatisfaction]]=1,"Low",Table1[[#This Row],[JobSatisfaction]]=2,"Medium",Table1[[#This Row],[JobSatisfaction]]=3,"High",Table1[[#This Row],[JobSatisfaction]]=4,"Very High")</f>
        <v>Low</v>
      </c>
      <c r="AM1374">
        <f>IF(Table1[[#This Row],[Attrition]]="Yes",1,0)</f>
        <v>0</v>
      </c>
    </row>
    <row r="1375" spans="1:39" ht="13.8" x14ac:dyDescent="0.25">
      <c r="A1375">
        <v>38</v>
      </c>
      <c r="B1375" t="str" cm="1">
        <f t="array" ref="B1375">_xlfn.IFS(Table1[[#This Row],[Age]]&lt;30,"Under 30",Table1[[#This Row],[Age]]&lt;=40,"30-40",Table1[[#This Row],[Age]]&lt;=50,"41-50",Table1[[#This Row],[Age]]&gt;50,"Over 50")</f>
        <v>30-40</v>
      </c>
      <c r="C1375" t="s">
        <v>43</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t="str" cm="1">
        <f t="array" ref="AH1375">_xlfn.IFS(Table1[[#This Row],[YearsAtCompany]]&lt;=2,"0-2 years",Table1[[#This Row],[YearsAtCompany]]&lt;=5,"3-5 years",Table1[[#This Row],[YearsAtCompany]]&lt;=10,"6-10 years",Table1[[#This Row],[YearsAtCompany]]&gt;10,"10+ years")</f>
        <v>10+ years</v>
      </c>
      <c r="AI1375">
        <v>11</v>
      </c>
      <c r="AJ1375">
        <v>0</v>
      </c>
      <c r="AK1375">
        <v>7</v>
      </c>
      <c r="AL1375" t="str" cm="1">
        <f t="array" ref="AL1375">_xlfn.IFS(Table1[[#This Row],[JobSatisfaction]]=1,"Low",Table1[[#This Row],[JobSatisfaction]]=2,"Medium",Table1[[#This Row],[JobSatisfaction]]=3,"High",Table1[[#This Row],[JobSatisfaction]]=4,"Very High")</f>
        <v>Medium</v>
      </c>
      <c r="AM1375">
        <f>IF(Table1[[#This Row],[Attrition]]="Yes",1,0)</f>
        <v>0</v>
      </c>
    </row>
    <row r="1376" spans="1:39" ht="13.8" x14ac:dyDescent="0.25">
      <c r="A1376">
        <v>58</v>
      </c>
      <c r="B1376" t="str" cm="1">
        <f t="array" ref="B1376">_xlfn.IFS(Table1[[#This Row],[Age]]&lt;30,"Under 30",Table1[[#This Row],[Age]]&lt;=40,"30-40",Table1[[#This Row],[Age]]&lt;=50,"41-50",Table1[[#This Row],[Age]]&gt;50,"Over 50")</f>
        <v>Over 50</v>
      </c>
      <c r="C1376" t="s">
        <v>43</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t="str" cm="1">
        <f t="array" ref="AH1376">_xlfn.IFS(Table1[[#This Row],[YearsAtCompany]]&lt;=2,"0-2 years",Table1[[#This Row],[YearsAtCompany]]&lt;=5,"3-5 years",Table1[[#This Row],[YearsAtCompany]]&lt;=10,"6-10 years",Table1[[#This Row],[YearsAtCompany]]&gt;10,"10+ years")</f>
        <v>0-2 years</v>
      </c>
      <c r="AI1376">
        <v>0</v>
      </c>
      <c r="AJ1376">
        <v>0</v>
      </c>
      <c r="AK1376">
        <v>0</v>
      </c>
      <c r="AL1376" t="str" cm="1">
        <f t="array" ref="AL1376">_xlfn.IFS(Table1[[#This Row],[JobSatisfaction]]=1,"Low",Table1[[#This Row],[JobSatisfaction]]=2,"Medium",Table1[[#This Row],[JobSatisfaction]]=3,"High",Table1[[#This Row],[JobSatisfaction]]=4,"Very High")</f>
        <v>Very High</v>
      </c>
      <c r="AM1376">
        <f>IF(Table1[[#This Row],[Attrition]]="Yes",1,0)</f>
        <v>0</v>
      </c>
    </row>
    <row r="1377" spans="1:39" ht="13.8" x14ac:dyDescent="0.25">
      <c r="A1377">
        <v>32</v>
      </c>
      <c r="B1377" t="str" cm="1">
        <f t="array" ref="B1377">_xlfn.IFS(Table1[[#This Row],[Age]]&lt;30,"Under 30",Table1[[#This Row],[Age]]&lt;=40,"30-40",Table1[[#This Row],[Age]]&lt;=50,"41-50",Table1[[#This Row],[Age]]&gt;50,"Over 50")</f>
        <v>30-40</v>
      </c>
      <c r="C1377" t="s">
        <v>35</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t="str" cm="1">
        <f t="array" ref="AH1377">_xlfn.IFS(Table1[[#This Row],[YearsAtCompany]]&lt;=2,"0-2 years",Table1[[#This Row],[YearsAtCompany]]&lt;=5,"3-5 years",Table1[[#This Row],[YearsAtCompany]]&lt;=10,"6-10 years",Table1[[#This Row],[YearsAtCompany]]&gt;10,"10+ years")</f>
        <v>3-5 years</v>
      </c>
      <c r="AI1377">
        <v>1</v>
      </c>
      <c r="AJ1377">
        <v>0</v>
      </c>
      <c r="AK1377">
        <v>3</v>
      </c>
      <c r="AL1377" t="str" cm="1">
        <f t="array" ref="AL1377">_xlfn.IFS(Table1[[#This Row],[JobSatisfaction]]=1,"Low",Table1[[#This Row],[JobSatisfaction]]=2,"Medium",Table1[[#This Row],[JobSatisfaction]]=3,"High",Table1[[#This Row],[JobSatisfaction]]=4,"Very High")</f>
        <v>High</v>
      </c>
      <c r="AM1377">
        <f>IF(Table1[[#This Row],[Attrition]]="Yes",1,0)</f>
        <v>1</v>
      </c>
    </row>
    <row r="1378" spans="1:39" ht="13.8" x14ac:dyDescent="0.25">
      <c r="A1378">
        <v>38</v>
      </c>
      <c r="B1378" t="str" cm="1">
        <f t="array" ref="B1378">_xlfn.IFS(Table1[[#This Row],[Age]]&lt;30,"Under 30",Table1[[#This Row],[Age]]&lt;=40,"30-40",Table1[[#This Row],[Age]]&lt;=50,"41-50",Table1[[#This Row],[Age]]&gt;50,"Over 50")</f>
        <v>30-40</v>
      </c>
      <c r="C1378" t="s">
        <v>43</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t="str" cm="1">
        <f t="array" ref="AH1378">_xlfn.IFS(Table1[[#This Row],[YearsAtCompany]]&lt;=2,"0-2 years",Table1[[#This Row],[YearsAtCompany]]&lt;=5,"3-5 years",Table1[[#This Row],[YearsAtCompany]]&lt;=10,"6-10 years",Table1[[#This Row],[YearsAtCompany]]&gt;10,"10+ years")</f>
        <v>3-5 years</v>
      </c>
      <c r="AI1378">
        <v>2</v>
      </c>
      <c r="AJ1378">
        <v>0</v>
      </c>
      <c r="AK1378">
        <v>3</v>
      </c>
      <c r="AL1378" t="str" cm="1">
        <f t="array" ref="AL1378">_xlfn.IFS(Table1[[#This Row],[JobSatisfaction]]=1,"Low",Table1[[#This Row],[JobSatisfaction]]=2,"Medium",Table1[[#This Row],[JobSatisfaction]]=3,"High",Table1[[#This Row],[JobSatisfaction]]=4,"Very High")</f>
        <v>Very High</v>
      </c>
      <c r="AM1378">
        <f>IF(Table1[[#This Row],[Attrition]]="Yes",1,0)</f>
        <v>0</v>
      </c>
    </row>
    <row r="1379" spans="1:39" ht="13.8" x14ac:dyDescent="0.25">
      <c r="A1379">
        <v>49</v>
      </c>
      <c r="B1379" t="str" cm="1">
        <f t="array" ref="B1379">_xlfn.IFS(Table1[[#This Row],[Age]]&lt;30,"Under 30",Table1[[#This Row],[Age]]&lt;=40,"30-40",Table1[[#This Row],[Age]]&lt;=50,"41-50",Table1[[#This Row],[Age]]&gt;50,"Over 50")</f>
        <v>41-50</v>
      </c>
      <c r="C1379" t="s">
        <v>43</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t="str" cm="1">
        <f t="array" ref="AH1379">_xlfn.IFS(Table1[[#This Row],[YearsAtCompany]]&lt;=2,"0-2 years",Table1[[#This Row],[YearsAtCompany]]&lt;=5,"3-5 years",Table1[[#This Row],[YearsAtCompany]]&lt;=10,"6-10 years",Table1[[#This Row],[YearsAtCompany]]&gt;10,"10+ years")</f>
        <v>3-5 years</v>
      </c>
      <c r="AI1379">
        <v>4</v>
      </c>
      <c r="AJ1379">
        <v>4</v>
      </c>
      <c r="AK1379">
        <v>3</v>
      </c>
      <c r="AL1379" t="str" cm="1">
        <f t="array" ref="AL1379">_xlfn.IFS(Table1[[#This Row],[JobSatisfaction]]=1,"Low",Table1[[#This Row],[JobSatisfaction]]=2,"Medium",Table1[[#This Row],[JobSatisfaction]]=3,"High",Table1[[#This Row],[JobSatisfaction]]=4,"Very High")</f>
        <v>Very High</v>
      </c>
      <c r="AM1379">
        <f>IF(Table1[[#This Row],[Attrition]]="Yes",1,0)</f>
        <v>0</v>
      </c>
    </row>
    <row r="1380" spans="1:39" ht="13.8" x14ac:dyDescent="0.25">
      <c r="A1380">
        <v>42</v>
      </c>
      <c r="B1380" t="str" cm="1">
        <f t="array" ref="B1380">_xlfn.IFS(Table1[[#This Row],[Age]]&lt;30,"Under 30",Table1[[#This Row],[Age]]&lt;=40,"30-40",Table1[[#This Row],[Age]]&lt;=50,"41-50",Table1[[#This Row],[Age]]&gt;50,"Over 50")</f>
        <v>41-50</v>
      </c>
      <c r="C1380" t="s">
        <v>43</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t="str" cm="1">
        <f t="array" ref="AH1380">_xlfn.IFS(Table1[[#This Row],[YearsAtCompany]]&lt;=2,"0-2 years",Table1[[#This Row],[YearsAtCompany]]&lt;=5,"3-5 years",Table1[[#This Row],[YearsAtCompany]]&lt;=10,"6-10 years",Table1[[#This Row],[YearsAtCompany]]&gt;10,"10+ years")</f>
        <v>0-2 years</v>
      </c>
      <c r="AI1380">
        <v>0</v>
      </c>
      <c r="AJ1380">
        <v>0</v>
      </c>
      <c r="AK1380">
        <v>0</v>
      </c>
      <c r="AL1380" t="str" cm="1">
        <f t="array" ref="AL1380">_xlfn.IFS(Table1[[#This Row],[JobSatisfaction]]=1,"Low",Table1[[#This Row],[JobSatisfaction]]=2,"Medium",Table1[[#This Row],[JobSatisfaction]]=3,"High",Table1[[#This Row],[JobSatisfaction]]=4,"Very High")</f>
        <v>Very High</v>
      </c>
      <c r="AM1380">
        <f>IF(Table1[[#This Row],[Attrition]]="Yes",1,0)</f>
        <v>0</v>
      </c>
    </row>
    <row r="1381" spans="1:39" ht="13.8" x14ac:dyDescent="0.25">
      <c r="A1381">
        <v>27</v>
      </c>
      <c r="B1381" t="str" cm="1">
        <f t="array" ref="B1381">_xlfn.IFS(Table1[[#This Row],[Age]]&lt;30,"Under 30",Table1[[#This Row],[Age]]&lt;=40,"30-40",Table1[[#This Row],[Age]]&lt;=50,"41-50",Table1[[#This Row],[Age]]&gt;50,"Over 50")</f>
        <v>Under 30</v>
      </c>
      <c r="C1381" t="s">
        <v>35</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t="str" cm="1">
        <f t="array" ref="AH1381">_xlfn.IFS(Table1[[#This Row],[YearsAtCompany]]&lt;=2,"0-2 years",Table1[[#This Row],[YearsAtCompany]]&lt;=5,"3-5 years",Table1[[#This Row],[YearsAtCompany]]&lt;=10,"6-10 years",Table1[[#This Row],[YearsAtCompany]]&gt;10,"10+ years")</f>
        <v>0-2 years</v>
      </c>
      <c r="AI1381">
        <v>0</v>
      </c>
      <c r="AJ1381">
        <v>0</v>
      </c>
      <c r="AK1381">
        <v>0</v>
      </c>
      <c r="AL1381" t="str" cm="1">
        <f t="array" ref="AL1381">_xlfn.IFS(Table1[[#This Row],[JobSatisfaction]]=1,"Low",Table1[[#This Row],[JobSatisfaction]]=2,"Medium",Table1[[#This Row],[JobSatisfaction]]=3,"High",Table1[[#This Row],[JobSatisfaction]]=4,"Very High")</f>
        <v>Medium</v>
      </c>
      <c r="AM1381">
        <f>IF(Table1[[#This Row],[Attrition]]="Yes",1,0)</f>
        <v>1</v>
      </c>
    </row>
    <row r="1382" spans="1:39" ht="13.8" x14ac:dyDescent="0.25">
      <c r="A1382">
        <v>35</v>
      </c>
      <c r="B1382" t="str" cm="1">
        <f t="array" ref="B1382">_xlfn.IFS(Table1[[#This Row],[Age]]&lt;30,"Under 30",Table1[[#This Row],[Age]]&lt;=40,"30-40",Table1[[#This Row],[Age]]&lt;=50,"41-50",Table1[[#This Row],[Age]]&gt;50,"Over 50")</f>
        <v>30-40</v>
      </c>
      <c r="C1382" t="s">
        <v>43</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t="str" cm="1">
        <f t="array" ref="AH1382">_xlfn.IFS(Table1[[#This Row],[YearsAtCompany]]&lt;=2,"0-2 years",Table1[[#This Row],[YearsAtCompany]]&lt;=5,"3-5 years",Table1[[#This Row],[YearsAtCompany]]&lt;=10,"6-10 years",Table1[[#This Row],[YearsAtCompany]]&gt;10,"10+ years")</f>
        <v>3-5 years</v>
      </c>
      <c r="AI1382">
        <v>3</v>
      </c>
      <c r="AJ1382">
        <v>0</v>
      </c>
      <c r="AK1382">
        <v>4</v>
      </c>
      <c r="AL1382" t="str" cm="1">
        <f t="array" ref="AL1382">_xlfn.IFS(Table1[[#This Row],[JobSatisfaction]]=1,"Low",Table1[[#This Row],[JobSatisfaction]]=2,"Medium",Table1[[#This Row],[JobSatisfaction]]=3,"High",Table1[[#This Row],[JobSatisfaction]]=4,"Very High")</f>
        <v>Low</v>
      </c>
      <c r="AM1382">
        <f>IF(Table1[[#This Row],[Attrition]]="Yes",1,0)</f>
        <v>0</v>
      </c>
    </row>
    <row r="1383" spans="1:39" ht="13.8" x14ac:dyDescent="0.25">
      <c r="A1383">
        <v>28</v>
      </c>
      <c r="B1383" t="str" cm="1">
        <f t="array" ref="B1383">_xlfn.IFS(Table1[[#This Row],[Age]]&lt;30,"Under 30",Table1[[#This Row],[Age]]&lt;=40,"30-40",Table1[[#This Row],[Age]]&lt;=50,"41-50",Table1[[#This Row],[Age]]&gt;50,"Over 50")</f>
        <v>Under 30</v>
      </c>
      <c r="C1383" t="s">
        <v>43</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t="str" cm="1">
        <f t="array" ref="AH1383">_xlfn.IFS(Table1[[#This Row],[YearsAtCompany]]&lt;=2,"0-2 years",Table1[[#This Row],[YearsAtCompany]]&lt;=5,"3-5 years",Table1[[#This Row],[YearsAtCompany]]&lt;=10,"6-10 years",Table1[[#This Row],[YearsAtCompany]]&gt;10,"10+ years")</f>
        <v>3-5 years</v>
      </c>
      <c r="AI1383">
        <v>3</v>
      </c>
      <c r="AJ1383">
        <v>1</v>
      </c>
      <c r="AK1383">
        <v>4</v>
      </c>
      <c r="AL1383" t="str" cm="1">
        <f t="array" ref="AL1383">_xlfn.IFS(Table1[[#This Row],[JobSatisfaction]]=1,"Low",Table1[[#This Row],[JobSatisfaction]]=2,"Medium",Table1[[#This Row],[JobSatisfaction]]=3,"High",Table1[[#This Row],[JobSatisfaction]]=4,"Very High")</f>
        <v>High</v>
      </c>
      <c r="AM1383">
        <f>IF(Table1[[#This Row],[Attrition]]="Yes",1,0)</f>
        <v>0</v>
      </c>
    </row>
    <row r="1384" spans="1:39" ht="13.8" x14ac:dyDescent="0.25">
      <c r="A1384">
        <v>31</v>
      </c>
      <c r="B1384" t="str" cm="1">
        <f t="array" ref="B1384">_xlfn.IFS(Table1[[#This Row],[Age]]&lt;30,"Under 30",Table1[[#This Row],[Age]]&lt;=40,"30-40",Table1[[#This Row],[Age]]&lt;=50,"41-50",Table1[[#This Row],[Age]]&gt;50,"Over 50")</f>
        <v>30-40</v>
      </c>
      <c r="C1384" t="s">
        <v>43</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t="str" cm="1">
        <f t="array" ref="AH1384">_xlfn.IFS(Table1[[#This Row],[YearsAtCompany]]&lt;=2,"0-2 years",Table1[[#This Row],[YearsAtCompany]]&lt;=5,"3-5 years",Table1[[#This Row],[YearsAtCompany]]&lt;=10,"6-10 years",Table1[[#This Row],[YearsAtCompany]]&gt;10,"10+ years")</f>
        <v>3-5 years</v>
      </c>
      <c r="AI1384">
        <v>2</v>
      </c>
      <c r="AJ1384">
        <v>2</v>
      </c>
      <c r="AK1384">
        <v>3</v>
      </c>
      <c r="AL1384" t="str" cm="1">
        <f t="array" ref="AL1384">_xlfn.IFS(Table1[[#This Row],[JobSatisfaction]]=1,"Low",Table1[[#This Row],[JobSatisfaction]]=2,"Medium",Table1[[#This Row],[JobSatisfaction]]=3,"High",Table1[[#This Row],[JobSatisfaction]]=4,"Very High")</f>
        <v>Low</v>
      </c>
      <c r="AM1384">
        <f>IF(Table1[[#This Row],[Attrition]]="Yes",1,0)</f>
        <v>0</v>
      </c>
    </row>
    <row r="1385" spans="1:39" ht="13.8" x14ac:dyDescent="0.25">
      <c r="A1385">
        <v>36</v>
      </c>
      <c r="B1385" t="str" cm="1">
        <f t="array" ref="B1385">_xlfn.IFS(Table1[[#This Row],[Age]]&lt;30,"Under 30",Table1[[#This Row],[Age]]&lt;=40,"30-40",Table1[[#This Row],[Age]]&lt;=50,"41-50",Table1[[#This Row],[Age]]&gt;50,"Over 50")</f>
        <v>30-40</v>
      </c>
      <c r="C1385" t="s">
        <v>43</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t="str" cm="1">
        <f t="array" ref="AH1385">_xlfn.IFS(Table1[[#This Row],[YearsAtCompany]]&lt;=2,"0-2 years",Table1[[#This Row],[YearsAtCompany]]&lt;=5,"3-5 years",Table1[[#This Row],[YearsAtCompany]]&lt;=10,"6-10 years",Table1[[#This Row],[YearsAtCompany]]&gt;10,"10+ years")</f>
        <v>3-5 years</v>
      </c>
      <c r="AI1385">
        <v>4</v>
      </c>
      <c r="AJ1385">
        <v>0</v>
      </c>
      <c r="AK1385">
        <v>2</v>
      </c>
      <c r="AL1385" t="str" cm="1">
        <f t="array" ref="AL1385">_xlfn.IFS(Table1[[#This Row],[JobSatisfaction]]=1,"Low",Table1[[#This Row],[JobSatisfaction]]=2,"Medium",Table1[[#This Row],[JobSatisfaction]]=3,"High",Table1[[#This Row],[JobSatisfaction]]=4,"Very High")</f>
        <v>Medium</v>
      </c>
      <c r="AM1385">
        <f>IF(Table1[[#This Row],[Attrition]]="Yes",1,0)</f>
        <v>0</v>
      </c>
    </row>
    <row r="1386" spans="1:39" ht="13.8" x14ac:dyDescent="0.25">
      <c r="A1386">
        <v>34</v>
      </c>
      <c r="B1386" t="str" cm="1">
        <f t="array" ref="B1386">_xlfn.IFS(Table1[[#This Row],[Age]]&lt;30,"Under 30",Table1[[#This Row],[Age]]&lt;=40,"30-40",Table1[[#This Row],[Age]]&lt;=50,"41-50",Table1[[#This Row],[Age]]&gt;50,"Over 50")</f>
        <v>30-40</v>
      </c>
      <c r="C1386" t="s">
        <v>43</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t="str" cm="1">
        <f t="array" ref="AH1386">_xlfn.IFS(Table1[[#This Row],[YearsAtCompany]]&lt;=2,"0-2 years",Table1[[#This Row],[YearsAtCompany]]&lt;=5,"3-5 years",Table1[[#This Row],[YearsAtCompany]]&lt;=10,"6-10 years",Table1[[#This Row],[YearsAtCompany]]&gt;10,"10+ years")</f>
        <v>10+ years</v>
      </c>
      <c r="AI1386">
        <v>8</v>
      </c>
      <c r="AJ1386">
        <v>2</v>
      </c>
      <c r="AK1386">
        <v>1</v>
      </c>
      <c r="AL1386" t="str" cm="1">
        <f t="array" ref="AL1386">_xlfn.IFS(Table1[[#This Row],[JobSatisfaction]]=1,"Low",Table1[[#This Row],[JobSatisfaction]]=2,"Medium",Table1[[#This Row],[JobSatisfaction]]=3,"High",Table1[[#This Row],[JobSatisfaction]]=4,"Very High")</f>
        <v>Very High</v>
      </c>
      <c r="AM1386">
        <f>IF(Table1[[#This Row],[Attrition]]="Yes",1,0)</f>
        <v>0</v>
      </c>
    </row>
    <row r="1387" spans="1:39" ht="13.8" x14ac:dyDescent="0.25">
      <c r="A1387">
        <v>34</v>
      </c>
      <c r="B1387" t="str" cm="1">
        <f t="array" ref="B1387">_xlfn.IFS(Table1[[#This Row],[Age]]&lt;30,"Under 30",Table1[[#This Row],[Age]]&lt;=40,"30-40",Table1[[#This Row],[Age]]&lt;=50,"41-50",Table1[[#This Row],[Age]]&gt;50,"Over 50")</f>
        <v>30-40</v>
      </c>
      <c r="C1387" t="s">
        <v>43</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t="str" cm="1">
        <f t="array" ref="AH1387">_xlfn.IFS(Table1[[#This Row],[YearsAtCompany]]&lt;=2,"0-2 years",Table1[[#This Row],[YearsAtCompany]]&lt;=5,"3-5 years",Table1[[#This Row],[YearsAtCompany]]&lt;=10,"6-10 years",Table1[[#This Row],[YearsAtCompany]]&gt;10,"10+ years")</f>
        <v>6-10 years</v>
      </c>
      <c r="AI1387">
        <v>7</v>
      </c>
      <c r="AJ1387">
        <v>1</v>
      </c>
      <c r="AK1387">
        <v>1</v>
      </c>
      <c r="AL1387" t="str" cm="1">
        <f t="array" ref="AL1387">_xlfn.IFS(Table1[[#This Row],[JobSatisfaction]]=1,"Low",Table1[[#This Row],[JobSatisfaction]]=2,"Medium",Table1[[#This Row],[JobSatisfaction]]=3,"High",Table1[[#This Row],[JobSatisfaction]]=4,"Very High")</f>
        <v>High</v>
      </c>
      <c r="AM1387">
        <f>IF(Table1[[#This Row],[Attrition]]="Yes",1,0)</f>
        <v>0</v>
      </c>
    </row>
    <row r="1388" spans="1:39" ht="13.8" x14ac:dyDescent="0.25">
      <c r="A1388">
        <v>26</v>
      </c>
      <c r="B1388" t="str" cm="1">
        <f t="array" ref="B1388">_xlfn.IFS(Table1[[#This Row],[Age]]&lt;30,"Under 30",Table1[[#This Row],[Age]]&lt;=40,"30-40",Table1[[#This Row],[Age]]&lt;=50,"41-50",Table1[[#This Row],[Age]]&gt;50,"Over 50")</f>
        <v>Under 30</v>
      </c>
      <c r="C1388" t="s">
        <v>43</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t="str" cm="1">
        <f t="array" ref="AH1388">_xlfn.IFS(Table1[[#This Row],[YearsAtCompany]]&lt;=2,"0-2 years",Table1[[#This Row],[YearsAtCompany]]&lt;=5,"3-5 years",Table1[[#This Row],[YearsAtCompany]]&lt;=10,"6-10 years",Table1[[#This Row],[YearsAtCompany]]&gt;10,"10+ years")</f>
        <v>6-10 years</v>
      </c>
      <c r="AI1388">
        <v>7</v>
      </c>
      <c r="AJ1388">
        <v>7</v>
      </c>
      <c r="AK1388">
        <v>6</v>
      </c>
      <c r="AL1388" t="str" cm="1">
        <f t="array" ref="AL1388">_xlfn.IFS(Table1[[#This Row],[JobSatisfaction]]=1,"Low",Table1[[#This Row],[JobSatisfaction]]=2,"Medium",Table1[[#This Row],[JobSatisfaction]]=3,"High",Table1[[#This Row],[JobSatisfaction]]=4,"Very High")</f>
        <v>Low</v>
      </c>
      <c r="AM1388">
        <f>IF(Table1[[#This Row],[Attrition]]="Yes",1,0)</f>
        <v>0</v>
      </c>
    </row>
    <row r="1389" spans="1:39" ht="13.8" x14ac:dyDescent="0.25">
      <c r="A1389">
        <v>29</v>
      </c>
      <c r="B1389" t="str" cm="1">
        <f t="array" ref="B1389">_xlfn.IFS(Table1[[#This Row],[Age]]&lt;30,"Under 30",Table1[[#This Row],[Age]]&lt;=40,"30-40",Table1[[#This Row],[Age]]&lt;=50,"41-50",Table1[[#This Row],[Age]]&gt;50,"Over 50")</f>
        <v>Under 30</v>
      </c>
      <c r="C1389" t="s">
        <v>43</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t="str" cm="1">
        <f t="array" ref="AH1389">_xlfn.IFS(Table1[[#This Row],[YearsAtCompany]]&lt;=2,"0-2 years",Table1[[#This Row],[YearsAtCompany]]&lt;=5,"3-5 years",Table1[[#This Row],[YearsAtCompany]]&lt;=10,"6-10 years",Table1[[#This Row],[YearsAtCompany]]&gt;10,"10+ years")</f>
        <v>3-5 years</v>
      </c>
      <c r="AI1389">
        <v>3</v>
      </c>
      <c r="AJ1389">
        <v>0</v>
      </c>
      <c r="AK1389">
        <v>2</v>
      </c>
      <c r="AL1389" t="str" cm="1">
        <f t="array" ref="AL1389">_xlfn.IFS(Table1[[#This Row],[JobSatisfaction]]=1,"Low",Table1[[#This Row],[JobSatisfaction]]=2,"Medium",Table1[[#This Row],[JobSatisfaction]]=3,"High",Table1[[#This Row],[JobSatisfaction]]=4,"Very High")</f>
        <v>Low</v>
      </c>
      <c r="AM1389">
        <f>IF(Table1[[#This Row],[Attrition]]="Yes",1,0)</f>
        <v>0</v>
      </c>
    </row>
    <row r="1390" spans="1:39" ht="13.8" x14ac:dyDescent="0.25">
      <c r="A1390">
        <v>32</v>
      </c>
      <c r="B1390" t="str" cm="1">
        <f t="array" ref="B1390">_xlfn.IFS(Table1[[#This Row],[Age]]&lt;30,"Under 30",Table1[[#This Row],[Age]]&lt;=40,"30-40",Table1[[#This Row],[Age]]&lt;=50,"41-50",Table1[[#This Row],[Age]]&gt;50,"Over 50")</f>
        <v>30-40</v>
      </c>
      <c r="C1390" t="s">
        <v>43</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t="str" cm="1">
        <f t="array" ref="AH1390">_xlfn.IFS(Table1[[#This Row],[YearsAtCompany]]&lt;=2,"0-2 years",Table1[[#This Row],[YearsAtCompany]]&lt;=5,"3-5 years",Table1[[#This Row],[YearsAtCompany]]&lt;=10,"6-10 years",Table1[[#This Row],[YearsAtCompany]]&gt;10,"10+ years")</f>
        <v>3-5 years</v>
      </c>
      <c r="AI1390">
        <v>1</v>
      </c>
      <c r="AJ1390">
        <v>1</v>
      </c>
      <c r="AK1390">
        <v>2</v>
      </c>
      <c r="AL1390" t="str" cm="1">
        <f t="array" ref="AL1390">_xlfn.IFS(Table1[[#This Row],[JobSatisfaction]]=1,"Low",Table1[[#This Row],[JobSatisfaction]]=2,"Medium",Table1[[#This Row],[JobSatisfaction]]=3,"High",Table1[[#This Row],[JobSatisfaction]]=4,"Very High")</f>
        <v>Very High</v>
      </c>
      <c r="AM1390">
        <f>IF(Table1[[#This Row],[Attrition]]="Yes",1,0)</f>
        <v>0</v>
      </c>
    </row>
    <row r="1391" spans="1:39" ht="13.8" x14ac:dyDescent="0.25">
      <c r="A1391">
        <v>31</v>
      </c>
      <c r="B1391" t="str" cm="1">
        <f t="array" ref="B1391">_xlfn.IFS(Table1[[#This Row],[Age]]&lt;30,"Under 30",Table1[[#This Row],[Age]]&lt;=40,"30-40",Table1[[#This Row],[Age]]&lt;=50,"41-50",Table1[[#This Row],[Age]]&gt;50,"Over 50")</f>
        <v>30-40</v>
      </c>
      <c r="C1391" t="s">
        <v>43</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t="str" cm="1">
        <f t="array" ref="AH1391">_xlfn.IFS(Table1[[#This Row],[YearsAtCompany]]&lt;=2,"0-2 years",Table1[[#This Row],[YearsAtCompany]]&lt;=5,"3-5 years",Table1[[#This Row],[YearsAtCompany]]&lt;=10,"6-10 years",Table1[[#This Row],[YearsAtCompany]]&gt;10,"10+ years")</f>
        <v>6-10 years</v>
      </c>
      <c r="AI1391">
        <v>8</v>
      </c>
      <c r="AJ1391">
        <v>8</v>
      </c>
      <c r="AK1391">
        <v>7</v>
      </c>
      <c r="AL1391" t="str" cm="1">
        <f t="array" ref="AL1391">_xlfn.IFS(Table1[[#This Row],[JobSatisfaction]]=1,"Low",Table1[[#This Row],[JobSatisfaction]]=2,"Medium",Table1[[#This Row],[JobSatisfaction]]=3,"High",Table1[[#This Row],[JobSatisfaction]]=4,"Very High")</f>
        <v>Low</v>
      </c>
      <c r="AM1391">
        <f>IF(Table1[[#This Row],[Attrition]]="Yes",1,0)</f>
        <v>0</v>
      </c>
    </row>
    <row r="1392" spans="1:39" ht="13.8" x14ac:dyDescent="0.25">
      <c r="A1392">
        <v>28</v>
      </c>
      <c r="B1392" t="str" cm="1">
        <f t="array" ref="B1392">_xlfn.IFS(Table1[[#This Row],[Age]]&lt;30,"Under 30",Table1[[#This Row],[Age]]&lt;=40,"30-40",Table1[[#This Row],[Age]]&lt;=50,"41-50",Table1[[#This Row],[Age]]&gt;50,"Over 50")</f>
        <v>Under 30</v>
      </c>
      <c r="C1392" t="s">
        <v>35</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t="str" cm="1">
        <f t="array" ref="AH1392">_xlfn.IFS(Table1[[#This Row],[YearsAtCompany]]&lt;=2,"0-2 years",Table1[[#This Row],[YearsAtCompany]]&lt;=5,"3-5 years",Table1[[#This Row],[YearsAtCompany]]&lt;=10,"6-10 years",Table1[[#This Row],[YearsAtCompany]]&gt;10,"10+ years")</f>
        <v>3-5 years</v>
      </c>
      <c r="AI1392">
        <v>1</v>
      </c>
      <c r="AJ1392">
        <v>0</v>
      </c>
      <c r="AK1392">
        <v>3</v>
      </c>
      <c r="AL1392" t="str" cm="1">
        <f t="array" ref="AL1392">_xlfn.IFS(Table1[[#This Row],[JobSatisfaction]]=1,"Low",Table1[[#This Row],[JobSatisfaction]]=2,"Medium",Table1[[#This Row],[JobSatisfaction]]=3,"High",Table1[[#This Row],[JobSatisfaction]]=4,"Very High")</f>
        <v>Very High</v>
      </c>
      <c r="AM1392">
        <f>IF(Table1[[#This Row],[Attrition]]="Yes",1,0)</f>
        <v>1</v>
      </c>
    </row>
    <row r="1393" spans="1:39" ht="13.8" x14ac:dyDescent="0.25">
      <c r="A1393">
        <v>38</v>
      </c>
      <c r="B1393" t="str" cm="1">
        <f t="array" ref="B1393">_xlfn.IFS(Table1[[#This Row],[Age]]&lt;30,"Under 30",Table1[[#This Row],[Age]]&lt;=40,"30-40",Table1[[#This Row],[Age]]&lt;=50,"41-50",Table1[[#This Row],[Age]]&gt;50,"Over 50")</f>
        <v>30-40</v>
      </c>
      <c r="C1393" t="s">
        <v>43</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t="str" cm="1">
        <f t="array" ref="AH1393">_xlfn.IFS(Table1[[#This Row],[YearsAtCompany]]&lt;=2,"0-2 years",Table1[[#This Row],[YearsAtCompany]]&lt;=5,"3-5 years",Table1[[#This Row],[YearsAtCompany]]&lt;=10,"6-10 years",Table1[[#This Row],[YearsAtCompany]]&gt;10,"10+ years")</f>
        <v>0-2 years</v>
      </c>
      <c r="AI1393">
        <v>0</v>
      </c>
      <c r="AJ1393">
        <v>0</v>
      </c>
      <c r="AK1393">
        <v>0</v>
      </c>
      <c r="AL1393" t="str" cm="1">
        <f t="array" ref="AL1393">_xlfn.IFS(Table1[[#This Row],[JobSatisfaction]]=1,"Low",Table1[[#This Row],[JobSatisfaction]]=2,"Medium",Table1[[#This Row],[JobSatisfaction]]=3,"High",Table1[[#This Row],[JobSatisfaction]]=4,"Very High")</f>
        <v>Low</v>
      </c>
      <c r="AM1393">
        <f>IF(Table1[[#This Row],[Attrition]]="Yes",1,0)</f>
        <v>0</v>
      </c>
    </row>
    <row r="1394" spans="1:39" ht="13.8" x14ac:dyDescent="0.25">
      <c r="A1394">
        <v>35</v>
      </c>
      <c r="B1394" t="str" cm="1">
        <f t="array" ref="B1394">_xlfn.IFS(Table1[[#This Row],[Age]]&lt;30,"Under 30",Table1[[#This Row],[Age]]&lt;=40,"30-40",Table1[[#This Row],[Age]]&lt;=50,"41-50",Table1[[#This Row],[Age]]&gt;50,"Over 50")</f>
        <v>30-40</v>
      </c>
      <c r="C1394" t="s">
        <v>43</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t="str" cm="1">
        <f t="array" ref="AH1394">_xlfn.IFS(Table1[[#This Row],[YearsAtCompany]]&lt;=2,"0-2 years",Table1[[#This Row],[YearsAtCompany]]&lt;=5,"3-5 years",Table1[[#This Row],[YearsAtCompany]]&lt;=10,"6-10 years",Table1[[#This Row],[YearsAtCompany]]&gt;10,"10+ years")</f>
        <v>6-10 years</v>
      </c>
      <c r="AI1394">
        <v>8</v>
      </c>
      <c r="AJ1394">
        <v>0</v>
      </c>
      <c r="AK1394">
        <v>9</v>
      </c>
      <c r="AL1394" t="str" cm="1">
        <f t="array" ref="AL1394">_xlfn.IFS(Table1[[#This Row],[JobSatisfaction]]=1,"Low",Table1[[#This Row],[JobSatisfaction]]=2,"Medium",Table1[[#This Row],[JobSatisfaction]]=3,"High",Table1[[#This Row],[JobSatisfaction]]=4,"Very High")</f>
        <v>Very High</v>
      </c>
      <c r="AM1394">
        <f>IF(Table1[[#This Row],[Attrition]]="Yes",1,0)</f>
        <v>0</v>
      </c>
    </row>
    <row r="1395" spans="1:39" ht="13.8" x14ac:dyDescent="0.25">
      <c r="A1395">
        <v>27</v>
      </c>
      <c r="B1395" t="str" cm="1">
        <f t="array" ref="B1395">_xlfn.IFS(Table1[[#This Row],[Age]]&lt;30,"Under 30",Table1[[#This Row],[Age]]&lt;=40,"30-40",Table1[[#This Row],[Age]]&lt;=50,"41-50",Table1[[#This Row],[Age]]&gt;50,"Over 50")</f>
        <v>Under 30</v>
      </c>
      <c r="C1395" t="s">
        <v>43</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t="str" cm="1">
        <f t="array" ref="AH1395">_xlfn.IFS(Table1[[#This Row],[YearsAtCompany]]&lt;=2,"0-2 years",Table1[[#This Row],[YearsAtCompany]]&lt;=5,"3-5 years",Table1[[#This Row],[YearsAtCompany]]&lt;=10,"6-10 years",Table1[[#This Row],[YearsAtCompany]]&gt;10,"10+ years")</f>
        <v>6-10 years</v>
      </c>
      <c r="AI1395">
        <v>7</v>
      </c>
      <c r="AJ1395">
        <v>0</v>
      </c>
      <c r="AK1395">
        <v>7</v>
      </c>
      <c r="AL1395" t="str" cm="1">
        <f t="array" ref="AL1395">_xlfn.IFS(Table1[[#This Row],[JobSatisfaction]]=1,"Low",Table1[[#This Row],[JobSatisfaction]]=2,"Medium",Table1[[#This Row],[JobSatisfaction]]=3,"High",Table1[[#This Row],[JobSatisfaction]]=4,"Very High")</f>
        <v>Very High</v>
      </c>
      <c r="AM1395">
        <f>IF(Table1[[#This Row],[Attrition]]="Yes",1,0)</f>
        <v>0</v>
      </c>
    </row>
    <row r="1396" spans="1:39" ht="13.8" x14ac:dyDescent="0.25">
      <c r="A1396">
        <v>32</v>
      </c>
      <c r="B1396" t="str" cm="1">
        <f t="array" ref="B1396">_xlfn.IFS(Table1[[#This Row],[Age]]&lt;30,"Under 30",Table1[[#This Row],[Age]]&lt;=40,"30-40",Table1[[#This Row],[Age]]&lt;=50,"41-50",Table1[[#This Row],[Age]]&gt;50,"Over 50")</f>
        <v>30-40</v>
      </c>
      <c r="C1396" t="s">
        <v>43</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t="str" cm="1">
        <f t="array" ref="AH1396">_xlfn.IFS(Table1[[#This Row],[YearsAtCompany]]&lt;=2,"0-2 years",Table1[[#This Row],[YearsAtCompany]]&lt;=5,"3-5 years",Table1[[#This Row],[YearsAtCompany]]&lt;=10,"6-10 years",Table1[[#This Row],[YearsAtCompany]]&gt;10,"10+ years")</f>
        <v>0-2 years</v>
      </c>
      <c r="AI1396">
        <v>0</v>
      </c>
      <c r="AJ1396">
        <v>0</v>
      </c>
      <c r="AK1396">
        <v>0</v>
      </c>
      <c r="AL1396" t="str" cm="1">
        <f t="array" ref="AL1396">_xlfn.IFS(Table1[[#This Row],[JobSatisfaction]]=1,"Low",Table1[[#This Row],[JobSatisfaction]]=2,"Medium",Table1[[#This Row],[JobSatisfaction]]=3,"High",Table1[[#This Row],[JobSatisfaction]]=4,"Very High")</f>
        <v>Very High</v>
      </c>
      <c r="AM1396">
        <f>IF(Table1[[#This Row],[Attrition]]="Yes",1,0)</f>
        <v>0</v>
      </c>
    </row>
    <row r="1397" spans="1:39" ht="13.8" x14ac:dyDescent="0.25">
      <c r="A1397">
        <v>31</v>
      </c>
      <c r="B1397" t="str" cm="1">
        <f t="array" ref="B1397">_xlfn.IFS(Table1[[#This Row],[Age]]&lt;30,"Under 30",Table1[[#This Row],[Age]]&lt;=40,"30-40",Table1[[#This Row],[Age]]&lt;=50,"41-50",Table1[[#This Row],[Age]]&gt;50,"Over 50")</f>
        <v>30-40</v>
      </c>
      <c r="C1397" t="s">
        <v>35</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t="str" cm="1">
        <f t="array" ref="AH1397">_xlfn.IFS(Table1[[#This Row],[YearsAtCompany]]&lt;=2,"0-2 years",Table1[[#This Row],[YearsAtCompany]]&lt;=5,"3-5 years",Table1[[#This Row],[YearsAtCompany]]&lt;=10,"6-10 years",Table1[[#This Row],[YearsAtCompany]]&gt;10,"10+ years")</f>
        <v>6-10 years</v>
      </c>
      <c r="AI1397">
        <v>7</v>
      </c>
      <c r="AJ1397">
        <v>0</v>
      </c>
      <c r="AK1397">
        <v>8</v>
      </c>
      <c r="AL1397" t="str" cm="1">
        <f t="array" ref="AL1397">_xlfn.IFS(Table1[[#This Row],[JobSatisfaction]]=1,"Low",Table1[[#This Row],[JobSatisfaction]]=2,"Medium",Table1[[#This Row],[JobSatisfaction]]=3,"High",Table1[[#This Row],[JobSatisfaction]]=4,"Very High")</f>
        <v>Very High</v>
      </c>
      <c r="AM1397">
        <f>IF(Table1[[#This Row],[Attrition]]="Yes",1,0)</f>
        <v>1</v>
      </c>
    </row>
    <row r="1398" spans="1:39" ht="13.8" x14ac:dyDescent="0.25">
      <c r="A1398">
        <v>53</v>
      </c>
      <c r="B1398" t="str" cm="1">
        <f t="array" ref="B1398">_xlfn.IFS(Table1[[#This Row],[Age]]&lt;30,"Under 30",Table1[[#This Row],[Age]]&lt;=40,"30-40",Table1[[#This Row],[Age]]&lt;=50,"41-50",Table1[[#This Row],[Age]]&gt;50,"Over 50")</f>
        <v>Over 50</v>
      </c>
      <c r="C1398" t="s">
        <v>35</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t="str" cm="1">
        <f t="array" ref="AH1398">_xlfn.IFS(Table1[[#This Row],[YearsAtCompany]]&lt;=2,"0-2 years",Table1[[#This Row],[YearsAtCompany]]&lt;=5,"3-5 years",Table1[[#This Row],[YearsAtCompany]]&lt;=10,"6-10 years",Table1[[#This Row],[YearsAtCompany]]&gt;10,"10+ years")</f>
        <v>0-2 years</v>
      </c>
      <c r="AI1398">
        <v>2</v>
      </c>
      <c r="AJ1398">
        <v>2</v>
      </c>
      <c r="AK1398">
        <v>2</v>
      </c>
      <c r="AL1398" t="str" cm="1">
        <f t="array" ref="AL1398">_xlfn.IFS(Table1[[#This Row],[JobSatisfaction]]=1,"Low",Table1[[#This Row],[JobSatisfaction]]=2,"Medium",Table1[[#This Row],[JobSatisfaction]]=3,"High",Table1[[#This Row],[JobSatisfaction]]=4,"Very High")</f>
        <v>Low</v>
      </c>
      <c r="AM1398">
        <f>IF(Table1[[#This Row],[Attrition]]="Yes",1,0)</f>
        <v>1</v>
      </c>
    </row>
    <row r="1399" spans="1:39" ht="13.8" x14ac:dyDescent="0.25">
      <c r="A1399">
        <v>54</v>
      </c>
      <c r="B1399" t="str" cm="1">
        <f t="array" ref="B1399">_xlfn.IFS(Table1[[#This Row],[Age]]&lt;30,"Under 30",Table1[[#This Row],[Age]]&lt;=40,"30-40",Table1[[#This Row],[Age]]&lt;=50,"41-50",Table1[[#This Row],[Age]]&gt;50,"Over 50")</f>
        <v>Over 50</v>
      </c>
      <c r="C1399" t="s">
        <v>43</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t="str" cm="1">
        <f t="array" ref="AH1399">_xlfn.IFS(Table1[[#This Row],[YearsAtCompany]]&lt;=2,"0-2 years",Table1[[#This Row],[YearsAtCompany]]&lt;=5,"3-5 years",Table1[[#This Row],[YearsAtCompany]]&lt;=10,"6-10 years",Table1[[#This Row],[YearsAtCompany]]&gt;10,"10+ years")</f>
        <v>3-5 years</v>
      </c>
      <c r="AI1399">
        <v>3</v>
      </c>
      <c r="AJ1399">
        <v>2</v>
      </c>
      <c r="AK1399">
        <v>3</v>
      </c>
      <c r="AL1399" t="str" cm="1">
        <f t="array" ref="AL1399">_xlfn.IFS(Table1[[#This Row],[JobSatisfaction]]=1,"Low",Table1[[#This Row],[JobSatisfaction]]=2,"Medium",Table1[[#This Row],[JobSatisfaction]]=3,"High",Table1[[#This Row],[JobSatisfaction]]=4,"Very High")</f>
        <v>High</v>
      </c>
      <c r="AM1399">
        <f>IF(Table1[[#This Row],[Attrition]]="Yes",1,0)</f>
        <v>0</v>
      </c>
    </row>
    <row r="1400" spans="1:39" ht="13.8" x14ac:dyDescent="0.25">
      <c r="A1400">
        <v>33</v>
      </c>
      <c r="B1400" t="str" cm="1">
        <f t="array" ref="B1400">_xlfn.IFS(Table1[[#This Row],[Age]]&lt;30,"Under 30",Table1[[#This Row],[Age]]&lt;=40,"30-40",Table1[[#This Row],[Age]]&lt;=50,"41-50",Table1[[#This Row],[Age]]&gt;50,"Over 50")</f>
        <v>30-40</v>
      </c>
      <c r="C1400" t="s">
        <v>43</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t="str" cm="1">
        <f t="array" ref="AH1400">_xlfn.IFS(Table1[[#This Row],[YearsAtCompany]]&lt;=2,"0-2 years",Table1[[#This Row],[YearsAtCompany]]&lt;=5,"3-5 years",Table1[[#This Row],[YearsAtCompany]]&lt;=10,"6-10 years",Table1[[#This Row],[YearsAtCompany]]&gt;10,"10+ years")</f>
        <v>6-10 years</v>
      </c>
      <c r="AI1400">
        <v>7</v>
      </c>
      <c r="AJ1400">
        <v>2</v>
      </c>
      <c r="AK1400">
        <v>8</v>
      </c>
      <c r="AL1400" t="str" cm="1">
        <f t="array" ref="AL1400">_xlfn.IFS(Table1[[#This Row],[JobSatisfaction]]=1,"Low",Table1[[#This Row],[JobSatisfaction]]=2,"Medium",Table1[[#This Row],[JobSatisfaction]]=3,"High",Table1[[#This Row],[JobSatisfaction]]=4,"Very High")</f>
        <v>High</v>
      </c>
      <c r="AM1400">
        <f>IF(Table1[[#This Row],[Attrition]]="Yes",1,0)</f>
        <v>0</v>
      </c>
    </row>
    <row r="1401" spans="1:39" ht="13.8" x14ac:dyDescent="0.25">
      <c r="A1401">
        <v>43</v>
      </c>
      <c r="B1401" t="str" cm="1">
        <f t="array" ref="B1401">_xlfn.IFS(Table1[[#This Row],[Age]]&lt;30,"Under 30",Table1[[#This Row],[Age]]&lt;=40,"30-40",Table1[[#This Row],[Age]]&lt;=50,"41-50",Table1[[#This Row],[Age]]&gt;50,"Over 50")</f>
        <v>41-50</v>
      </c>
      <c r="C1401" t="s">
        <v>43</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t="str" cm="1">
        <f t="array" ref="AH1401">_xlfn.IFS(Table1[[#This Row],[YearsAtCompany]]&lt;=2,"0-2 years",Table1[[#This Row],[YearsAtCompany]]&lt;=5,"3-5 years",Table1[[#This Row],[YearsAtCompany]]&lt;=10,"6-10 years",Table1[[#This Row],[YearsAtCompany]]&gt;10,"10+ years")</f>
        <v>6-10 years</v>
      </c>
      <c r="AI1401">
        <v>9</v>
      </c>
      <c r="AJ1401">
        <v>0</v>
      </c>
      <c r="AK1401">
        <v>9</v>
      </c>
      <c r="AL1401" t="str" cm="1">
        <f t="array" ref="AL1401">_xlfn.IFS(Table1[[#This Row],[JobSatisfaction]]=1,"Low",Table1[[#This Row],[JobSatisfaction]]=2,"Medium",Table1[[#This Row],[JobSatisfaction]]=3,"High",Table1[[#This Row],[JobSatisfaction]]=4,"Very High")</f>
        <v>High</v>
      </c>
      <c r="AM1401">
        <f>IF(Table1[[#This Row],[Attrition]]="Yes",1,0)</f>
        <v>0</v>
      </c>
    </row>
    <row r="1402" spans="1:39" ht="13.8" x14ac:dyDescent="0.25">
      <c r="A1402">
        <v>38</v>
      </c>
      <c r="B1402" t="str" cm="1">
        <f t="array" ref="B1402">_xlfn.IFS(Table1[[#This Row],[Age]]&lt;30,"Under 30",Table1[[#This Row],[Age]]&lt;=40,"30-40",Table1[[#This Row],[Age]]&lt;=50,"41-50",Table1[[#This Row],[Age]]&gt;50,"Over 50")</f>
        <v>30-40</v>
      </c>
      <c r="C1402" t="s">
        <v>43</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t="str" cm="1">
        <f t="array" ref="AH1402">_xlfn.IFS(Table1[[#This Row],[YearsAtCompany]]&lt;=2,"0-2 years",Table1[[#This Row],[YearsAtCompany]]&lt;=5,"3-5 years",Table1[[#This Row],[YearsAtCompany]]&lt;=10,"6-10 years",Table1[[#This Row],[YearsAtCompany]]&gt;10,"10+ years")</f>
        <v>6-10 years</v>
      </c>
      <c r="AI1402">
        <v>2</v>
      </c>
      <c r="AJ1402">
        <v>1</v>
      </c>
      <c r="AK1402">
        <v>2</v>
      </c>
      <c r="AL1402" t="str" cm="1">
        <f t="array" ref="AL1402">_xlfn.IFS(Table1[[#This Row],[JobSatisfaction]]=1,"Low",Table1[[#This Row],[JobSatisfaction]]=2,"Medium",Table1[[#This Row],[JobSatisfaction]]=3,"High",Table1[[#This Row],[JobSatisfaction]]=4,"Very High")</f>
        <v>Medium</v>
      </c>
      <c r="AM1402">
        <f>IF(Table1[[#This Row],[Attrition]]="Yes",1,0)</f>
        <v>0</v>
      </c>
    </row>
    <row r="1403" spans="1:39" ht="13.8" x14ac:dyDescent="0.25">
      <c r="A1403">
        <v>55</v>
      </c>
      <c r="B1403" t="str" cm="1">
        <f t="array" ref="B1403">_xlfn.IFS(Table1[[#This Row],[Age]]&lt;30,"Under 30",Table1[[#This Row],[Age]]&lt;=40,"30-40",Table1[[#This Row],[Age]]&lt;=50,"41-50",Table1[[#This Row],[Age]]&gt;50,"Over 50")</f>
        <v>Over 50</v>
      </c>
      <c r="C1403" t="s">
        <v>43</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t="str" cm="1">
        <f t="array" ref="AH1403">_xlfn.IFS(Table1[[#This Row],[YearsAtCompany]]&lt;=2,"0-2 years",Table1[[#This Row],[YearsAtCompany]]&lt;=5,"3-5 years",Table1[[#This Row],[YearsAtCompany]]&lt;=10,"6-10 years",Table1[[#This Row],[YearsAtCompany]]&gt;10,"10+ years")</f>
        <v>6-10 years</v>
      </c>
      <c r="AI1403">
        <v>9</v>
      </c>
      <c r="AJ1403">
        <v>1</v>
      </c>
      <c r="AK1403">
        <v>4</v>
      </c>
      <c r="AL1403" t="str" cm="1">
        <f t="array" ref="AL1403">_xlfn.IFS(Table1[[#This Row],[JobSatisfaction]]=1,"Low",Table1[[#This Row],[JobSatisfaction]]=2,"Medium",Table1[[#This Row],[JobSatisfaction]]=3,"High",Table1[[#This Row],[JobSatisfaction]]=4,"Very High")</f>
        <v>Medium</v>
      </c>
      <c r="AM1403">
        <f>IF(Table1[[#This Row],[Attrition]]="Yes",1,0)</f>
        <v>0</v>
      </c>
    </row>
    <row r="1404" spans="1:39" ht="13.8" x14ac:dyDescent="0.25">
      <c r="A1404">
        <v>31</v>
      </c>
      <c r="B1404" t="str" cm="1">
        <f t="array" ref="B1404">_xlfn.IFS(Table1[[#This Row],[Age]]&lt;30,"Under 30",Table1[[#This Row],[Age]]&lt;=40,"30-40",Table1[[#This Row],[Age]]&lt;=50,"41-50",Table1[[#This Row],[Age]]&gt;50,"Over 50")</f>
        <v>30-40</v>
      </c>
      <c r="C1404" t="s">
        <v>43</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t="str" cm="1">
        <f t="array" ref="AH1404">_xlfn.IFS(Table1[[#This Row],[YearsAtCompany]]&lt;=2,"0-2 years",Table1[[#This Row],[YearsAtCompany]]&lt;=5,"3-5 years",Table1[[#This Row],[YearsAtCompany]]&lt;=10,"6-10 years",Table1[[#This Row],[YearsAtCompany]]&gt;10,"10+ years")</f>
        <v>0-2 years</v>
      </c>
      <c r="AI1404">
        <v>0</v>
      </c>
      <c r="AJ1404">
        <v>0</v>
      </c>
      <c r="AK1404">
        <v>0</v>
      </c>
      <c r="AL1404" t="str" cm="1">
        <f t="array" ref="AL1404">_xlfn.IFS(Table1[[#This Row],[JobSatisfaction]]=1,"Low",Table1[[#This Row],[JobSatisfaction]]=2,"Medium",Table1[[#This Row],[JobSatisfaction]]=3,"High",Table1[[#This Row],[JobSatisfaction]]=4,"Very High")</f>
        <v>Very High</v>
      </c>
      <c r="AM1404">
        <f>IF(Table1[[#This Row],[Attrition]]="Yes",1,0)</f>
        <v>0</v>
      </c>
    </row>
    <row r="1405" spans="1:39" ht="13.8" x14ac:dyDescent="0.25">
      <c r="A1405">
        <v>39</v>
      </c>
      <c r="B1405" t="str" cm="1">
        <f t="array" ref="B1405">_xlfn.IFS(Table1[[#This Row],[Age]]&lt;30,"Under 30",Table1[[#This Row],[Age]]&lt;=40,"30-40",Table1[[#This Row],[Age]]&lt;=50,"41-50",Table1[[#This Row],[Age]]&gt;50,"Over 50")</f>
        <v>30-40</v>
      </c>
      <c r="C1405" t="s">
        <v>43</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t="str" cm="1">
        <f t="array" ref="AH1405">_xlfn.IFS(Table1[[#This Row],[YearsAtCompany]]&lt;=2,"0-2 years",Table1[[#This Row],[YearsAtCompany]]&lt;=5,"3-5 years",Table1[[#This Row],[YearsAtCompany]]&lt;=10,"6-10 years",Table1[[#This Row],[YearsAtCompany]]&gt;10,"10+ years")</f>
        <v>10+ years</v>
      </c>
      <c r="AI1405">
        <v>8</v>
      </c>
      <c r="AJ1405">
        <v>11</v>
      </c>
      <c r="AK1405">
        <v>10</v>
      </c>
      <c r="AL1405" t="str" cm="1">
        <f t="array" ref="AL1405">_xlfn.IFS(Table1[[#This Row],[JobSatisfaction]]=1,"Low",Table1[[#This Row],[JobSatisfaction]]=2,"Medium",Table1[[#This Row],[JobSatisfaction]]=3,"High",Table1[[#This Row],[JobSatisfaction]]=4,"Very High")</f>
        <v>Low</v>
      </c>
      <c r="AM1405">
        <f>IF(Table1[[#This Row],[Attrition]]="Yes",1,0)</f>
        <v>0</v>
      </c>
    </row>
    <row r="1406" spans="1:39" ht="13.8" x14ac:dyDescent="0.25">
      <c r="A1406">
        <v>42</v>
      </c>
      <c r="B1406" t="str" cm="1">
        <f t="array" ref="B1406">_xlfn.IFS(Table1[[#This Row],[Age]]&lt;30,"Under 30",Table1[[#This Row],[Age]]&lt;=40,"30-40",Table1[[#This Row],[Age]]&lt;=50,"41-50",Table1[[#This Row],[Age]]&gt;50,"Over 50")</f>
        <v>41-50</v>
      </c>
      <c r="C1406" t="s">
        <v>43</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t="str" cm="1">
        <f t="array" ref="AH1406">_xlfn.IFS(Table1[[#This Row],[YearsAtCompany]]&lt;=2,"0-2 years",Table1[[#This Row],[YearsAtCompany]]&lt;=5,"3-5 years",Table1[[#This Row],[YearsAtCompany]]&lt;=10,"6-10 years",Table1[[#This Row],[YearsAtCompany]]&gt;10,"10+ years")</f>
        <v>10+ years</v>
      </c>
      <c r="AI1406">
        <v>9</v>
      </c>
      <c r="AJ1406">
        <v>3</v>
      </c>
      <c r="AK1406">
        <v>7</v>
      </c>
      <c r="AL1406" t="str" cm="1">
        <f t="array" ref="AL1406">_xlfn.IFS(Table1[[#This Row],[JobSatisfaction]]=1,"Low",Table1[[#This Row],[JobSatisfaction]]=2,"Medium",Table1[[#This Row],[JobSatisfaction]]=3,"High",Table1[[#This Row],[JobSatisfaction]]=4,"Very High")</f>
        <v>High</v>
      </c>
      <c r="AM1406">
        <f>IF(Table1[[#This Row],[Attrition]]="Yes",1,0)</f>
        <v>0</v>
      </c>
    </row>
    <row r="1407" spans="1:39" ht="13.8" x14ac:dyDescent="0.25">
      <c r="A1407">
        <v>31</v>
      </c>
      <c r="B1407" t="str" cm="1">
        <f t="array" ref="B1407">_xlfn.IFS(Table1[[#This Row],[Age]]&lt;30,"Under 30",Table1[[#This Row],[Age]]&lt;=40,"30-40",Table1[[#This Row],[Age]]&lt;=50,"41-50",Table1[[#This Row],[Age]]&gt;50,"Over 50")</f>
        <v>30-40</v>
      </c>
      <c r="C1407" t="s">
        <v>43</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t="str" cm="1">
        <f t="array" ref="AH1407">_xlfn.IFS(Table1[[#This Row],[YearsAtCompany]]&lt;=2,"0-2 years",Table1[[#This Row],[YearsAtCompany]]&lt;=5,"3-5 years",Table1[[#This Row],[YearsAtCompany]]&lt;=10,"6-10 years",Table1[[#This Row],[YearsAtCompany]]&gt;10,"10+ years")</f>
        <v>10+ years</v>
      </c>
      <c r="AI1407">
        <v>7</v>
      </c>
      <c r="AJ1407">
        <v>4</v>
      </c>
      <c r="AK1407">
        <v>8</v>
      </c>
      <c r="AL1407" t="str" cm="1">
        <f t="array" ref="AL1407">_xlfn.IFS(Table1[[#This Row],[JobSatisfaction]]=1,"Low",Table1[[#This Row],[JobSatisfaction]]=2,"Medium",Table1[[#This Row],[JobSatisfaction]]=3,"High",Table1[[#This Row],[JobSatisfaction]]=4,"Very High")</f>
        <v>High</v>
      </c>
      <c r="AM1407">
        <f>IF(Table1[[#This Row],[Attrition]]="Yes",1,0)</f>
        <v>0</v>
      </c>
    </row>
    <row r="1408" spans="1:39" ht="13.8" x14ac:dyDescent="0.25">
      <c r="A1408">
        <v>54</v>
      </c>
      <c r="B1408" t="str" cm="1">
        <f t="array" ref="B1408">_xlfn.IFS(Table1[[#This Row],[Age]]&lt;30,"Under 30",Table1[[#This Row],[Age]]&lt;=40,"30-40",Table1[[#This Row],[Age]]&lt;=50,"41-50",Table1[[#This Row],[Age]]&gt;50,"Over 50")</f>
        <v>Over 50</v>
      </c>
      <c r="C1408" t="s">
        <v>43</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t="str" cm="1">
        <f t="array" ref="AH1408">_xlfn.IFS(Table1[[#This Row],[YearsAtCompany]]&lt;=2,"0-2 years",Table1[[#This Row],[YearsAtCompany]]&lt;=5,"3-5 years",Table1[[#This Row],[YearsAtCompany]]&lt;=10,"6-10 years",Table1[[#This Row],[YearsAtCompany]]&gt;10,"10+ years")</f>
        <v>3-5 years</v>
      </c>
      <c r="AI1408">
        <v>2</v>
      </c>
      <c r="AJ1408">
        <v>1</v>
      </c>
      <c r="AK1408">
        <v>4</v>
      </c>
      <c r="AL1408" t="str" cm="1">
        <f t="array" ref="AL1408">_xlfn.IFS(Table1[[#This Row],[JobSatisfaction]]=1,"Low",Table1[[#This Row],[JobSatisfaction]]=2,"Medium",Table1[[#This Row],[JobSatisfaction]]=3,"High",Table1[[#This Row],[JobSatisfaction]]=4,"Very High")</f>
        <v>Low</v>
      </c>
      <c r="AM1408">
        <f>IF(Table1[[#This Row],[Attrition]]="Yes",1,0)</f>
        <v>0</v>
      </c>
    </row>
    <row r="1409" spans="1:39" ht="13.8" x14ac:dyDescent="0.25">
      <c r="A1409">
        <v>24</v>
      </c>
      <c r="B1409" t="str" cm="1">
        <f t="array" ref="B1409">_xlfn.IFS(Table1[[#This Row],[Age]]&lt;30,"Under 30",Table1[[#This Row],[Age]]&lt;=40,"30-40",Table1[[#This Row],[Age]]&lt;=50,"41-50",Table1[[#This Row],[Age]]&gt;50,"Over 50")</f>
        <v>Under 30</v>
      </c>
      <c r="C1409" t="s">
        <v>43</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t="str" cm="1">
        <f t="array" ref="AH1409">_xlfn.IFS(Table1[[#This Row],[YearsAtCompany]]&lt;=2,"0-2 years",Table1[[#This Row],[YearsAtCompany]]&lt;=5,"3-5 years",Table1[[#This Row],[YearsAtCompany]]&lt;=10,"6-10 years",Table1[[#This Row],[YearsAtCompany]]&gt;10,"10+ years")</f>
        <v>3-5 years</v>
      </c>
      <c r="AI1409">
        <v>3</v>
      </c>
      <c r="AJ1409">
        <v>1</v>
      </c>
      <c r="AK1409">
        <v>2</v>
      </c>
      <c r="AL1409" t="str" cm="1">
        <f t="array" ref="AL1409">_xlfn.IFS(Table1[[#This Row],[JobSatisfaction]]=1,"Low",Table1[[#This Row],[JobSatisfaction]]=2,"Medium",Table1[[#This Row],[JobSatisfaction]]=3,"High",Table1[[#This Row],[JobSatisfaction]]=4,"Very High")</f>
        <v>High</v>
      </c>
      <c r="AM1409">
        <f>IF(Table1[[#This Row],[Attrition]]="Yes",1,0)</f>
        <v>0</v>
      </c>
    </row>
    <row r="1410" spans="1:39" ht="13.8" x14ac:dyDescent="0.25">
      <c r="A1410">
        <v>23</v>
      </c>
      <c r="B1410" t="str" cm="1">
        <f t="array" ref="B1410">_xlfn.IFS(Table1[[#This Row],[Age]]&lt;30,"Under 30",Table1[[#This Row],[Age]]&lt;=40,"30-40",Table1[[#This Row],[Age]]&lt;=50,"41-50",Table1[[#This Row],[Age]]&gt;50,"Over 50")</f>
        <v>Under 30</v>
      </c>
      <c r="C1410" t="s">
        <v>43</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t="str" cm="1">
        <f t="array" ref="AH1410">_xlfn.IFS(Table1[[#This Row],[YearsAtCompany]]&lt;=2,"0-2 years",Table1[[#This Row],[YearsAtCompany]]&lt;=5,"3-5 years",Table1[[#This Row],[YearsAtCompany]]&lt;=10,"6-10 years",Table1[[#This Row],[YearsAtCompany]]&gt;10,"10+ years")</f>
        <v>3-5 years</v>
      </c>
      <c r="AI1410">
        <v>2</v>
      </c>
      <c r="AJ1410">
        <v>1</v>
      </c>
      <c r="AK1410">
        <v>4</v>
      </c>
      <c r="AL1410" t="str" cm="1">
        <f t="array" ref="AL1410">_xlfn.IFS(Table1[[#This Row],[JobSatisfaction]]=1,"Low",Table1[[#This Row],[JobSatisfaction]]=2,"Medium",Table1[[#This Row],[JobSatisfaction]]=3,"High",Table1[[#This Row],[JobSatisfaction]]=4,"Very High")</f>
        <v>Very High</v>
      </c>
      <c r="AM1410">
        <f>IF(Table1[[#This Row],[Attrition]]="Yes",1,0)</f>
        <v>0</v>
      </c>
    </row>
    <row r="1411" spans="1:39" ht="13.8" x14ac:dyDescent="0.25">
      <c r="A1411">
        <v>40</v>
      </c>
      <c r="B1411" t="str" cm="1">
        <f t="array" ref="B1411">_xlfn.IFS(Table1[[#This Row],[Age]]&lt;30,"Under 30",Table1[[#This Row],[Age]]&lt;=40,"30-40",Table1[[#This Row],[Age]]&lt;=50,"41-50",Table1[[#This Row],[Age]]&gt;50,"Over 50")</f>
        <v>30-40</v>
      </c>
      <c r="C1411" t="s">
        <v>43</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t="str" cm="1">
        <f t="array" ref="AH1411">_xlfn.IFS(Table1[[#This Row],[YearsAtCompany]]&lt;=2,"0-2 years",Table1[[#This Row],[YearsAtCompany]]&lt;=5,"3-5 years",Table1[[#This Row],[YearsAtCompany]]&lt;=10,"6-10 years",Table1[[#This Row],[YearsAtCompany]]&gt;10,"10+ years")</f>
        <v>6-10 years</v>
      </c>
      <c r="AI1411">
        <v>9</v>
      </c>
      <c r="AJ1411">
        <v>9</v>
      </c>
      <c r="AK1411">
        <v>4</v>
      </c>
      <c r="AL1411" t="str" cm="1">
        <f t="array" ref="AL1411">_xlfn.IFS(Table1[[#This Row],[JobSatisfaction]]=1,"Low",Table1[[#This Row],[JobSatisfaction]]=2,"Medium",Table1[[#This Row],[JobSatisfaction]]=3,"High",Table1[[#This Row],[JobSatisfaction]]=4,"Very High")</f>
        <v>High</v>
      </c>
      <c r="AM1411">
        <f>IF(Table1[[#This Row],[Attrition]]="Yes",1,0)</f>
        <v>0</v>
      </c>
    </row>
    <row r="1412" spans="1:39" ht="13.8" x14ac:dyDescent="0.25">
      <c r="A1412">
        <v>40</v>
      </c>
      <c r="B1412" t="str" cm="1">
        <f t="array" ref="B1412">_xlfn.IFS(Table1[[#This Row],[Age]]&lt;30,"Under 30",Table1[[#This Row],[Age]]&lt;=40,"30-40",Table1[[#This Row],[Age]]&lt;=50,"41-50",Table1[[#This Row],[Age]]&gt;50,"Over 50")</f>
        <v>30-40</v>
      </c>
      <c r="C1412" t="s">
        <v>43</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t="str" cm="1">
        <f t="array" ref="AH1412">_xlfn.IFS(Table1[[#This Row],[YearsAtCompany]]&lt;=2,"0-2 years",Table1[[#This Row],[YearsAtCompany]]&lt;=5,"3-5 years",Table1[[#This Row],[YearsAtCompany]]&lt;=10,"6-10 years",Table1[[#This Row],[YearsAtCompany]]&gt;10,"10+ years")</f>
        <v>10+ years</v>
      </c>
      <c r="AI1412">
        <v>8</v>
      </c>
      <c r="AJ1412">
        <v>5</v>
      </c>
      <c r="AK1412">
        <v>10</v>
      </c>
      <c r="AL1412" t="str" cm="1">
        <f t="array" ref="AL1412">_xlfn.IFS(Table1[[#This Row],[JobSatisfaction]]=1,"Low",Table1[[#This Row],[JobSatisfaction]]=2,"Medium",Table1[[#This Row],[JobSatisfaction]]=3,"High",Table1[[#This Row],[JobSatisfaction]]=4,"Very High")</f>
        <v>Medium</v>
      </c>
      <c r="AM1412">
        <f>IF(Table1[[#This Row],[Attrition]]="Yes",1,0)</f>
        <v>0</v>
      </c>
    </row>
    <row r="1413" spans="1:39" ht="13.8" x14ac:dyDescent="0.25">
      <c r="A1413">
        <v>25</v>
      </c>
      <c r="B1413" t="str" cm="1">
        <f t="array" ref="B1413">_xlfn.IFS(Table1[[#This Row],[Age]]&lt;30,"Under 30",Table1[[#This Row],[Age]]&lt;=40,"30-40",Table1[[#This Row],[Age]]&lt;=50,"41-50",Table1[[#This Row],[Age]]&gt;50,"Over 50")</f>
        <v>Under 30</v>
      </c>
      <c r="C1413" t="s">
        <v>43</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t="str" cm="1">
        <f t="array" ref="AH1413">_xlfn.IFS(Table1[[#This Row],[YearsAtCompany]]&lt;=2,"0-2 years",Table1[[#This Row],[YearsAtCompany]]&lt;=5,"3-5 years",Table1[[#This Row],[YearsAtCompany]]&lt;=10,"6-10 years",Table1[[#This Row],[YearsAtCompany]]&gt;10,"10+ years")</f>
        <v>0-2 years</v>
      </c>
      <c r="AI1413">
        <v>0</v>
      </c>
      <c r="AJ1413">
        <v>1</v>
      </c>
      <c r="AK1413">
        <v>2</v>
      </c>
      <c r="AL1413" t="str" cm="1">
        <f t="array" ref="AL1413">_xlfn.IFS(Table1[[#This Row],[JobSatisfaction]]=1,"Low",Table1[[#This Row],[JobSatisfaction]]=2,"Medium",Table1[[#This Row],[JobSatisfaction]]=3,"High",Table1[[#This Row],[JobSatisfaction]]=4,"Very High")</f>
        <v>Medium</v>
      </c>
      <c r="AM1413">
        <f>IF(Table1[[#This Row],[Attrition]]="Yes",1,0)</f>
        <v>0</v>
      </c>
    </row>
    <row r="1414" spans="1:39" ht="13.8" x14ac:dyDescent="0.25">
      <c r="A1414">
        <v>30</v>
      </c>
      <c r="B1414" t="str" cm="1">
        <f t="array" ref="B1414">_xlfn.IFS(Table1[[#This Row],[Age]]&lt;30,"Under 30",Table1[[#This Row],[Age]]&lt;=40,"30-40",Table1[[#This Row],[Age]]&lt;=50,"41-50",Table1[[#This Row],[Age]]&gt;50,"Over 50")</f>
        <v>30-40</v>
      </c>
      <c r="C1414" t="s">
        <v>43</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t="str" cm="1">
        <f t="array" ref="AH1414">_xlfn.IFS(Table1[[#This Row],[YearsAtCompany]]&lt;=2,"0-2 years",Table1[[#This Row],[YearsAtCompany]]&lt;=5,"3-5 years",Table1[[#This Row],[YearsAtCompany]]&lt;=10,"6-10 years",Table1[[#This Row],[YearsAtCompany]]&gt;10,"10+ years")</f>
        <v>10+ years</v>
      </c>
      <c r="AI1414">
        <v>8</v>
      </c>
      <c r="AJ1414">
        <v>1</v>
      </c>
      <c r="AK1414">
        <v>7</v>
      </c>
      <c r="AL1414" t="str" cm="1">
        <f t="array" ref="AL1414">_xlfn.IFS(Table1[[#This Row],[JobSatisfaction]]=1,"Low",Table1[[#This Row],[JobSatisfaction]]=2,"Medium",Table1[[#This Row],[JobSatisfaction]]=3,"High",Table1[[#This Row],[JobSatisfaction]]=4,"Very High")</f>
        <v>Medium</v>
      </c>
      <c r="AM1414">
        <f>IF(Table1[[#This Row],[Attrition]]="Yes",1,0)</f>
        <v>0</v>
      </c>
    </row>
    <row r="1415" spans="1:39" ht="13.8" x14ac:dyDescent="0.25">
      <c r="A1415">
        <v>25</v>
      </c>
      <c r="B1415" t="str" cm="1">
        <f t="array" ref="B1415">_xlfn.IFS(Table1[[#This Row],[Age]]&lt;30,"Under 30",Table1[[#This Row],[Age]]&lt;=40,"30-40",Table1[[#This Row],[Age]]&lt;=50,"41-50",Table1[[#This Row],[Age]]&gt;50,"Over 50")</f>
        <v>Under 30</v>
      </c>
      <c r="C1415" t="s">
        <v>43</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t="str" cm="1">
        <f t="array" ref="AH1415">_xlfn.IFS(Table1[[#This Row],[YearsAtCompany]]&lt;=2,"0-2 years",Table1[[#This Row],[YearsAtCompany]]&lt;=5,"3-5 years",Table1[[#This Row],[YearsAtCompany]]&lt;=10,"6-10 years",Table1[[#This Row],[YearsAtCompany]]&gt;10,"10+ years")</f>
        <v>0-2 years</v>
      </c>
      <c r="AI1415">
        <v>2</v>
      </c>
      <c r="AJ1415">
        <v>0</v>
      </c>
      <c r="AK1415">
        <v>2</v>
      </c>
      <c r="AL1415" t="str" cm="1">
        <f t="array" ref="AL1415">_xlfn.IFS(Table1[[#This Row],[JobSatisfaction]]=1,"Low",Table1[[#This Row],[JobSatisfaction]]=2,"Medium",Table1[[#This Row],[JobSatisfaction]]=3,"High",Table1[[#This Row],[JobSatisfaction]]=4,"Very High")</f>
        <v>High</v>
      </c>
      <c r="AM1415">
        <f>IF(Table1[[#This Row],[Attrition]]="Yes",1,0)</f>
        <v>0</v>
      </c>
    </row>
    <row r="1416" spans="1:39" ht="13.8" x14ac:dyDescent="0.25">
      <c r="A1416">
        <v>47</v>
      </c>
      <c r="B1416" t="str" cm="1">
        <f t="array" ref="B1416">_xlfn.IFS(Table1[[#This Row],[Age]]&lt;30,"Under 30",Table1[[#This Row],[Age]]&lt;=40,"30-40",Table1[[#This Row],[Age]]&lt;=50,"41-50",Table1[[#This Row],[Age]]&gt;50,"Over 50")</f>
        <v>41-50</v>
      </c>
      <c r="C1416" t="s">
        <v>43</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t="str" cm="1">
        <f t="array" ref="AH1416">_xlfn.IFS(Table1[[#This Row],[YearsAtCompany]]&lt;=2,"0-2 years",Table1[[#This Row],[YearsAtCompany]]&lt;=5,"3-5 years",Table1[[#This Row],[YearsAtCompany]]&lt;=10,"6-10 years",Table1[[#This Row],[YearsAtCompany]]&gt;10,"10+ years")</f>
        <v>10+ years</v>
      </c>
      <c r="AI1416">
        <v>14</v>
      </c>
      <c r="AJ1416">
        <v>12</v>
      </c>
      <c r="AK1416">
        <v>11</v>
      </c>
      <c r="AL1416" t="str" cm="1">
        <f t="array" ref="AL1416">_xlfn.IFS(Table1[[#This Row],[JobSatisfaction]]=1,"Low",Table1[[#This Row],[JobSatisfaction]]=2,"Medium",Table1[[#This Row],[JobSatisfaction]]=3,"High",Table1[[#This Row],[JobSatisfaction]]=4,"Very High")</f>
        <v>High</v>
      </c>
      <c r="AM1416">
        <f>IF(Table1[[#This Row],[Attrition]]="Yes",1,0)</f>
        <v>0</v>
      </c>
    </row>
    <row r="1417" spans="1:39" ht="13.8" x14ac:dyDescent="0.25">
      <c r="A1417">
        <v>33</v>
      </c>
      <c r="B1417" t="str" cm="1">
        <f t="array" ref="B1417">_xlfn.IFS(Table1[[#This Row],[Age]]&lt;30,"Under 30",Table1[[#This Row],[Age]]&lt;=40,"30-40",Table1[[#This Row],[Age]]&lt;=50,"41-50",Table1[[#This Row],[Age]]&gt;50,"Over 50")</f>
        <v>30-40</v>
      </c>
      <c r="C1417" t="s">
        <v>43</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t="str" cm="1">
        <f t="array" ref="AH1417">_xlfn.IFS(Table1[[#This Row],[YearsAtCompany]]&lt;=2,"0-2 years",Table1[[#This Row],[YearsAtCompany]]&lt;=5,"3-5 years",Table1[[#This Row],[YearsAtCompany]]&lt;=10,"6-10 years",Table1[[#This Row],[YearsAtCompany]]&gt;10,"10+ years")</f>
        <v>0-2 years</v>
      </c>
      <c r="AI1417">
        <v>1</v>
      </c>
      <c r="AJ1417">
        <v>0</v>
      </c>
      <c r="AK1417">
        <v>0</v>
      </c>
      <c r="AL1417" t="str" cm="1">
        <f t="array" ref="AL1417">_xlfn.IFS(Table1[[#This Row],[JobSatisfaction]]=1,"Low",Table1[[#This Row],[JobSatisfaction]]=2,"Medium",Table1[[#This Row],[JobSatisfaction]]=3,"High",Table1[[#This Row],[JobSatisfaction]]=4,"Very High")</f>
        <v>High</v>
      </c>
      <c r="AM1417">
        <f>IF(Table1[[#This Row],[Attrition]]="Yes",1,0)</f>
        <v>0</v>
      </c>
    </row>
    <row r="1418" spans="1:39" ht="13.8" x14ac:dyDescent="0.25">
      <c r="A1418">
        <v>38</v>
      </c>
      <c r="B1418" t="str" cm="1">
        <f t="array" ref="B1418">_xlfn.IFS(Table1[[#This Row],[Age]]&lt;30,"Under 30",Table1[[#This Row],[Age]]&lt;=40,"30-40",Table1[[#This Row],[Age]]&lt;=50,"41-50",Table1[[#This Row],[Age]]&gt;50,"Over 50")</f>
        <v>30-40</v>
      </c>
      <c r="C1418" t="s">
        <v>43</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t="str" cm="1">
        <f t="array" ref="AH1418">_xlfn.IFS(Table1[[#This Row],[YearsAtCompany]]&lt;=2,"0-2 years",Table1[[#This Row],[YearsAtCompany]]&lt;=5,"3-5 years",Table1[[#This Row],[YearsAtCompany]]&lt;=10,"6-10 years",Table1[[#This Row],[YearsAtCompany]]&gt;10,"10+ years")</f>
        <v>10+ years</v>
      </c>
      <c r="AI1418">
        <v>13</v>
      </c>
      <c r="AJ1418">
        <v>5</v>
      </c>
      <c r="AK1418">
        <v>8</v>
      </c>
      <c r="AL1418" t="str" cm="1">
        <f t="array" ref="AL1418">_xlfn.IFS(Table1[[#This Row],[JobSatisfaction]]=1,"Low",Table1[[#This Row],[JobSatisfaction]]=2,"Medium",Table1[[#This Row],[JobSatisfaction]]=3,"High",Table1[[#This Row],[JobSatisfaction]]=4,"Very High")</f>
        <v>Medium</v>
      </c>
      <c r="AM1418">
        <f>IF(Table1[[#This Row],[Attrition]]="Yes",1,0)</f>
        <v>0</v>
      </c>
    </row>
    <row r="1419" spans="1:39" ht="13.8" x14ac:dyDescent="0.25">
      <c r="A1419">
        <v>31</v>
      </c>
      <c r="B1419" t="str" cm="1">
        <f t="array" ref="B1419">_xlfn.IFS(Table1[[#This Row],[Age]]&lt;30,"Under 30",Table1[[#This Row],[Age]]&lt;=40,"30-40",Table1[[#This Row],[Age]]&lt;=50,"41-50",Table1[[#This Row],[Age]]&gt;50,"Over 50")</f>
        <v>30-40</v>
      </c>
      <c r="C1419" t="s">
        <v>43</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t="str" cm="1">
        <f t="array" ref="AH1419">_xlfn.IFS(Table1[[#This Row],[YearsAtCompany]]&lt;=2,"0-2 years",Table1[[#This Row],[YearsAtCompany]]&lt;=5,"3-5 years",Table1[[#This Row],[YearsAtCompany]]&lt;=10,"6-10 years",Table1[[#This Row],[YearsAtCompany]]&gt;10,"10+ years")</f>
        <v>0-2 years</v>
      </c>
      <c r="AI1419">
        <v>2</v>
      </c>
      <c r="AJ1419">
        <v>1</v>
      </c>
      <c r="AK1419">
        <v>2</v>
      </c>
      <c r="AL1419" t="str" cm="1">
        <f t="array" ref="AL1419">_xlfn.IFS(Table1[[#This Row],[JobSatisfaction]]=1,"Low",Table1[[#This Row],[JobSatisfaction]]=2,"Medium",Table1[[#This Row],[JobSatisfaction]]=3,"High",Table1[[#This Row],[JobSatisfaction]]=4,"Very High")</f>
        <v>High</v>
      </c>
      <c r="AM1419">
        <f>IF(Table1[[#This Row],[Attrition]]="Yes",1,0)</f>
        <v>0</v>
      </c>
    </row>
    <row r="1420" spans="1:39" ht="13.8" x14ac:dyDescent="0.25">
      <c r="A1420">
        <v>38</v>
      </c>
      <c r="B1420" t="str" cm="1">
        <f t="array" ref="B1420">_xlfn.IFS(Table1[[#This Row],[Age]]&lt;30,"Under 30",Table1[[#This Row],[Age]]&lt;=40,"30-40",Table1[[#This Row],[Age]]&lt;=50,"41-50",Table1[[#This Row],[Age]]&gt;50,"Over 50")</f>
        <v>30-40</v>
      </c>
      <c r="C1420" t="s">
        <v>43</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t="str" cm="1">
        <f t="array" ref="AH1420">_xlfn.IFS(Table1[[#This Row],[YearsAtCompany]]&lt;=2,"0-2 years",Table1[[#This Row],[YearsAtCompany]]&lt;=5,"3-5 years",Table1[[#This Row],[YearsAtCompany]]&lt;=10,"6-10 years",Table1[[#This Row],[YearsAtCompany]]&gt;10,"10+ years")</f>
        <v>6-10 years</v>
      </c>
      <c r="AI1420">
        <v>3</v>
      </c>
      <c r="AJ1420">
        <v>7</v>
      </c>
      <c r="AK1420">
        <v>7</v>
      </c>
      <c r="AL1420" t="str" cm="1">
        <f t="array" ref="AL1420">_xlfn.IFS(Table1[[#This Row],[JobSatisfaction]]=1,"Low",Table1[[#This Row],[JobSatisfaction]]=2,"Medium",Table1[[#This Row],[JobSatisfaction]]=3,"High",Table1[[#This Row],[JobSatisfaction]]=4,"Very High")</f>
        <v>High</v>
      </c>
      <c r="AM1420">
        <f>IF(Table1[[#This Row],[Attrition]]="Yes",1,0)</f>
        <v>0</v>
      </c>
    </row>
    <row r="1421" spans="1:39" ht="13.8" x14ac:dyDescent="0.25">
      <c r="A1421">
        <v>42</v>
      </c>
      <c r="B1421" t="str" cm="1">
        <f t="array" ref="B1421">_xlfn.IFS(Table1[[#This Row],[Age]]&lt;30,"Under 30",Table1[[#This Row],[Age]]&lt;=40,"30-40",Table1[[#This Row],[Age]]&lt;=50,"41-50",Table1[[#This Row],[Age]]&gt;50,"Over 50")</f>
        <v>41-50</v>
      </c>
      <c r="C1421" t="s">
        <v>43</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t="str" cm="1">
        <f t="array" ref="AH1421">_xlfn.IFS(Table1[[#This Row],[YearsAtCompany]]&lt;=2,"0-2 years",Table1[[#This Row],[YearsAtCompany]]&lt;=5,"3-5 years",Table1[[#This Row],[YearsAtCompany]]&lt;=10,"6-10 years",Table1[[#This Row],[YearsAtCompany]]&gt;10,"10+ years")</f>
        <v>3-5 years</v>
      </c>
      <c r="AI1421">
        <v>3</v>
      </c>
      <c r="AJ1421">
        <v>1</v>
      </c>
      <c r="AK1421">
        <v>2</v>
      </c>
      <c r="AL1421" t="str" cm="1">
        <f t="array" ref="AL1421">_xlfn.IFS(Table1[[#This Row],[JobSatisfaction]]=1,"Low",Table1[[#This Row],[JobSatisfaction]]=2,"Medium",Table1[[#This Row],[JobSatisfaction]]=3,"High",Table1[[#This Row],[JobSatisfaction]]=4,"Very High")</f>
        <v>Low</v>
      </c>
      <c r="AM1421">
        <f>IF(Table1[[#This Row],[Attrition]]="Yes",1,0)</f>
        <v>0</v>
      </c>
    </row>
    <row r="1422" spans="1:39" ht="13.8" x14ac:dyDescent="0.25">
      <c r="A1422">
        <v>41</v>
      </c>
      <c r="B1422" t="str" cm="1">
        <f t="array" ref="B1422">_xlfn.IFS(Table1[[#This Row],[Age]]&lt;30,"Under 30",Table1[[#This Row],[Age]]&lt;=40,"30-40",Table1[[#This Row],[Age]]&lt;=50,"41-50",Table1[[#This Row],[Age]]&gt;50,"Over 50")</f>
        <v>41-50</v>
      </c>
      <c r="C1422" t="s">
        <v>43</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t="str" cm="1">
        <f t="array" ref="AH1422">_xlfn.IFS(Table1[[#This Row],[YearsAtCompany]]&lt;=2,"0-2 years",Table1[[#This Row],[YearsAtCompany]]&lt;=5,"3-5 years",Table1[[#This Row],[YearsAtCompany]]&lt;=10,"6-10 years",Table1[[#This Row],[YearsAtCompany]]&gt;10,"10+ years")</f>
        <v>3-5 years</v>
      </c>
      <c r="AI1422">
        <v>3</v>
      </c>
      <c r="AJ1422">
        <v>1</v>
      </c>
      <c r="AK1422">
        <v>0</v>
      </c>
      <c r="AL1422" t="str" cm="1">
        <f t="array" ref="AL1422">_xlfn.IFS(Table1[[#This Row],[JobSatisfaction]]=1,"Low",Table1[[#This Row],[JobSatisfaction]]=2,"Medium",Table1[[#This Row],[JobSatisfaction]]=3,"High",Table1[[#This Row],[JobSatisfaction]]=4,"Very High")</f>
        <v>Very High</v>
      </c>
      <c r="AM1422">
        <f>IF(Table1[[#This Row],[Attrition]]="Yes",1,0)</f>
        <v>0</v>
      </c>
    </row>
    <row r="1423" spans="1:39" ht="13.8" x14ac:dyDescent="0.25">
      <c r="A1423">
        <v>47</v>
      </c>
      <c r="B1423" t="str" cm="1">
        <f t="array" ref="B1423">_xlfn.IFS(Table1[[#This Row],[Age]]&lt;30,"Under 30",Table1[[#This Row],[Age]]&lt;=40,"30-40",Table1[[#This Row],[Age]]&lt;=50,"41-50",Table1[[#This Row],[Age]]&gt;50,"Over 50")</f>
        <v>41-50</v>
      </c>
      <c r="C1423" t="s">
        <v>43</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t="str" cm="1">
        <f t="array" ref="AH1423">_xlfn.IFS(Table1[[#This Row],[YearsAtCompany]]&lt;=2,"0-2 years",Table1[[#This Row],[YearsAtCompany]]&lt;=5,"3-5 years",Table1[[#This Row],[YearsAtCompany]]&lt;=10,"6-10 years",Table1[[#This Row],[YearsAtCompany]]&gt;10,"10+ years")</f>
        <v>10+ years</v>
      </c>
      <c r="AI1423">
        <v>8</v>
      </c>
      <c r="AJ1423">
        <v>5</v>
      </c>
      <c r="AK1423">
        <v>12</v>
      </c>
      <c r="AL1423" t="str" cm="1">
        <f t="array" ref="AL1423">_xlfn.IFS(Table1[[#This Row],[JobSatisfaction]]=1,"Low",Table1[[#This Row],[JobSatisfaction]]=2,"Medium",Table1[[#This Row],[JobSatisfaction]]=3,"High",Table1[[#This Row],[JobSatisfaction]]=4,"Very High")</f>
        <v>Medium</v>
      </c>
      <c r="AM1423">
        <f>IF(Table1[[#This Row],[Attrition]]="Yes",1,0)</f>
        <v>0</v>
      </c>
    </row>
    <row r="1424" spans="1:39" ht="13.8" x14ac:dyDescent="0.25">
      <c r="A1424">
        <v>35</v>
      </c>
      <c r="B1424" t="str" cm="1">
        <f t="array" ref="B1424">_xlfn.IFS(Table1[[#This Row],[Age]]&lt;30,"Under 30",Table1[[#This Row],[Age]]&lt;=40,"30-40",Table1[[#This Row],[Age]]&lt;=50,"41-50",Table1[[#This Row],[Age]]&gt;50,"Over 50")</f>
        <v>30-40</v>
      </c>
      <c r="C1424" t="s">
        <v>43</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t="str" cm="1">
        <f t="array" ref="AH1424">_xlfn.IFS(Table1[[#This Row],[YearsAtCompany]]&lt;=2,"0-2 years",Table1[[#This Row],[YearsAtCompany]]&lt;=5,"3-5 years",Table1[[#This Row],[YearsAtCompany]]&lt;=10,"6-10 years",Table1[[#This Row],[YearsAtCompany]]&gt;10,"10+ years")</f>
        <v>0-2 years</v>
      </c>
      <c r="AI1424">
        <v>2</v>
      </c>
      <c r="AJ1424">
        <v>2</v>
      </c>
      <c r="AK1424">
        <v>2</v>
      </c>
      <c r="AL1424" t="str" cm="1">
        <f t="array" ref="AL1424">_xlfn.IFS(Table1[[#This Row],[JobSatisfaction]]=1,"Low",Table1[[#This Row],[JobSatisfaction]]=2,"Medium",Table1[[#This Row],[JobSatisfaction]]=3,"High",Table1[[#This Row],[JobSatisfaction]]=4,"Very High")</f>
        <v>High</v>
      </c>
      <c r="AM1424">
        <f>IF(Table1[[#This Row],[Attrition]]="Yes",1,0)</f>
        <v>0</v>
      </c>
    </row>
    <row r="1425" spans="1:39" ht="13.8" x14ac:dyDescent="0.25">
      <c r="A1425">
        <v>22</v>
      </c>
      <c r="B1425" t="str" cm="1">
        <f t="array" ref="B1425">_xlfn.IFS(Table1[[#This Row],[Age]]&lt;30,"Under 30",Table1[[#This Row],[Age]]&lt;=40,"30-40",Table1[[#This Row],[Age]]&lt;=50,"41-50",Table1[[#This Row],[Age]]&gt;50,"Over 50")</f>
        <v>Under 30</v>
      </c>
      <c r="C1425" t="s">
        <v>43</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t="str" cm="1">
        <f t="array" ref="AH1425">_xlfn.IFS(Table1[[#This Row],[YearsAtCompany]]&lt;=2,"0-2 years",Table1[[#This Row],[YearsAtCompany]]&lt;=5,"3-5 years",Table1[[#This Row],[YearsAtCompany]]&lt;=10,"6-10 years",Table1[[#This Row],[YearsAtCompany]]&gt;10,"10+ years")</f>
        <v>3-5 years</v>
      </c>
      <c r="AI1425">
        <v>2</v>
      </c>
      <c r="AJ1425">
        <v>1</v>
      </c>
      <c r="AK1425">
        <v>2</v>
      </c>
      <c r="AL1425" t="str" cm="1">
        <f t="array" ref="AL1425">_xlfn.IFS(Table1[[#This Row],[JobSatisfaction]]=1,"Low",Table1[[#This Row],[JobSatisfaction]]=2,"Medium",Table1[[#This Row],[JobSatisfaction]]=3,"High",Table1[[#This Row],[JobSatisfaction]]=4,"Very High")</f>
        <v>High</v>
      </c>
      <c r="AM1425">
        <f>IF(Table1[[#This Row],[Attrition]]="Yes",1,0)</f>
        <v>0</v>
      </c>
    </row>
    <row r="1426" spans="1:39" ht="13.8" x14ac:dyDescent="0.25">
      <c r="A1426">
        <v>35</v>
      </c>
      <c r="B1426" t="str" cm="1">
        <f t="array" ref="B1426">_xlfn.IFS(Table1[[#This Row],[Age]]&lt;30,"Under 30",Table1[[#This Row],[Age]]&lt;=40,"30-40",Table1[[#This Row],[Age]]&lt;=50,"41-50",Table1[[#This Row],[Age]]&gt;50,"Over 50")</f>
        <v>30-40</v>
      </c>
      <c r="C1426" t="s">
        <v>43</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t="str" cm="1">
        <f t="array" ref="AH1426">_xlfn.IFS(Table1[[#This Row],[YearsAtCompany]]&lt;=2,"0-2 years",Table1[[#This Row],[YearsAtCompany]]&lt;=5,"3-5 years",Table1[[#This Row],[YearsAtCompany]]&lt;=10,"6-10 years",Table1[[#This Row],[YearsAtCompany]]&gt;10,"10+ years")</f>
        <v>6-10 years</v>
      </c>
      <c r="AI1426">
        <v>7</v>
      </c>
      <c r="AJ1426">
        <v>0</v>
      </c>
      <c r="AK1426">
        <v>8</v>
      </c>
      <c r="AL1426" t="str" cm="1">
        <f t="array" ref="AL1426">_xlfn.IFS(Table1[[#This Row],[JobSatisfaction]]=1,"Low",Table1[[#This Row],[JobSatisfaction]]=2,"Medium",Table1[[#This Row],[JobSatisfaction]]=3,"High",Table1[[#This Row],[JobSatisfaction]]=4,"Very High")</f>
        <v>High</v>
      </c>
      <c r="AM1426">
        <f>IF(Table1[[#This Row],[Attrition]]="Yes",1,0)</f>
        <v>0</v>
      </c>
    </row>
    <row r="1427" spans="1:39" ht="13.8" x14ac:dyDescent="0.25">
      <c r="A1427">
        <v>33</v>
      </c>
      <c r="B1427" t="str" cm="1">
        <f t="array" ref="B1427">_xlfn.IFS(Table1[[#This Row],[Age]]&lt;30,"Under 30",Table1[[#This Row],[Age]]&lt;=40,"30-40",Table1[[#This Row],[Age]]&lt;=50,"41-50",Table1[[#This Row],[Age]]&gt;50,"Over 50")</f>
        <v>30-40</v>
      </c>
      <c r="C1427" t="s">
        <v>43</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t="str" cm="1">
        <f t="array" ref="AH1427">_xlfn.IFS(Table1[[#This Row],[YearsAtCompany]]&lt;=2,"0-2 years",Table1[[#This Row],[YearsAtCompany]]&lt;=5,"3-5 years",Table1[[#This Row],[YearsAtCompany]]&lt;=10,"6-10 years",Table1[[#This Row],[YearsAtCompany]]&gt;10,"10+ years")</f>
        <v>6-10 years</v>
      </c>
      <c r="AI1427">
        <v>7</v>
      </c>
      <c r="AJ1427">
        <v>8</v>
      </c>
      <c r="AK1427">
        <v>1</v>
      </c>
      <c r="AL1427" t="str" cm="1">
        <f t="array" ref="AL1427">_xlfn.IFS(Table1[[#This Row],[JobSatisfaction]]=1,"Low",Table1[[#This Row],[JobSatisfaction]]=2,"Medium",Table1[[#This Row],[JobSatisfaction]]=3,"High",Table1[[#This Row],[JobSatisfaction]]=4,"Very High")</f>
        <v>Very High</v>
      </c>
      <c r="AM1427">
        <f>IF(Table1[[#This Row],[Attrition]]="Yes",1,0)</f>
        <v>0</v>
      </c>
    </row>
    <row r="1428" spans="1:39" ht="13.8" x14ac:dyDescent="0.25">
      <c r="A1428">
        <v>32</v>
      </c>
      <c r="B1428" t="str" cm="1">
        <f t="array" ref="B1428">_xlfn.IFS(Table1[[#This Row],[Age]]&lt;30,"Under 30",Table1[[#This Row],[Age]]&lt;=40,"30-40",Table1[[#This Row],[Age]]&lt;=50,"41-50",Table1[[#This Row],[Age]]&gt;50,"Over 50")</f>
        <v>30-40</v>
      </c>
      <c r="C1428" t="s">
        <v>43</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t="str" cm="1">
        <f t="array" ref="AH1428">_xlfn.IFS(Table1[[#This Row],[YearsAtCompany]]&lt;=2,"0-2 years",Table1[[#This Row],[YearsAtCompany]]&lt;=5,"3-5 years",Table1[[#This Row],[YearsAtCompany]]&lt;=10,"6-10 years",Table1[[#This Row],[YearsAtCompany]]&gt;10,"10+ years")</f>
        <v>6-10 years</v>
      </c>
      <c r="AI1428">
        <v>2</v>
      </c>
      <c r="AJ1428">
        <v>4</v>
      </c>
      <c r="AK1428">
        <v>1</v>
      </c>
      <c r="AL1428" t="str" cm="1">
        <f t="array" ref="AL1428">_xlfn.IFS(Table1[[#This Row],[JobSatisfaction]]=1,"Low",Table1[[#This Row],[JobSatisfaction]]=2,"Medium",Table1[[#This Row],[JobSatisfaction]]=3,"High",Table1[[#This Row],[JobSatisfaction]]=4,"Very High")</f>
        <v>Medium</v>
      </c>
      <c r="AM1428">
        <f>IF(Table1[[#This Row],[Attrition]]="Yes",1,0)</f>
        <v>0</v>
      </c>
    </row>
    <row r="1429" spans="1:39" ht="13.8" x14ac:dyDescent="0.25">
      <c r="A1429">
        <v>40</v>
      </c>
      <c r="B1429" t="str" cm="1">
        <f t="array" ref="B1429">_xlfn.IFS(Table1[[#This Row],[Age]]&lt;30,"Under 30",Table1[[#This Row],[Age]]&lt;=40,"30-40",Table1[[#This Row],[Age]]&lt;=50,"41-50",Table1[[#This Row],[Age]]&gt;50,"Over 50")</f>
        <v>30-40</v>
      </c>
      <c r="C1429" t="s">
        <v>43</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t="str" cm="1">
        <f t="array" ref="AH1429">_xlfn.IFS(Table1[[#This Row],[YearsAtCompany]]&lt;=2,"0-2 years",Table1[[#This Row],[YearsAtCompany]]&lt;=5,"3-5 years",Table1[[#This Row],[YearsAtCompany]]&lt;=10,"6-10 years",Table1[[#This Row],[YearsAtCompany]]&gt;10,"10+ years")</f>
        <v>0-2 years</v>
      </c>
      <c r="AI1429">
        <v>0</v>
      </c>
      <c r="AJ1429">
        <v>0</v>
      </c>
      <c r="AK1429">
        <v>0</v>
      </c>
      <c r="AL1429" t="str" cm="1">
        <f t="array" ref="AL1429">_xlfn.IFS(Table1[[#This Row],[JobSatisfaction]]=1,"Low",Table1[[#This Row],[JobSatisfaction]]=2,"Medium",Table1[[#This Row],[JobSatisfaction]]=3,"High",Table1[[#This Row],[JobSatisfaction]]=4,"Very High")</f>
        <v>Very High</v>
      </c>
      <c r="AM1429">
        <f>IF(Table1[[#This Row],[Attrition]]="Yes",1,0)</f>
        <v>0</v>
      </c>
    </row>
    <row r="1430" spans="1:39" ht="13.8" x14ac:dyDescent="0.25">
      <c r="A1430">
        <v>32</v>
      </c>
      <c r="B1430" t="str" cm="1">
        <f t="array" ref="B1430">_xlfn.IFS(Table1[[#This Row],[Age]]&lt;30,"Under 30",Table1[[#This Row],[Age]]&lt;=40,"30-40",Table1[[#This Row],[Age]]&lt;=50,"41-50",Table1[[#This Row],[Age]]&gt;50,"Over 50")</f>
        <v>30-40</v>
      </c>
      <c r="C1430" t="s">
        <v>43</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t="str" cm="1">
        <f t="array" ref="AH1430">_xlfn.IFS(Table1[[#This Row],[YearsAtCompany]]&lt;=2,"0-2 years",Table1[[#This Row],[YearsAtCompany]]&lt;=5,"3-5 years",Table1[[#This Row],[YearsAtCompany]]&lt;=10,"6-10 years",Table1[[#This Row],[YearsAtCompany]]&gt;10,"10+ years")</f>
        <v>0-2 years</v>
      </c>
      <c r="AI1430">
        <v>2</v>
      </c>
      <c r="AJ1430">
        <v>2</v>
      </c>
      <c r="AK1430">
        <v>2</v>
      </c>
      <c r="AL1430" t="str" cm="1">
        <f t="array" ref="AL1430">_xlfn.IFS(Table1[[#This Row],[JobSatisfaction]]=1,"Low",Table1[[#This Row],[JobSatisfaction]]=2,"Medium",Table1[[#This Row],[JobSatisfaction]]=3,"High",Table1[[#This Row],[JobSatisfaction]]=4,"Very High")</f>
        <v>Medium</v>
      </c>
      <c r="AM1430">
        <f>IF(Table1[[#This Row],[Attrition]]="Yes",1,0)</f>
        <v>0</v>
      </c>
    </row>
    <row r="1431" spans="1:39" ht="13.8" x14ac:dyDescent="0.25">
      <c r="A1431">
        <v>39</v>
      </c>
      <c r="B1431" t="str" cm="1">
        <f t="array" ref="B1431">_xlfn.IFS(Table1[[#This Row],[Age]]&lt;30,"Under 30",Table1[[#This Row],[Age]]&lt;=40,"30-40",Table1[[#This Row],[Age]]&lt;=50,"41-50",Table1[[#This Row],[Age]]&gt;50,"Over 50")</f>
        <v>30-40</v>
      </c>
      <c r="C1431" t="s">
        <v>43</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t="str" cm="1">
        <f t="array" ref="AH1431">_xlfn.IFS(Table1[[#This Row],[YearsAtCompany]]&lt;=2,"0-2 years",Table1[[#This Row],[YearsAtCompany]]&lt;=5,"3-5 years",Table1[[#This Row],[YearsAtCompany]]&lt;=10,"6-10 years",Table1[[#This Row],[YearsAtCompany]]&gt;10,"10+ years")</f>
        <v>6-10 years</v>
      </c>
      <c r="AI1431">
        <v>7</v>
      </c>
      <c r="AJ1431">
        <v>1</v>
      </c>
      <c r="AK1431">
        <v>7</v>
      </c>
      <c r="AL1431" t="str" cm="1">
        <f t="array" ref="AL1431">_xlfn.IFS(Table1[[#This Row],[JobSatisfaction]]=1,"Low",Table1[[#This Row],[JobSatisfaction]]=2,"Medium",Table1[[#This Row],[JobSatisfaction]]=3,"High",Table1[[#This Row],[JobSatisfaction]]=4,"Very High")</f>
        <v>Very High</v>
      </c>
      <c r="AM1431">
        <f>IF(Table1[[#This Row],[Attrition]]="Yes",1,0)</f>
        <v>0</v>
      </c>
    </row>
    <row r="1432" spans="1:39" ht="13.8" x14ac:dyDescent="0.25">
      <c r="A1432">
        <v>38</v>
      </c>
      <c r="B1432" t="str" cm="1">
        <f t="array" ref="B1432">_xlfn.IFS(Table1[[#This Row],[Age]]&lt;30,"Under 30",Table1[[#This Row],[Age]]&lt;=40,"30-40",Table1[[#This Row],[Age]]&lt;=50,"41-50",Table1[[#This Row],[Age]]&gt;50,"Over 50")</f>
        <v>30-40</v>
      </c>
      <c r="C1432" t="s">
        <v>43</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t="str" cm="1">
        <f t="array" ref="AH1432">_xlfn.IFS(Table1[[#This Row],[YearsAtCompany]]&lt;=2,"0-2 years",Table1[[#This Row],[YearsAtCompany]]&lt;=5,"3-5 years",Table1[[#This Row],[YearsAtCompany]]&lt;=10,"6-10 years",Table1[[#This Row],[YearsAtCompany]]&gt;10,"10+ years")</f>
        <v>10+ years</v>
      </c>
      <c r="AI1432">
        <v>16</v>
      </c>
      <c r="AJ1432">
        <v>1</v>
      </c>
      <c r="AK1432">
        <v>11</v>
      </c>
      <c r="AL1432" t="str" cm="1">
        <f t="array" ref="AL1432">_xlfn.IFS(Table1[[#This Row],[JobSatisfaction]]=1,"Low",Table1[[#This Row],[JobSatisfaction]]=2,"Medium",Table1[[#This Row],[JobSatisfaction]]=3,"High",Table1[[#This Row],[JobSatisfaction]]=4,"Very High")</f>
        <v>High</v>
      </c>
      <c r="AM1432">
        <f>IF(Table1[[#This Row],[Attrition]]="Yes",1,0)</f>
        <v>0</v>
      </c>
    </row>
    <row r="1433" spans="1:39" ht="13.8" x14ac:dyDescent="0.25">
      <c r="A1433">
        <v>32</v>
      </c>
      <c r="B1433" t="str" cm="1">
        <f t="array" ref="B1433">_xlfn.IFS(Table1[[#This Row],[Age]]&lt;30,"Under 30",Table1[[#This Row],[Age]]&lt;=40,"30-40",Table1[[#This Row],[Age]]&lt;=50,"41-50",Table1[[#This Row],[Age]]&gt;50,"Over 50")</f>
        <v>30-40</v>
      </c>
      <c r="C1433" t="s">
        <v>43</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t="str" cm="1">
        <f t="array" ref="AH1433">_xlfn.IFS(Table1[[#This Row],[YearsAtCompany]]&lt;=2,"0-2 years",Table1[[#This Row],[YearsAtCompany]]&lt;=5,"3-5 years",Table1[[#This Row],[YearsAtCompany]]&lt;=10,"6-10 years",Table1[[#This Row],[YearsAtCompany]]&gt;10,"10+ years")</f>
        <v>10+ years</v>
      </c>
      <c r="AI1433">
        <v>10</v>
      </c>
      <c r="AJ1433">
        <v>5</v>
      </c>
      <c r="AK1433">
        <v>7</v>
      </c>
      <c r="AL1433" t="str" cm="1">
        <f t="array" ref="AL1433">_xlfn.IFS(Table1[[#This Row],[JobSatisfaction]]=1,"Low",Table1[[#This Row],[JobSatisfaction]]=2,"Medium",Table1[[#This Row],[JobSatisfaction]]=3,"High",Table1[[#This Row],[JobSatisfaction]]=4,"Very High")</f>
        <v>Very High</v>
      </c>
      <c r="AM1433">
        <f>IF(Table1[[#This Row],[Attrition]]="Yes",1,0)</f>
        <v>0</v>
      </c>
    </row>
    <row r="1434" spans="1:39" ht="13.8" x14ac:dyDescent="0.25">
      <c r="A1434">
        <v>37</v>
      </c>
      <c r="B1434" t="str" cm="1">
        <f t="array" ref="B1434">_xlfn.IFS(Table1[[#This Row],[Age]]&lt;30,"Under 30",Table1[[#This Row],[Age]]&lt;=40,"30-40",Table1[[#This Row],[Age]]&lt;=50,"41-50",Table1[[#This Row],[Age]]&gt;50,"Over 50")</f>
        <v>30-40</v>
      </c>
      <c r="C1434" t="s">
        <v>43</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t="str" cm="1">
        <f t="array" ref="AH1434">_xlfn.IFS(Table1[[#This Row],[YearsAtCompany]]&lt;=2,"0-2 years",Table1[[#This Row],[YearsAtCompany]]&lt;=5,"3-5 years",Table1[[#This Row],[YearsAtCompany]]&lt;=10,"6-10 years",Table1[[#This Row],[YearsAtCompany]]&gt;10,"10+ years")</f>
        <v>10+ years</v>
      </c>
      <c r="AI1434">
        <v>11</v>
      </c>
      <c r="AJ1434">
        <v>6</v>
      </c>
      <c r="AK1434">
        <v>8</v>
      </c>
      <c r="AL1434" t="str" cm="1">
        <f t="array" ref="AL1434">_xlfn.IFS(Table1[[#This Row],[JobSatisfaction]]=1,"Low",Table1[[#This Row],[JobSatisfaction]]=2,"Medium",Table1[[#This Row],[JobSatisfaction]]=3,"High",Table1[[#This Row],[JobSatisfaction]]=4,"Very High")</f>
        <v>Very High</v>
      </c>
      <c r="AM1434">
        <f>IF(Table1[[#This Row],[Attrition]]="Yes",1,0)</f>
        <v>0</v>
      </c>
    </row>
    <row r="1435" spans="1:39" ht="13.8" x14ac:dyDescent="0.25">
      <c r="A1435">
        <v>25</v>
      </c>
      <c r="B1435" t="str" cm="1">
        <f t="array" ref="B1435">_xlfn.IFS(Table1[[#This Row],[Age]]&lt;30,"Under 30",Table1[[#This Row],[Age]]&lt;=40,"30-40",Table1[[#This Row],[Age]]&lt;=50,"41-50",Table1[[#This Row],[Age]]&gt;50,"Over 50")</f>
        <v>Under 30</v>
      </c>
      <c r="C1435" t="s">
        <v>43</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t="str" cm="1">
        <f t="array" ref="AH1435">_xlfn.IFS(Table1[[#This Row],[YearsAtCompany]]&lt;=2,"0-2 years",Table1[[#This Row],[YearsAtCompany]]&lt;=5,"3-5 years",Table1[[#This Row],[YearsAtCompany]]&lt;=10,"6-10 years",Table1[[#This Row],[YearsAtCompany]]&gt;10,"10+ years")</f>
        <v>3-5 years</v>
      </c>
      <c r="AI1435">
        <v>3</v>
      </c>
      <c r="AJ1435">
        <v>0</v>
      </c>
      <c r="AK1435">
        <v>4</v>
      </c>
      <c r="AL1435" t="str" cm="1">
        <f t="array" ref="AL1435">_xlfn.IFS(Table1[[#This Row],[JobSatisfaction]]=1,"Low",Table1[[#This Row],[JobSatisfaction]]=2,"Medium",Table1[[#This Row],[JobSatisfaction]]=3,"High",Table1[[#This Row],[JobSatisfaction]]=4,"Very High")</f>
        <v>High</v>
      </c>
      <c r="AM1435">
        <f>IF(Table1[[#This Row],[Attrition]]="Yes",1,0)</f>
        <v>0</v>
      </c>
    </row>
    <row r="1436" spans="1:39" ht="13.8" x14ac:dyDescent="0.25">
      <c r="A1436">
        <v>52</v>
      </c>
      <c r="B1436" t="str" cm="1">
        <f t="array" ref="B1436">_xlfn.IFS(Table1[[#This Row],[Age]]&lt;30,"Under 30",Table1[[#This Row],[Age]]&lt;=40,"30-40",Table1[[#This Row],[Age]]&lt;=50,"41-50",Table1[[#This Row],[Age]]&gt;50,"Over 50")</f>
        <v>Over 50</v>
      </c>
      <c r="C1436" t="s">
        <v>43</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t="str" cm="1">
        <f t="array" ref="AH1436">_xlfn.IFS(Table1[[#This Row],[YearsAtCompany]]&lt;=2,"0-2 years",Table1[[#This Row],[YearsAtCompany]]&lt;=5,"3-5 years",Table1[[#This Row],[YearsAtCompany]]&lt;=10,"6-10 years",Table1[[#This Row],[YearsAtCompany]]&gt;10,"10+ years")</f>
        <v>6-10 years</v>
      </c>
      <c r="AI1436">
        <v>8</v>
      </c>
      <c r="AJ1436">
        <v>0</v>
      </c>
      <c r="AK1436">
        <v>0</v>
      </c>
      <c r="AL1436" t="str" cm="1">
        <f t="array" ref="AL1436">_xlfn.IFS(Table1[[#This Row],[JobSatisfaction]]=1,"Low",Table1[[#This Row],[JobSatisfaction]]=2,"Medium",Table1[[#This Row],[JobSatisfaction]]=3,"High",Table1[[#This Row],[JobSatisfaction]]=4,"Very High")</f>
        <v>Very High</v>
      </c>
      <c r="AM1436">
        <f>IF(Table1[[#This Row],[Attrition]]="Yes",1,0)</f>
        <v>0</v>
      </c>
    </row>
    <row r="1437" spans="1:39" ht="13.8" x14ac:dyDescent="0.25">
      <c r="A1437">
        <v>44</v>
      </c>
      <c r="B1437" t="str" cm="1">
        <f t="array" ref="B1437">_xlfn.IFS(Table1[[#This Row],[Age]]&lt;30,"Under 30",Table1[[#This Row],[Age]]&lt;=40,"30-40",Table1[[#This Row],[Age]]&lt;=50,"41-50",Table1[[#This Row],[Age]]&gt;50,"Over 50")</f>
        <v>41-50</v>
      </c>
      <c r="C1437" t="s">
        <v>43</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t="str" cm="1">
        <f t="array" ref="AH1437">_xlfn.IFS(Table1[[#This Row],[YearsAtCompany]]&lt;=2,"0-2 years",Table1[[#This Row],[YearsAtCompany]]&lt;=5,"3-5 years",Table1[[#This Row],[YearsAtCompany]]&lt;=10,"6-10 years",Table1[[#This Row],[YearsAtCompany]]&gt;10,"10+ years")</f>
        <v>3-5 years</v>
      </c>
      <c r="AI1437">
        <v>3</v>
      </c>
      <c r="AJ1437">
        <v>1</v>
      </c>
      <c r="AK1437">
        <v>2</v>
      </c>
      <c r="AL1437" t="str" cm="1">
        <f t="array" ref="AL1437">_xlfn.IFS(Table1[[#This Row],[JobSatisfaction]]=1,"Low",Table1[[#This Row],[JobSatisfaction]]=2,"Medium",Table1[[#This Row],[JobSatisfaction]]=3,"High",Table1[[#This Row],[JobSatisfaction]]=4,"Very High")</f>
        <v>Very High</v>
      </c>
      <c r="AM1437">
        <f>IF(Table1[[#This Row],[Attrition]]="Yes",1,0)</f>
        <v>0</v>
      </c>
    </row>
    <row r="1438" spans="1:39" ht="13.8" x14ac:dyDescent="0.25">
      <c r="A1438">
        <v>21</v>
      </c>
      <c r="B1438" t="str" cm="1">
        <f t="array" ref="B1438">_xlfn.IFS(Table1[[#This Row],[Age]]&lt;30,"Under 30",Table1[[#This Row],[Age]]&lt;=40,"30-40",Table1[[#This Row],[Age]]&lt;=50,"41-50",Table1[[#This Row],[Age]]&gt;50,"Over 50")</f>
        <v>Under 30</v>
      </c>
      <c r="C1438" t="s">
        <v>43</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t="str" cm="1">
        <f t="array" ref="AH1438">_xlfn.IFS(Table1[[#This Row],[YearsAtCompany]]&lt;=2,"0-2 years",Table1[[#This Row],[YearsAtCompany]]&lt;=5,"3-5 years",Table1[[#This Row],[YearsAtCompany]]&lt;=10,"6-10 years",Table1[[#This Row],[YearsAtCompany]]&gt;10,"10+ years")</f>
        <v>0-2 years</v>
      </c>
      <c r="AI1438">
        <v>2</v>
      </c>
      <c r="AJ1438">
        <v>1</v>
      </c>
      <c r="AK1438">
        <v>2</v>
      </c>
      <c r="AL1438" t="str" cm="1">
        <f t="array" ref="AL1438">_xlfn.IFS(Table1[[#This Row],[JobSatisfaction]]=1,"Low",Table1[[#This Row],[JobSatisfaction]]=2,"Medium",Table1[[#This Row],[JobSatisfaction]]=3,"High",Table1[[#This Row],[JobSatisfaction]]=4,"Very High")</f>
        <v>Low</v>
      </c>
      <c r="AM1438">
        <f>IF(Table1[[#This Row],[Attrition]]="Yes",1,0)</f>
        <v>0</v>
      </c>
    </row>
    <row r="1439" spans="1:39" ht="13.8" x14ac:dyDescent="0.25">
      <c r="A1439">
        <v>39</v>
      </c>
      <c r="B1439" t="str" cm="1">
        <f t="array" ref="B1439">_xlfn.IFS(Table1[[#This Row],[Age]]&lt;30,"Under 30",Table1[[#This Row],[Age]]&lt;=40,"30-40",Table1[[#This Row],[Age]]&lt;=50,"41-50",Table1[[#This Row],[Age]]&gt;50,"Over 50")</f>
        <v>30-40</v>
      </c>
      <c r="C1439" t="s">
        <v>43</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t="str" cm="1">
        <f t="array" ref="AH1439">_xlfn.IFS(Table1[[#This Row],[YearsAtCompany]]&lt;=2,"0-2 years",Table1[[#This Row],[YearsAtCompany]]&lt;=5,"3-5 years",Table1[[#This Row],[YearsAtCompany]]&lt;=10,"6-10 years",Table1[[#This Row],[YearsAtCompany]]&gt;10,"10+ years")</f>
        <v>6-10 years</v>
      </c>
      <c r="AI1439">
        <v>0</v>
      </c>
      <c r="AJ1439">
        <v>1</v>
      </c>
      <c r="AK1439">
        <v>3</v>
      </c>
      <c r="AL1439" t="str" cm="1">
        <f t="array" ref="AL1439">_xlfn.IFS(Table1[[#This Row],[JobSatisfaction]]=1,"Low",Table1[[#This Row],[JobSatisfaction]]=2,"Medium",Table1[[#This Row],[JobSatisfaction]]=3,"High",Table1[[#This Row],[JobSatisfaction]]=4,"Very High")</f>
        <v>Very High</v>
      </c>
      <c r="AM1439">
        <f>IF(Table1[[#This Row],[Attrition]]="Yes",1,0)</f>
        <v>0</v>
      </c>
    </row>
    <row r="1440" spans="1:39" ht="13.8" x14ac:dyDescent="0.25">
      <c r="A1440">
        <v>23</v>
      </c>
      <c r="B1440" t="str" cm="1">
        <f t="array" ref="B1440">_xlfn.IFS(Table1[[#This Row],[Age]]&lt;30,"Under 30",Table1[[#This Row],[Age]]&lt;=40,"30-40",Table1[[#This Row],[Age]]&lt;=50,"41-50",Table1[[#This Row],[Age]]&gt;50,"Over 50")</f>
        <v>Under 30</v>
      </c>
      <c r="C1440" t="s">
        <v>35</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t="str" cm="1">
        <f t="array" ref="AH1440">_xlfn.IFS(Table1[[#This Row],[YearsAtCompany]]&lt;=2,"0-2 years",Table1[[#This Row],[YearsAtCompany]]&lt;=5,"3-5 years",Table1[[#This Row],[YearsAtCompany]]&lt;=10,"6-10 years",Table1[[#This Row],[YearsAtCompany]]&gt;10,"10+ years")</f>
        <v>0-2 years</v>
      </c>
      <c r="AI1440">
        <v>0</v>
      </c>
      <c r="AJ1440">
        <v>1</v>
      </c>
      <c r="AK1440">
        <v>0</v>
      </c>
      <c r="AL1440" t="str" cm="1">
        <f t="array" ref="AL1440">_xlfn.IFS(Table1[[#This Row],[JobSatisfaction]]=1,"Low",Table1[[#This Row],[JobSatisfaction]]=2,"Medium",Table1[[#This Row],[JobSatisfaction]]=3,"High",Table1[[#This Row],[JobSatisfaction]]=4,"Very High")</f>
        <v>Low</v>
      </c>
      <c r="AM1440">
        <f>IF(Table1[[#This Row],[Attrition]]="Yes",1,0)</f>
        <v>1</v>
      </c>
    </row>
    <row r="1441" spans="1:39" ht="13.8" x14ac:dyDescent="0.25">
      <c r="A1441">
        <v>36</v>
      </c>
      <c r="B1441" t="str" cm="1">
        <f t="array" ref="B1441">_xlfn.IFS(Table1[[#This Row],[Age]]&lt;30,"Under 30",Table1[[#This Row],[Age]]&lt;=40,"30-40",Table1[[#This Row],[Age]]&lt;=50,"41-50",Table1[[#This Row],[Age]]&gt;50,"Over 50")</f>
        <v>30-40</v>
      </c>
      <c r="C1441" t="s">
        <v>43</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t="str" cm="1">
        <f t="array" ref="AH1441">_xlfn.IFS(Table1[[#This Row],[YearsAtCompany]]&lt;=2,"0-2 years",Table1[[#This Row],[YearsAtCompany]]&lt;=5,"3-5 years",Table1[[#This Row],[YearsAtCompany]]&lt;=10,"6-10 years",Table1[[#This Row],[YearsAtCompany]]&gt;10,"10+ years")</f>
        <v>6-10 years</v>
      </c>
      <c r="AI1441">
        <v>7</v>
      </c>
      <c r="AJ1441">
        <v>3</v>
      </c>
      <c r="AK1441">
        <v>4</v>
      </c>
      <c r="AL1441" t="str" cm="1">
        <f t="array" ref="AL1441">_xlfn.IFS(Table1[[#This Row],[JobSatisfaction]]=1,"Low",Table1[[#This Row],[JobSatisfaction]]=2,"Medium",Table1[[#This Row],[JobSatisfaction]]=3,"High",Table1[[#This Row],[JobSatisfaction]]=4,"Very High")</f>
        <v>Very High</v>
      </c>
      <c r="AM1441">
        <f>IF(Table1[[#This Row],[Attrition]]="Yes",1,0)</f>
        <v>0</v>
      </c>
    </row>
    <row r="1442" spans="1:39" ht="13.8" x14ac:dyDescent="0.25">
      <c r="A1442">
        <v>36</v>
      </c>
      <c r="B1442" t="str" cm="1">
        <f t="array" ref="B1442">_xlfn.IFS(Table1[[#This Row],[Age]]&lt;30,"Under 30",Table1[[#This Row],[Age]]&lt;=40,"30-40",Table1[[#This Row],[Age]]&lt;=50,"41-50",Table1[[#This Row],[Age]]&gt;50,"Over 50")</f>
        <v>30-40</v>
      </c>
      <c r="C1442" t="s">
        <v>43</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t="str" cm="1">
        <f t="array" ref="AH1442">_xlfn.IFS(Table1[[#This Row],[YearsAtCompany]]&lt;=2,"0-2 years",Table1[[#This Row],[YearsAtCompany]]&lt;=5,"3-5 years",Table1[[#This Row],[YearsAtCompany]]&lt;=10,"6-10 years",Table1[[#This Row],[YearsAtCompany]]&gt;10,"10+ years")</f>
        <v>3-5 years</v>
      </c>
      <c r="AI1442">
        <v>2</v>
      </c>
      <c r="AJ1442">
        <v>0</v>
      </c>
      <c r="AK1442">
        <v>2</v>
      </c>
      <c r="AL1442" t="str" cm="1">
        <f t="array" ref="AL1442">_xlfn.IFS(Table1[[#This Row],[JobSatisfaction]]=1,"Low",Table1[[#This Row],[JobSatisfaction]]=2,"Medium",Table1[[#This Row],[JobSatisfaction]]=3,"High",Table1[[#This Row],[JobSatisfaction]]=4,"Very High")</f>
        <v>Medium</v>
      </c>
      <c r="AM1442">
        <f>IF(Table1[[#This Row],[Attrition]]="Yes",1,0)</f>
        <v>0</v>
      </c>
    </row>
    <row r="1443" spans="1:39" ht="13.8" x14ac:dyDescent="0.25">
      <c r="A1443">
        <v>56</v>
      </c>
      <c r="B1443" t="str" cm="1">
        <f t="array" ref="B1443">_xlfn.IFS(Table1[[#This Row],[Age]]&lt;30,"Under 30",Table1[[#This Row],[Age]]&lt;=40,"30-40",Table1[[#This Row],[Age]]&lt;=50,"41-50",Table1[[#This Row],[Age]]&gt;50,"Over 50")</f>
        <v>Over 50</v>
      </c>
      <c r="C1443" t="s">
        <v>43</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t="str" cm="1">
        <f t="array" ref="AH1443">_xlfn.IFS(Table1[[#This Row],[YearsAtCompany]]&lt;=2,"0-2 years",Table1[[#This Row],[YearsAtCompany]]&lt;=5,"3-5 years",Table1[[#This Row],[YearsAtCompany]]&lt;=10,"6-10 years",Table1[[#This Row],[YearsAtCompany]]&gt;10,"10+ years")</f>
        <v>10+ years</v>
      </c>
      <c r="AI1443">
        <v>12</v>
      </c>
      <c r="AJ1443">
        <v>1</v>
      </c>
      <c r="AK1443">
        <v>9</v>
      </c>
      <c r="AL1443" t="str" cm="1">
        <f t="array" ref="AL1443">_xlfn.IFS(Table1[[#This Row],[JobSatisfaction]]=1,"Low",Table1[[#This Row],[JobSatisfaction]]=2,"Medium",Table1[[#This Row],[JobSatisfaction]]=3,"High",Table1[[#This Row],[JobSatisfaction]]=4,"Very High")</f>
        <v>High</v>
      </c>
      <c r="AM1443">
        <f>IF(Table1[[#This Row],[Attrition]]="Yes",1,0)</f>
        <v>0</v>
      </c>
    </row>
    <row r="1444" spans="1:39" ht="13.8" x14ac:dyDescent="0.25">
      <c r="A1444">
        <v>29</v>
      </c>
      <c r="B1444" t="str" cm="1">
        <f t="array" ref="B1444">_xlfn.IFS(Table1[[#This Row],[Age]]&lt;30,"Under 30",Table1[[#This Row],[Age]]&lt;=40,"30-40",Table1[[#This Row],[Age]]&lt;=50,"41-50",Table1[[#This Row],[Age]]&gt;50,"Over 50")</f>
        <v>Under 30</v>
      </c>
      <c r="C1444" t="s">
        <v>35</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t="str" cm="1">
        <f t="array" ref="AH1444">_xlfn.IFS(Table1[[#This Row],[YearsAtCompany]]&lt;=2,"0-2 years",Table1[[#This Row],[YearsAtCompany]]&lt;=5,"3-5 years",Table1[[#This Row],[YearsAtCompany]]&lt;=10,"6-10 years",Table1[[#This Row],[YearsAtCompany]]&gt;10,"10+ years")</f>
        <v>0-2 years</v>
      </c>
      <c r="AI1444">
        <v>2</v>
      </c>
      <c r="AJ1444">
        <v>2</v>
      </c>
      <c r="AK1444">
        <v>2</v>
      </c>
      <c r="AL1444" t="str" cm="1">
        <f t="array" ref="AL1444">_xlfn.IFS(Table1[[#This Row],[JobSatisfaction]]=1,"Low",Table1[[#This Row],[JobSatisfaction]]=2,"Medium",Table1[[#This Row],[JobSatisfaction]]=3,"High",Table1[[#This Row],[JobSatisfaction]]=4,"Very High")</f>
        <v>Very High</v>
      </c>
      <c r="AM1444">
        <f>IF(Table1[[#This Row],[Attrition]]="Yes",1,0)</f>
        <v>1</v>
      </c>
    </row>
    <row r="1445" spans="1:39" ht="13.8" x14ac:dyDescent="0.25">
      <c r="A1445">
        <v>42</v>
      </c>
      <c r="B1445" t="str" cm="1">
        <f t="array" ref="B1445">_xlfn.IFS(Table1[[#This Row],[Age]]&lt;30,"Under 30",Table1[[#This Row],[Age]]&lt;=40,"30-40",Table1[[#This Row],[Age]]&lt;=50,"41-50",Table1[[#This Row],[Age]]&gt;50,"Over 50")</f>
        <v>41-50</v>
      </c>
      <c r="C1445" t="s">
        <v>43</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t="str" cm="1">
        <f t="array" ref="AH1445">_xlfn.IFS(Table1[[#This Row],[YearsAtCompany]]&lt;=2,"0-2 years",Table1[[#This Row],[YearsAtCompany]]&lt;=5,"3-5 years",Table1[[#This Row],[YearsAtCompany]]&lt;=10,"6-10 years",Table1[[#This Row],[YearsAtCompany]]&gt;10,"10+ years")</f>
        <v>10+ years</v>
      </c>
      <c r="AI1445">
        <v>6</v>
      </c>
      <c r="AJ1445">
        <v>4</v>
      </c>
      <c r="AK1445">
        <v>14</v>
      </c>
      <c r="AL1445" t="str" cm="1">
        <f t="array" ref="AL1445">_xlfn.IFS(Table1[[#This Row],[JobSatisfaction]]=1,"Low",Table1[[#This Row],[JobSatisfaction]]=2,"Medium",Table1[[#This Row],[JobSatisfaction]]=3,"High",Table1[[#This Row],[JobSatisfaction]]=4,"Very High")</f>
        <v>High</v>
      </c>
      <c r="AM1445">
        <f>IF(Table1[[#This Row],[Attrition]]="Yes",1,0)</f>
        <v>0</v>
      </c>
    </row>
    <row r="1446" spans="1:39" ht="13.8" x14ac:dyDescent="0.25">
      <c r="A1446">
        <v>56</v>
      </c>
      <c r="B1446" t="str" cm="1">
        <f t="array" ref="B1446">_xlfn.IFS(Table1[[#This Row],[Age]]&lt;30,"Under 30",Table1[[#This Row],[Age]]&lt;=40,"30-40",Table1[[#This Row],[Age]]&lt;=50,"41-50",Table1[[#This Row],[Age]]&gt;50,"Over 50")</f>
        <v>Over 50</v>
      </c>
      <c r="C1446" t="s">
        <v>35</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t="str" cm="1">
        <f t="array" ref="AH1446">_xlfn.IFS(Table1[[#This Row],[YearsAtCompany]]&lt;=2,"0-2 years",Table1[[#This Row],[YearsAtCompany]]&lt;=5,"3-5 years",Table1[[#This Row],[YearsAtCompany]]&lt;=10,"6-10 years",Table1[[#This Row],[YearsAtCompany]]&gt;10,"10+ years")</f>
        <v>6-10 years</v>
      </c>
      <c r="AI1446">
        <v>9</v>
      </c>
      <c r="AJ1446">
        <v>9</v>
      </c>
      <c r="AK1446">
        <v>8</v>
      </c>
      <c r="AL1446" t="str" cm="1">
        <f t="array" ref="AL1446">_xlfn.IFS(Table1[[#This Row],[JobSatisfaction]]=1,"Low",Table1[[#This Row],[JobSatisfaction]]=2,"Medium",Table1[[#This Row],[JobSatisfaction]]=3,"High",Table1[[#This Row],[JobSatisfaction]]=4,"Very High")</f>
        <v>High</v>
      </c>
      <c r="AM1446">
        <f>IF(Table1[[#This Row],[Attrition]]="Yes",1,0)</f>
        <v>1</v>
      </c>
    </row>
    <row r="1447" spans="1:39" ht="13.8" x14ac:dyDescent="0.25">
      <c r="A1447">
        <v>41</v>
      </c>
      <c r="B1447" t="str" cm="1">
        <f t="array" ref="B1447">_xlfn.IFS(Table1[[#This Row],[Age]]&lt;30,"Under 30",Table1[[#This Row],[Age]]&lt;=40,"30-40",Table1[[#This Row],[Age]]&lt;=50,"41-50",Table1[[#This Row],[Age]]&gt;50,"Over 50")</f>
        <v>41-50</v>
      </c>
      <c r="C1447" t="s">
        <v>43</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t="str" cm="1">
        <f t="array" ref="AH1447">_xlfn.IFS(Table1[[#This Row],[YearsAtCompany]]&lt;=2,"0-2 years",Table1[[#This Row],[YearsAtCompany]]&lt;=5,"3-5 years",Table1[[#This Row],[YearsAtCompany]]&lt;=10,"6-10 years",Table1[[#This Row],[YearsAtCompany]]&gt;10,"10+ years")</f>
        <v>10+ years</v>
      </c>
      <c r="AI1447">
        <v>7</v>
      </c>
      <c r="AJ1447">
        <v>0</v>
      </c>
      <c r="AK1447">
        <v>10</v>
      </c>
      <c r="AL1447" t="str" cm="1">
        <f t="array" ref="AL1447">_xlfn.IFS(Table1[[#This Row],[JobSatisfaction]]=1,"Low",Table1[[#This Row],[JobSatisfaction]]=2,"Medium",Table1[[#This Row],[JobSatisfaction]]=3,"High",Table1[[#This Row],[JobSatisfaction]]=4,"Very High")</f>
        <v>Medium</v>
      </c>
      <c r="AM1447">
        <f>IF(Table1[[#This Row],[Attrition]]="Yes",1,0)</f>
        <v>0</v>
      </c>
    </row>
    <row r="1448" spans="1:39" ht="13.8" x14ac:dyDescent="0.25">
      <c r="A1448">
        <v>34</v>
      </c>
      <c r="B1448" t="str" cm="1">
        <f t="array" ref="B1448">_xlfn.IFS(Table1[[#This Row],[Age]]&lt;30,"Under 30",Table1[[#This Row],[Age]]&lt;=40,"30-40",Table1[[#This Row],[Age]]&lt;=50,"41-50",Table1[[#This Row],[Age]]&gt;50,"Over 50")</f>
        <v>30-40</v>
      </c>
      <c r="C1448" t="s">
        <v>43</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t="str" cm="1">
        <f t="array" ref="AH1448">_xlfn.IFS(Table1[[#This Row],[YearsAtCompany]]&lt;=2,"0-2 years",Table1[[#This Row],[YearsAtCompany]]&lt;=5,"3-5 years",Table1[[#This Row],[YearsAtCompany]]&lt;=10,"6-10 years",Table1[[#This Row],[YearsAtCompany]]&gt;10,"10+ years")</f>
        <v>6-10 years</v>
      </c>
      <c r="AI1448">
        <v>7</v>
      </c>
      <c r="AJ1448">
        <v>1</v>
      </c>
      <c r="AK1448">
        <v>7</v>
      </c>
      <c r="AL1448" t="str" cm="1">
        <f t="array" ref="AL1448">_xlfn.IFS(Table1[[#This Row],[JobSatisfaction]]=1,"Low",Table1[[#This Row],[JobSatisfaction]]=2,"Medium",Table1[[#This Row],[JobSatisfaction]]=3,"High",Table1[[#This Row],[JobSatisfaction]]=4,"Very High")</f>
        <v>High</v>
      </c>
      <c r="AM1448">
        <f>IF(Table1[[#This Row],[Attrition]]="Yes",1,0)</f>
        <v>0</v>
      </c>
    </row>
    <row r="1449" spans="1:39" ht="13.8" x14ac:dyDescent="0.25">
      <c r="A1449">
        <v>36</v>
      </c>
      <c r="B1449" t="str" cm="1">
        <f t="array" ref="B1449">_xlfn.IFS(Table1[[#This Row],[Age]]&lt;30,"Under 30",Table1[[#This Row],[Age]]&lt;=40,"30-40",Table1[[#This Row],[Age]]&lt;=50,"41-50",Table1[[#This Row],[Age]]&gt;50,"Over 50")</f>
        <v>30-40</v>
      </c>
      <c r="C1449" t="s">
        <v>43</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t="str" cm="1">
        <f t="array" ref="AH1449">_xlfn.IFS(Table1[[#This Row],[YearsAtCompany]]&lt;=2,"0-2 years",Table1[[#This Row],[YearsAtCompany]]&lt;=5,"3-5 years",Table1[[#This Row],[YearsAtCompany]]&lt;=10,"6-10 years",Table1[[#This Row],[YearsAtCompany]]&gt;10,"10+ years")</f>
        <v>10+ years</v>
      </c>
      <c r="AI1449">
        <v>12</v>
      </c>
      <c r="AJ1449">
        <v>11</v>
      </c>
      <c r="AK1449">
        <v>11</v>
      </c>
      <c r="AL1449" t="str" cm="1">
        <f t="array" ref="AL1449">_xlfn.IFS(Table1[[#This Row],[JobSatisfaction]]=1,"Low",Table1[[#This Row],[JobSatisfaction]]=2,"Medium",Table1[[#This Row],[JobSatisfaction]]=3,"High",Table1[[#This Row],[JobSatisfaction]]=4,"Very High")</f>
        <v>Very High</v>
      </c>
      <c r="AM1449">
        <f>IF(Table1[[#This Row],[Attrition]]="Yes",1,0)</f>
        <v>0</v>
      </c>
    </row>
    <row r="1450" spans="1:39" ht="13.8" x14ac:dyDescent="0.25">
      <c r="A1450">
        <v>41</v>
      </c>
      <c r="B1450" t="str" cm="1">
        <f t="array" ref="B1450">_xlfn.IFS(Table1[[#This Row],[Age]]&lt;30,"Under 30",Table1[[#This Row],[Age]]&lt;=40,"30-40",Table1[[#This Row],[Age]]&lt;=50,"41-50",Table1[[#This Row],[Age]]&gt;50,"Over 50")</f>
        <v>41-50</v>
      </c>
      <c r="C1450" t="s">
        <v>43</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t="str" cm="1">
        <f t="array" ref="AH1450">_xlfn.IFS(Table1[[#This Row],[YearsAtCompany]]&lt;=2,"0-2 years",Table1[[#This Row],[YearsAtCompany]]&lt;=5,"3-5 years",Table1[[#This Row],[YearsAtCompany]]&lt;=10,"6-10 years",Table1[[#This Row],[YearsAtCompany]]&gt;10,"10+ years")</f>
        <v>3-5 years</v>
      </c>
      <c r="AI1450">
        <v>4</v>
      </c>
      <c r="AJ1450">
        <v>0</v>
      </c>
      <c r="AK1450">
        <v>4</v>
      </c>
      <c r="AL1450" t="str" cm="1">
        <f t="array" ref="AL1450">_xlfn.IFS(Table1[[#This Row],[JobSatisfaction]]=1,"Low",Table1[[#This Row],[JobSatisfaction]]=2,"Medium",Table1[[#This Row],[JobSatisfaction]]=3,"High",Table1[[#This Row],[JobSatisfaction]]=4,"Very High")</f>
        <v>Medium</v>
      </c>
      <c r="AM1450">
        <f>IF(Table1[[#This Row],[Attrition]]="Yes",1,0)</f>
        <v>0</v>
      </c>
    </row>
    <row r="1451" spans="1:39" ht="13.8" x14ac:dyDescent="0.25">
      <c r="A1451">
        <v>32</v>
      </c>
      <c r="B1451" t="str" cm="1">
        <f t="array" ref="B1451">_xlfn.IFS(Table1[[#This Row],[Age]]&lt;30,"Under 30",Table1[[#This Row],[Age]]&lt;=40,"30-40",Table1[[#This Row],[Age]]&lt;=50,"41-50",Table1[[#This Row],[Age]]&gt;50,"Over 50")</f>
        <v>30-40</v>
      </c>
      <c r="C1451" t="s">
        <v>43</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t="str" cm="1">
        <f t="array" ref="AH1451">_xlfn.IFS(Table1[[#This Row],[YearsAtCompany]]&lt;=2,"0-2 years",Table1[[#This Row],[YearsAtCompany]]&lt;=5,"3-5 years",Table1[[#This Row],[YearsAtCompany]]&lt;=10,"6-10 years",Table1[[#This Row],[YearsAtCompany]]&gt;10,"10+ years")</f>
        <v>3-5 years</v>
      </c>
      <c r="AI1451">
        <v>2</v>
      </c>
      <c r="AJ1451">
        <v>1</v>
      </c>
      <c r="AK1451">
        <v>2</v>
      </c>
      <c r="AL1451" t="str" cm="1">
        <f t="array" ref="AL1451">_xlfn.IFS(Table1[[#This Row],[JobSatisfaction]]=1,"Low",Table1[[#This Row],[JobSatisfaction]]=2,"Medium",Table1[[#This Row],[JobSatisfaction]]=3,"High",Table1[[#This Row],[JobSatisfaction]]=4,"Very High")</f>
        <v>Low</v>
      </c>
      <c r="AM1451">
        <f>IF(Table1[[#This Row],[Attrition]]="Yes",1,0)</f>
        <v>0</v>
      </c>
    </row>
    <row r="1452" spans="1:39" ht="13.8" x14ac:dyDescent="0.25">
      <c r="A1452">
        <v>35</v>
      </c>
      <c r="B1452" t="str" cm="1">
        <f t="array" ref="B1452">_xlfn.IFS(Table1[[#This Row],[Age]]&lt;30,"Under 30",Table1[[#This Row],[Age]]&lt;=40,"30-40",Table1[[#This Row],[Age]]&lt;=50,"41-50",Table1[[#This Row],[Age]]&gt;50,"Over 50")</f>
        <v>30-40</v>
      </c>
      <c r="C1452" t="s">
        <v>43</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t="str" cm="1">
        <f t="array" ref="AH1452">_xlfn.IFS(Table1[[#This Row],[YearsAtCompany]]&lt;=2,"0-2 years",Table1[[#This Row],[YearsAtCompany]]&lt;=5,"3-5 years",Table1[[#This Row],[YearsAtCompany]]&lt;=10,"6-10 years",Table1[[#This Row],[YearsAtCompany]]&gt;10,"10+ years")</f>
        <v>6-10 years</v>
      </c>
      <c r="AI1452">
        <v>0</v>
      </c>
      <c r="AJ1452">
        <v>1</v>
      </c>
      <c r="AK1452">
        <v>7</v>
      </c>
      <c r="AL1452" t="str" cm="1">
        <f t="array" ref="AL1452">_xlfn.IFS(Table1[[#This Row],[JobSatisfaction]]=1,"Low",Table1[[#This Row],[JobSatisfaction]]=2,"Medium",Table1[[#This Row],[JobSatisfaction]]=3,"High",Table1[[#This Row],[JobSatisfaction]]=4,"Very High")</f>
        <v>Very High</v>
      </c>
      <c r="AM1452">
        <f>IF(Table1[[#This Row],[Attrition]]="Yes",1,0)</f>
        <v>0</v>
      </c>
    </row>
    <row r="1453" spans="1:39" ht="13.8" x14ac:dyDescent="0.25">
      <c r="A1453">
        <v>38</v>
      </c>
      <c r="B1453" t="str" cm="1">
        <f t="array" ref="B1453">_xlfn.IFS(Table1[[#This Row],[Age]]&lt;30,"Under 30",Table1[[#This Row],[Age]]&lt;=40,"30-40",Table1[[#This Row],[Age]]&lt;=50,"41-50",Table1[[#This Row],[Age]]&gt;50,"Over 50")</f>
        <v>30-40</v>
      </c>
      <c r="C1453" t="s">
        <v>43</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t="str" cm="1">
        <f t="array" ref="AH1453">_xlfn.IFS(Table1[[#This Row],[YearsAtCompany]]&lt;=2,"0-2 years",Table1[[#This Row],[YearsAtCompany]]&lt;=5,"3-5 years",Table1[[#This Row],[YearsAtCompany]]&lt;=10,"6-10 years",Table1[[#This Row],[YearsAtCompany]]&gt;10,"10+ years")</f>
        <v>6-10 years</v>
      </c>
      <c r="AI1453">
        <v>7</v>
      </c>
      <c r="AJ1453">
        <v>1</v>
      </c>
      <c r="AK1453">
        <v>9</v>
      </c>
      <c r="AL1453" t="str" cm="1">
        <f t="array" ref="AL1453">_xlfn.IFS(Table1[[#This Row],[JobSatisfaction]]=1,"Low",Table1[[#This Row],[JobSatisfaction]]=2,"Medium",Table1[[#This Row],[JobSatisfaction]]=3,"High",Table1[[#This Row],[JobSatisfaction]]=4,"Very High")</f>
        <v>Very High</v>
      </c>
      <c r="AM1453">
        <f>IF(Table1[[#This Row],[Attrition]]="Yes",1,0)</f>
        <v>0</v>
      </c>
    </row>
    <row r="1454" spans="1:39" ht="13.8" x14ac:dyDescent="0.25">
      <c r="A1454">
        <v>50</v>
      </c>
      <c r="B1454" t="str" cm="1">
        <f t="array" ref="B1454">_xlfn.IFS(Table1[[#This Row],[Age]]&lt;30,"Under 30",Table1[[#This Row],[Age]]&lt;=40,"30-40",Table1[[#This Row],[Age]]&lt;=50,"41-50",Table1[[#This Row],[Age]]&gt;50,"Over 50")</f>
        <v>41-50</v>
      </c>
      <c r="C1454" t="s">
        <v>35</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t="str" cm="1">
        <f t="array" ref="AH1454">_xlfn.IFS(Table1[[#This Row],[YearsAtCompany]]&lt;=2,"0-2 years",Table1[[#This Row],[YearsAtCompany]]&lt;=5,"3-5 years",Table1[[#This Row],[YearsAtCompany]]&lt;=10,"6-10 years",Table1[[#This Row],[YearsAtCompany]]&gt;10,"10+ years")</f>
        <v>6-10 years</v>
      </c>
      <c r="AI1454">
        <v>3</v>
      </c>
      <c r="AJ1454">
        <v>0</v>
      </c>
      <c r="AK1454">
        <v>1</v>
      </c>
      <c r="AL1454" t="str" cm="1">
        <f t="array" ref="AL1454">_xlfn.IFS(Table1[[#This Row],[JobSatisfaction]]=1,"Low",Table1[[#This Row],[JobSatisfaction]]=2,"Medium",Table1[[#This Row],[JobSatisfaction]]=3,"High",Table1[[#This Row],[JobSatisfaction]]=4,"Very High")</f>
        <v>High</v>
      </c>
      <c r="AM1454">
        <f>IF(Table1[[#This Row],[Attrition]]="Yes",1,0)</f>
        <v>1</v>
      </c>
    </row>
    <row r="1455" spans="1:39" ht="13.8" x14ac:dyDescent="0.25">
      <c r="A1455">
        <v>36</v>
      </c>
      <c r="B1455" t="str" cm="1">
        <f t="array" ref="B1455">_xlfn.IFS(Table1[[#This Row],[Age]]&lt;30,"Under 30",Table1[[#This Row],[Age]]&lt;=40,"30-40",Table1[[#This Row],[Age]]&lt;=50,"41-50",Table1[[#This Row],[Age]]&gt;50,"Over 50")</f>
        <v>30-40</v>
      </c>
      <c r="C1455" t="s">
        <v>43</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t="str" cm="1">
        <f t="array" ref="AH1455">_xlfn.IFS(Table1[[#This Row],[YearsAtCompany]]&lt;=2,"0-2 years",Table1[[#This Row],[YearsAtCompany]]&lt;=5,"3-5 years",Table1[[#This Row],[YearsAtCompany]]&lt;=10,"6-10 years",Table1[[#This Row],[YearsAtCompany]]&gt;10,"10+ years")</f>
        <v>6-10 years</v>
      </c>
      <c r="AI1455">
        <v>3</v>
      </c>
      <c r="AJ1455">
        <v>0</v>
      </c>
      <c r="AK1455">
        <v>0</v>
      </c>
      <c r="AL1455" t="str" cm="1">
        <f t="array" ref="AL1455">_xlfn.IFS(Table1[[#This Row],[JobSatisfaction]]=1,"Low",Table1[[#This Row],[JobSatisfaction]]=2,"Medium",Table1[[#This Row],[JobSatisfaction]]=3,"High",Table1[[#This Row],[JobSatisfaction]]=4,"Very High")</f>
        <v>Very High</v>
      </c>
      <c r="AM1455">
        <f>IF(Table1[[#This Row],[Attrition]]="Yes",1,0)</f>
        <v>0</v>
      </c>
    </row>
    <row r="1456" spans="1:39" ht="13.8" x14ac:dyDescent="0.25">
      <c r="A1456">
        <v>45</v>
      </c>
      <c r="B1456" t="str" cm="1">
        <f t="array" ref="B1456">_xlfn.IFS(Table1[[#This Row],[Age]]&lt;30,"Under 30",Table1[[#This Row],[Age]]&lt;=40,"30-40",Table1[[#This Row],[Age]]&lt;=50,"41-50",Table1[[#This Row],[Age]]&gt;50,"Over 50")</f>
        <v>41-50</v>
      </c>
      <c r="C1456" t="s">
        <v>43</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t="str" cm="1">
        <f t="array" ref="AH1456">_xlfn.IFS(Table1[[#This Row],[YearsAtCompany]]&lt;=2,"0-2 years",Table1[[#This Row],[YearsAtCompany]]&lt;=5,"3-5 years",Table1[[#This Row],[YearsAtCompany]]&lt;=10,"6-10 years",Table1[[#This Row],[YearsAtCompany]]&gt;10,"10+ years")</f>
        <v>3-5 years</v>
      </c>
      <c r="AI1456">
        <v>3</v>
      </c>
      <c r="AJ1456">
        <v>0</v>
      </c>
      <c r="AK1456">
        <v>1</v>
      </c>
      <c r="AL1456" t="str" cm="1">
        <f t="array" ref="AL1456">_xlfn.IFS(Table1[[#This Row],[JobSatisfaction]]=1,"Low",Table1[[#This Row],[JobSatisfaction]]=2,"Medium",Table1[[#This Row],[JobSatisfaction]]=3,"High",Table1[[#This Row],[JobSatisfaction]]=4,"Very High")</f>
        <v>High</v>
      </c>
      <c r="AM1456">
        <f>IF(Table1[[#This Row],[Attrition]]="Yes",1,0)</f>
        <v>0</v>
      </c>
    </row>
    <row r="1457" spans="1:39" ht="13.8" x14ac:dyDescent="0.25">
      <c r="A1457">
        <v>40</v>
      </c>
      <c r="B1457" t="str" cm="1">
        <f t="array" ref="B1457">_xlfn.IFS(Table1[[#This Row],[Age]]&lt;30,"Under 30",Table1[[#This Row],[Age]]&lt;=40,"30-40",Table1[[#This Row],[Age]]&lt;=50,"41-50",Table1[[#This Row],[Age]]&gt;50,"Over 50")</f>
        <v>30-40</v>
      </c>
      <c r="C1457" t="s">
        <v>43</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t="str" cm="1">
        <f t="array" ref="AH1457">_xlfn.IFS(Table1[[#This Row],[YearsAtCompany]]&lt;=2,"0-2 years",Table1[[#This Row],[YearsAtCompany]]&lt;=5,"3-5 years",Table1[[#This Row],[YearsAtCompany]]&lt;=10,"6-10 years",Table1[[#This Row],[YearsAtCompany]]&gt;10,"10+ years")</f>
        <v>0-2 years</v>
      </c>
      <c r="AI1457">
        <v>2</v>
      </c>
      <c r="AJ1457">
        <v>2</v>
      </c>
      <c r="AK1457">
        <v>2</v>
      </c>
      <c r="AL1457" t="str" cm="1">
        <f t="array" ref="AL1457">_xlfn.IFS(Table1[[#This Row],[JobSatisfaction]]=1,"Low",Table1[[#This Row],[JobSatisfaction]]=2,"Medium",Table1[[#This Row],[JobSatisfaction]]=3,"High",Table1[[#This Row],[JobSatisfaction]]=4,"Very High")</f>
        <v>High</v>
      </c>
      <c r="AM1457">
        <f>IF(Table1[[#This Row],[Attrition]]="Yes",1,0)</f>
        <v>0</v>
      </c>
    </row>
    <row r="1458" spans="1:39" ht="13.8" x14ac:dyDescent="0.25">
      <c r="A1458">
        <v>35</v>
      </c>
      <c r="B1458" t="str" cm="1">
        <f t="array" ref="B1458">_xlfn.IFS(Table1[[#This Row],[Age]]&lt;30,"Under 30",Table1[[#This Row],[Age]]&lt;=40,"30-40",Table1[[#This Row],[Age]]&lt;=50,"41-50",Table1[[#This Row],[Age]]&gt;50,"Over 50")</f>
        <v>30-40</v>
      </c>
      <c r="C1458" t="s">
        <v>43</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t="str" cm="1">
        <f t="array" ref="AH1458">_xlfn.IFS(Table1[[#This Row],[YearsAtCompany]]&lt;=2,"0-2 years",Table1[[#This Row],[YearsAtCompany]]&lt;=5,"3-5 years",Table1[[#This Row],[YearsAtCompany]]&lt;=10,"6-10 years",Table1[[#This Row],[YearsAtCompany]]&gt;10,"10+ years")</f>
        <v>6-10 years</v>
      </c>
      <c r="AI1458">
        <v>2</v>
      </c>
      <c r="AJ1458">
        <v>0</v>
      </c>
      <c r="AK1458">
        <v>2</v>
      </c>
      <c r="AL1458" t="str" cm="1">
        <f t="array" ref="AL1458">_xlfn.IFS(Table1[[#This Row],[JobSatisfaction]]=1,"Low",Table1[[#This Row],[JobSatisfaction]]=2,"Medium",Table1[[#This Row],[JobSatisfaction]]=3,"High",Table1[[#This Row],[JobSatisfaction]]=4,"Very High")</f>
        <v>High</v>
      </c>
      <c r="AM1458">
        <f>IF(Table1[[#This Row],[Attrition]]="Yes",1,0)</f>
        <v>0</v>
      </c>
    </row>
    <row r="1459" spans="1:39" ht="13.8" x14ac:dyDescent="0.25">
      <c r="A1459">
        <v>40</v>
      </c>
      <c r="B1459" t="str" cm="1">
        <f t="array" ref="B1459">_xlfn.IFS(Table1[[#This Row],[Age]]&lt;30,"Under 30",Table1[[#This Row],[Age]]&lt;=40,"30-40",Table1[[#This Row],[Age]]&lt;=50,"41-50",Table1[[#This Row],[Age]]&gt;50,"Over 50")</f>
        <v>30-40</v>
      </c>
      <c r="C1459" t="s">
        <v>43</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t="str" cm="1">
        <f t="array" ref="AH1459">_xlfn.IFS(Table1[[#This Row],[YearsAtCompany]]&lt;=2,"0-2 years",Table1[[#This Row],[YearsAtCompany]]&lt;=5,"3-5 years",Table1[[#This Row],[YearsAtCompany]]&lt;=10,"6-10 years",Table1[[#This Row],[YearsAtCompany]]&gt;10,"10+ years")</f>
        <v>3-5 years</v>
      </c>
      <c r="AI1459">
        <v>3</v>
      </c>
      <c r="AJ1459">
        <v>0</v>
      </c>
      <c r="AK1459">
        <v>2</v>
      </c>
      <c r="AL1459" t="str" cm="1">
        <f t="array" ref="AL1459">_xlfn.IFS(Table1[[#This Row],[JobSatisfaction]]=1,"Low",Table1[[#This Row],[JobSatisfaction]]=2,"Medium",Table1[[#This Row],[JobSatisfaction]]=3,"High",Table1[[#This Row],[JobSatisfaction]]=4,"Very High")</f>
        <v>High</v>
      </c>
      <c r="AM1459">
        <f>IF(Table1[[#This Row],[Attrition]]="Yes",1,0)</f>
        <v>0</v>
      </c>
    </row>
    <row r="1460" spans="1:39" ht="13.8" x14ac:dyDescent="0.25">
      <c r="A1460">
        <v>35</v>
      </c>
      <c r="B1460" t="str" cm="1">
        <f t="array" ref="B1460">_xlfn.IFS(Table1[[#This Row],[Age]]&lt;30,"Under 30",Table1[[#This Row],[Age]]&lt;=40,"30-40",Table1[[#This Row],[Age]]&lt;=50,"41-50",Table1[[#This Row],[Age]]&gt;50,"Over 50")</f>
        <v>30-40</v>
      </c>
      <c r="C1460" t="s">
        <v>43</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t="str" cm="1">
        <f t="array" ref="AH1460">_xlfn.IFS(Table1[[#This Row],[YearsAtCompany]]&lt;=2,"0-2 years",Table1[[#This Row],[YearsAtCompany]]&lt;=5,"3-5 years",Table1[[#This Row],[YearsAtCompany]]&lt;=10,"6-10 years",Table1[[#This Row],[YearsAtCompany]]&gt;10,"10+ years")</f>
        <v>3-5 years</v>
      </c>
      <c r="AI1460">
        <v>3</v>
      </c>
      <c r="AJ1460">
        <v>1</v>
      </c>
      <c r="AK1460">
        <v>1</v>
      </c>
      <c r="AL1460" t="str" cm="1">
        <f t="array" ref="AL1460">_xlfn.IFS(Table1[[#This Row],[JobSatisfaction]]=1,"Low",Table1[[#This Row],[JobSatisfaction]]=2,"Medium",Table1[[#This Row],[JobSatisfaction]]=3,"High",Table1[[#This Row],[JobSatisfaction]]=4,"Very High")</f>
        <v>Very High</v>
      </c>
      <c r="AM1460">
        <f>IF(Table1[[#This Row],[Attrition]]="Yes",1,0)</f>
        <v>0</v>
      </c>
    </row>
    <row r="1461" spans="1:39" ht="13.8" x14ac:dyDescent="0.25">
      <c r="A1461">
        <v>29</v>
      </c>
      <c r="B1461" t="str" cm="1">
        <f t="array" ref="B1461">_xlfn.IFS(Table1[[#This Row],[Age]]&lt;30,"Under 30",Table1[[#This Row],[Age]]&lt;=40,"30-40",Table1[[#This Row],[Age]]&lt;=50,"41-50",Table1[[#This Row],[Age]]&gt;50,"Over 50")</f>
        <v>Under 30</v>
      </c>
      <c r="C1461" t="s">
        <v>43</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t="str" cm="1">
        <f t="array" ref="AH1461">_xlfn.IFS(Table1[[#This Row],[YearsAtCompany]]&lt;=2,"0-2 years",Table1[[#This Row],[YearsAtCompany]]&lt;=5,"3-5 years",Table1[[#This Row],[YearsAtCompany]]&lt;=10,"6-10 years",Table1[[#This Row],[YearsAtCompany]]&gt;10,"10+ years")</f>
        <v>3-5 years</v>
      </c>
      <c r="AI1461">
        <v>3</v>
      </c>
      <c r="AJ1461">
        <v>0</v>
      </c>
      <c r="AK1461">
        <v>3</v>
      </c>
      <c r="AL1461" t="str" cm="1">
        <f t="array" ref="AL1461">_xlfn.IFS(Table1[[#This Row],[JobSatisfaction]]=1,"Low",Table1[[#This Row],[JobSatisfaction]]=2,"Medium",Table1[[#This Row],[JobSatisfaction]]=3,"High",Table1[[#This Row],[JobSatisfaction]]=4,"Very High")</f>
        <v>Medium</v>
      </c>
      <c r="AM1461">
        <f>IF(Table1[[#This Row],[Attrition]]="Yes",1,0)</f>
        <v>0</v>
      </c>
    </row>
    <row r="1462" spans="1:39" ht="13.8" x14ac:dyDescent="0.25">
      <c r="A1462">
        <v>29</v>
      </c>
      <c r="B1462" t="str" cm="1">
        <f t="array" ref="B1462">_xlfn.IFS(Table1[[#This Row],[Age]]&lt;30,"Under 30",Table1[[#This Row],[Age]]&lt;=40,"30-40",Table1[[#This Row],[Age]]&lt;=50,"41-50",Table1[[#This Row],[Age]]&gt;50,"Over 50")</f>
        <v>Under 30</v>
      </c>
      <c r="C1462" t="s">
        <v>43</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t="str" cm="1">
        <f t="array" ref="AH1462">_xlfn.IFS(Table1[[#This Row],[YearsAtCompany]]&lt;=2,"0-2 years",Table1[[#This Row],[YearsAtCompany]]&lt;=5,"3-5 years",Table1[[#This Row],[YearsAtCompany]]&lt;=10,"6-10 years",Table1[[#This Row],[YearsAtCompany]]&gt;10,"10+ years")</f>
        <v>3-5 years</v>
      </c>
      <c r="AI1462">
        <v>4</v>
      </c>
      <c r="AJ1462">
        <v>0</v>
      </c>
      <c r="AK1462">
        <v>4</v>
      </c>
      <c r="AL1462" t="str" cm="1">
        <f t="array" ref="AL1462">_xlfn.IFS(Table1[[#This Row],[JobSatisfaction]]=1,"Low",Table1[[#This Row],[JobSatisfaction]]=2,"Medium",Table1[[#This Row],[JobSatisfaction]]=3,"High",Table1[[#This Row],[JobSatisfaction]]=4,"Very High")</f>
        <v>Low</v>
      </c>
      <c r="AM1462">
        <f>IF(Table1[[#This Row],[Attrition]]="Yes",1,0)</f>
        <v>0</v>
      </c>
    </row>
    <row r="1463" spans="1:39" ht="13.8" x14ac:dyDescent="0.25">
      <c r="A1463">
        <v>50</v>
      </c>
      <c r="B1463" t="str" cm="1">
        <f t="array" ref="B1463">_xlfn.IFS(Table1[[#This Row],[Age]]&lt;30,"Under 30",Table1[[#This Row],[Age]]&lt;=40,"30-40",Table1[[#This Row],[Age]]&lt;=50,"41-50",Table1[[#This Row],[Age]]&gt;50,"Over 50")</f>
        <v>41-50</v>
      </c>
      <c r="C1463" t="s">
        <v>35</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t="str" cm="1">
        <f t="array" ref="AH1463">_xlfn.IFS(Table1[[#This Row],[YearsAtCompany]]&lt;=2,"0-2 years",Table1[[#This Row],[YearsAtCompany]]&lt;=5,"3-5 years",Table1[[#This Row],[YearsAtCompany]]&lt;=10,"6-10 years",Table1[[#This Row],[YearsAtCompany]]&gt;10,"10+ years")</f>
        <v>3-5 years</v>
      </c>
      <c r="AI1463">
        <v>2</v>
      </c>
      <c r="AJ1463">
        <v>2</v>
      </c>
      <c r="AK1463">
        <v>0</v>
      </c>
      <c r="AL1463" t="str" cm="1">
        <f t="array" ref="AL1463">_xlfn.IFS(Table1[[#This Row],[JobSatisfaction]]=1,"Low",Table1[[#This Row],[JobSatisfaction]]=2,"Medium",Table1[[#This Row],[JobSatisfaction]]=3,"High",Table1[[#This Row],[JobSatisfaction]]=4,"Very High")</f>
        <v>Low</v>
      </c>
      <c r="AM1463">
        <f>IF(Table1[[#This Row],[Attrition]]="Yes",1,0)</f>
        <v>1</v>
      </c>
    </row>
    <row r="1464" spans="1:39" ht="13.8" x14ac:dyDescent="0.25">
      <c r="A1464">
        <v>39</v>
      </c>
      <c r="B1464" t="str" cm="1">
        <f t="array" ref="B1464">_xlfn.IFS(Table1[[#This Row],[Age]]&lt;30,"Under 30",Table1[[#This Row],[Age]]&lt;=40,"30-40",Table1[[#This Row],[Age]]&lt;=50,"41-50",Table1[[#This Row],[Age]]&gt;50,"Over 50")</f>
        <v>30-40</v>
      </c>
      <c r="C1464" t="s">
        <v>43</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t="str" cm="1">
        <f t="array" ref="AH1464">_xlfn.IFS(Table1[[#This Row],[YearsAtCompany]]&lt;=2,"0-2 years",Table1[[#This Row],[YearsAtCompany]]&lt;=5,"3-5 years",Table1[[#This Row],[YearsAtCompany]]&lt;=10,"6-10 years",Table1[[#This Row],[YearsAtCompany]]&gt;10,"10+ years")</f>
        <v>10+ years</v>
      </c>
      <c r="AI1464">
        <v>9</v>
      </c>
      <c r="AJ1464">
        <v>9</v>
      </c>
      <c r="AK1464">
        <v>6</v>
      </c>
      <c r="AL1464" t="str" cm="1">
        <f t="array" ref="AL1464">_xlfn.IFS(Table1[[#This Row],[JobSatisfaction]]=1,"Low",Table1[[#This Row],[JobSatisfaction]]=2,"Medium",Table1[[#This Row],[JobSatisfaction]]=3,"High",Table1[[#This Row],[JobSatisfaction]]=4,"Very High")</f>
        <v>Very High</v>
      </c>
      <c r="AM1464">
        <f>IF(Table1[[#This Row],[Attrition]]="Yes",1,0)</f>
        <v>0</v>
      </c>
    </row>
    <row r="1465" spans="1:39" ht="13.8" x14ac:dyDescent="0.25">
      <c r="A1465">
        <v>31</v>
      </c>
      <c r="B1465" t="str" cm="1">
        <f t="array" ref="B1465">_xlfn.IFS(Table1[[#This Row],[Age]]&lt;30,"Under 30",Table1[[#This Row],[Age]]&lt;=40,"30-40",Table1[[#This Row],[Age]]&lt;=50,"41-50",Table1[[#This Row],[Age]]&gt;50,"Over 50")</f>
        <v>30-40</v>
      </c>
      <c r="C1465" t="s">
        <v>43</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t="str" cm="1">
        <f t="array" ref="AH1465">_xlfn.IFS(Table1[[#This Row],[YearsAtCompany]]&lt;=2,"0-2 years",Table1[[#This Row],[YearsAtCompany]]&lt;=5,"3-5 years",Table1[[#This Row],[YearsAtCompany]]&lt;=10,"6-10 years",Table1[[#This Row],[YearsAtCompany]]&gt;10,"10+ years")</f>
        <v>6-10 years</v>
      </c>
      <c r="AI1465">
        <v>4</v>
      </c>
      <c r="AJ1465">
        <v>1</v>
      </c>
      <c r="AK1465">
        <v>7</v>
      </c>
      <c r="AL1465" t="str" cm="1">
        <f t="array" ref="AL1465">_xlfn.IFS(Table1[[#This Row],[JobSatisfaction]]=1,"Low",Table1[[#This Row],[JobSatisfaction]]=2,"Medium",Table1[[#This Row],[JobSatisfaction]]=3,"High",Table1[[#This Row],[JobSatisfaction]]=4,"Very High")</f>
        <v>Low</v>
      </c>
      <c r="AM1465">
        <f>IF(Table1[[#This Row],[Attrition]]="Yes",1,0)</f>
        <v>0</v>
      </c>
    </row>
    <row r="1466" spans="1:39" ht="13.8" x14ac:dyDescent="0.25">
      <c r="A1466">
        <v>26</v>
      </c>
      <c r="B1466" t="str" cm="1">
        <f t="array" ref="B1466">_xlfn.IFS(Table1[[#This Row],[Age]]&lt;30,"Under 30",Table1[[#This Row],[Age]]&lt;=40,"30-40",Table1[[#This Row],[Age]]&lt;=50,"41-50",Table1[[#This Row],[Age]]&gt;50,"Over 50")</f>
        <v>Under 30</v>
      </c>
      <c r="C1466" t="s">
        <v>43</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t="str" cm="1">
        <f t="array" ref="AH1466">_xlfn.IFS(Table1[[#This Row],[YearsAtCompany]]&lt;=2,"0-2 years",Table1[[#This Row],[YearsAtCompany]]&lt;=5,"3-5 years",Table1[[#This Row],[YearsAtCompany]]&lt;=10,"6-10 years",Table1[[#This Row],[YearsAtCompany]]&gt;10,"10+ years")</f>
        <v>3-5 years</v>
      </c>
      <c r="AI1466">
        <v>2</v>
      </c>
      <c r="AJ1466">
        <v>0</v>
      </c>
      <c r="AK1466">
        <v>0</v>
      </c>
      <c r="AL1466" t="str" cm="1">
        <f t="array" ref="AL1466">_xlfn.IFS(Table1[[#This Row],[JobSatisfaction]]=1,"Low",Table1[[#This Row],[JobSatisfaction]]=2,"Medium",Table1[[#This Row],[JobSatisfaction]]=3,"High",Table1[[#This Row],[JobSatisfaction]]=4,"Very High")</f>
        <v>High</v>
      </c>
      <c r="AM1466">
        <f>IF(Table1[[#This Row],[Attrition]]="Yes",1,0)</f>
        <v>0</v>
      </c>
    </row>
    <row r="1467" spans="1:39" ht="13.8" x14ac:dyDescent="0.25">
      <c r="A1467">
        <v>36</v>
      </c>
      <c r="B1467" t="str" cm="1">
        <f t="array" ref="B1467">_xlfn.IFS(Table1[[#This Row],[Age]]&lt;30,"Under 30",Table1[[#This Row],[Age]]&lt;=40,"30-40",Table1[[#This Row],[Age]]&lt;=50,"41-50",Table1[[#This Row],[Age]]&gt;50,"Over 50")</f>
        <v>30-40</v>
      </c>
      <c r="C1467" t="s">
        <v>43</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t="str" cm="1">
        <f t="array" ref="AH1467">_xlfn.IFS(Table1[[#This Row],[YearsAtCompany]]&lt;=2,"0-2 years",Table1[[#This Row],[YearsAtCompany]]&lt;=5,"3-5 years",Table1[[#This Row],[YearsAtCompany]]&lt;=10,"6-10 years",Table1[[#This Row],[YearsAtCompany]]&gt;10,"10+ years")</f>
        <v>3-5 years</v>
      </c>
      <c r="AI1467">
        <v>2</v>
      </c>
      <c r="AJ1467">
        <v>0</v>
      </c>
      <c r="AK1467">
        <v>3</v>
      </c>
      <c r="AL1467" t="str" cm="1">
        <f t="array" ref="AL1467">_xlfn.IFS(Table1[[#This Row],[JobSatisfaction]]=1,"Low",Table1[[#This Row],[JobSatisfaction]]=2,"Medium",Table1[[#This Row],[JobSatisfaction]]=3,"High",Table1[[#This Row],[JobSatisfaction]]=4,"Very High")</f>
        <v>Very High</v>
      </c>
      <c r="AM1467">
        <f>IF(Table1[[#This Row],[Attrition]]="Yes",1,0)</f>
        <v>0</v>
      </c>
    </row>
    <row r="1468" spans="1:39" ht="13.8" x14ac:dyDescent="0.25">
      <c r="A1468">
        <v>39</v>
      </c>
      <c r="B1468" t="str" cm="1">
        <f t="array" ref="B1468">_xlfn.IFS(Table1[[#This Row],[Age]]&lt;30,"Under 30",Table1[[#This Row],[Age]]&lt;=40,"30-40",Table1[[#This Row],[Age]]&lt;=50,"41-50",Table1[[#This Row],[Age]]&gt;50,"Over 50")</f>
        <v>30-40</v>
      </c>
      <c r="C1468" t="s">
        <v>43</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t="str" cm="1">
        <f t="array" ref="AH1468">_xlfn.IFS(Table1[[#This Row],[YearsAtCompany]]&lt;=2,"0-2 years",Table1[[#This Row],[YearsAtCompany]]&lt;=5,"3-5 years",Table1[[#This Row],[YearsAtCompany]]&lt;=10,"6-10 years",Table1[[#This Row],[YearsAtCompany]]&gt;10,"10+ years")</f>
        <v>6-10 years</v>
      </c>
      <c r="AI1468">
        <v>7</v>
      </c>
      <c r="AJ1468">
        <v>1</v>
      </c>
      <c r="AK1468">
        <v>7</v>
      </c>
      <c r="AL1468" t="str" cm="1">
        <f t="array" ref="AL1468">_xlfn.IFS(Table1[[#This Row],[JobSatisfaction]]=1,"Low",Table1[[#This Row],[JobSatisfaction]]=2,"Medium",Table1[[#This Row],[JobSatisfaction]]=3,"High",Table1[[#This Row],[JobSatisfaction]]=4,"Very High")</f>
        <v>Low</v>
      </c>
      <c r="AM1468">
        <f>IF(Table1[[#This Row],[Attrition]]="Yes",1,0)</f>
        <v>0</v>
      </c>
    </row>
    <row r="1469" spans="1:39" ht="13.8" x14ac:dyDescent="0.25">
      <c r="A1469">
        <v>27</v>
      </c>
      <c r="B1469" t="str" cm="1">
        <f t="array" ref="B1469">_xlfn.IFS(Table1[[#This Row],[Age]]&lt;30,"Under 30",Table1[[#This Row],[Age]]&lt;=40,"30-40",Table1[[#This Row],[Age]]&lt;=50,"41-50",Table1[[#This Row],[Age]]&gt;50,"Over 50")</f>
        <v>Under 30</v>
      </c>
      <c r="C1469" t="s">
        <v>43</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t="str" cm="1">
        <f t="array" ref="AH1469">_xlfn.IFS(Table1[[#This Row],[YearsAtCompany]]&lt;=2,"0-2 years",Table1[[#This Row],[YearsAtCompany]]&lt;=5,"3-5 years",Table1[[#This Row],[YearsAtCompany]]&lt;=10,"6-10 years",Table1[[#This Row],[YearsAtCompany]]&gt;10,"10+ years")</f>
        <v>6-10 years</v>
      </c>
      <c r="AI1469">
        <v>2</v>
      </c>
      <c r="AJ1469">
        <v>0</v>
      </c>
      <c r="AK1469">
        <v>3</v>
      </c>
      <c r="AL1469" t="str" cm="1">
        <f t="array" ref="AL1469">_xlfn.IFS(Table1[[#This Row],[JobSatisfaction]]=1,"Low",Table1[[#This Row],[JobSatisfaction]]=2,"Medium",Table1[[#This Row],[JobSatisfaction]]=3,"High",Table1[[#This Row],[JobSatisfaction]]=4,"Very High")</f>
        <v>Medium</v>
      </c>
      <c r="AM1469">
        <f>IF(Table1[[#This Row],[Attrition]]="Yes",1,0)</f>
        <v>0</v>
      </c>
    </row>
    <row r="1470" spans="1:39" ht="13.8" x14ac:dyDescent="0.25">
      <c r="A1470">
        <v>49</v>
      </c>
      <c r="B1470" t="str" cm="1">
        <f t="array" ref="B1470">_xlfn.IFS(Table1[[#This Row],[Age]]&lt;30,"Under 30",Table1[[#This Row],[Age]]&lt;=40,"30-40",Table1[[#This Row],[Age]]&lt;=50,"41-50",Table1[[#This Row],[Age]]&gt;50,"Over 50")</f>
        <v>41-50</v>
      </c>
      <c r="C1470" t="s">
        <v>43</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t="str" cm="1">
        <f t="array" ref="AH1470">_xlfn.IFS(Table1[[#This Row],[YearsAtCompany]]&lt;=2,"0-2 years",Table1[[#This Row],[YearsAtCompany]]&lt;=5,"3-5 years",Table1[[#This Row],[YearsAtCompany]]&lt;=10,"6-10 years",Table1[[#This Row],[YearsAtCompany]]&gt;10,"10+ years")</f>
        <v>6-10 years</v>
      </c>
      <c r="AI1470">
        <v>6</v>
      </c>
      <c r="AJ1470">
        <v>0</v>
      </c>
      <c r="AK1470">
        <v>8</v>
      </c>
      <c r="AL1470" t="str" cm="1">
        <f t="array" ref="AL1470">_xlfn.IFS(Table1[[#This Row],[JobSatisfaction]]=1,"Low",Table1[[#This Row],[JobSatisfaction]]=2,"Medium",Table1[[#This Row],[JobSatisfaction]]=3,"High",Table1[[#This Row],[JobSatisfaction]]=4,"Very High")</f>
        <v>Medium</v>
      </c>
      <c r="AM1470">
        <f>IF(Table1[[#This Row],[Attrition]]="Yes",1,0)</f>
        <v>0</v>
      </c>
    </row>
    <row r="1471" spans="1:39" ht="13.8" x14ac:dyDescent="0.25">
      <c r="A1471">
        <v>34</v>
      </c>
      <c r="B1471" t="str" cm="1">
        <f t="array" ref="B1471">_xlfn.IFS(Table1[[#This Row],[Age]]&lt;30,"Under 30",Table1[[#This Row],[Age]]&lt;=40,"30-40",Table1[[#This Row],[Age]]&lt;=50,"41-50",Table1[[#This Row],[Age]]&gt;50,"Over 50")</f>
        <v>30-40</v>
      </c>
      <c r="C1471" t="s">
        <v>43</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t="str" cm="1">
        <f t="array" ref="AH1471">_xlfn.IFS(Table1[[#This Row],[YearsAtCompany]]&lt;=2,"0-2 years",Table1[[#This Row],[YearsAtCompany]]&lt;=5,"3-5 years",Table1[[#This Row],[YearsAtCompany]]&lt;=10,"6-10 years",Table1[[#This Row],[YearsAtCompany]]&gt;10,"10+ years")</f>
        <v>3-5 years</v>
      </c>
      <c r="AI1471">
        <v>3</v>
      </c>
      <c r="AJ1471">
        <v>1</v>
      </c>
      <c r="AK1471">
        <v>2</v>
      </c>
      <c r="AL1471" t="str" cm="1">
        <f t="array" ref="AL1471">_xlfn.IFS(Table1[[#This Row],[JobSatisfaction]]=1,"Low",Table1[[#This Row],[JobSatisfaction]]=2,"Medium",Table1[[#This Row],[JobSatisfaction]]=3,"High",Table1[[#This Row],[JobSatisfaction]]=4,"Very High")</f>
        <v>High</v>
      </c>
      <c r="AM1471">
        <f>IF(Table1[[#This Row],[Attrition]]="Yes",1,0)</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C514-4F23-4A8C-AC06-59ED907CEB76}">
  <dimension ref="L2:T2"/>
  <sheetViews>
    <sheetView showGridLines="0" showRowColHeaders="0" tabSelected="1" zoomScale="80" zoomScaleNormal="80" workbookViewId="0">
      <selection activeCell="L43" sqref="L43"/>
    </sheetView>
  </sheetViews>
  <sheetFormatPr defaultRowHeight="13.8" x14ac:dyDescent="0.25"/>
  <cols>
    <col min="1" max="1" width="3.09765625" customWidth="1"/>
    <col min="2" max="2" width="18.69921875" customWidth="1"/>
    <col min="3" max="3" width="3.09765625" customWidth="1"/>
    <col min="4" max="4" width="22.69921875" customWidth="1"/>
    <col min="5" max="11" width="8"/>
    <col min="12" max="12" width="19.5" customWidth="1"/>
    <col min="20" max="20" width="22.69921875" customWidth="1"/>
  </cols>
  <sheetData>
    <row r="2" spans="12:20" x14ac:dyDescent="0.25">
      <c r="L2" s="3"/>
      <c r="T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KPI</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Natasha Hasan</dc:creator>
  <cp:lastModifiedBy>Natasha Hasan</cp:lastModifiedBy>
  <dcterms:created xsi:type="dcterms:W3CDTF">2026-06-01T07:31:00Z</dcterms:created>
  <dcterms:modified xsi:type="dcterms:W3CDTF">2026-06-01T17:33:12Z</dcterms:modified>
</cp:coreProperties>
</file>